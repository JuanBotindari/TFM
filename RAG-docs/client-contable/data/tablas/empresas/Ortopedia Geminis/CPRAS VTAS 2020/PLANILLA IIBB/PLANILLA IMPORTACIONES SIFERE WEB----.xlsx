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345" windowWidth="15180" windowHeight="8280" activeTab="1"/>
  </bookViews>
  <sheets>
    <sheet name="ret" sheetId="5" r:id="rId1"/>
    <sheet name="perc" sheetId="6" r:id="rId2"/>
    <sheet name="ana" sheetId="8" r:id="rId3"/>
    <sheet name="banco" sheetId="7" r:id="rId4"/>
    <sheet name="TABLAS" sheetId="9" r:id="rId5"/>
  </sheets>
  <definedNames>
    <definedName name="JUR">ret!$AA$6:$AA$29</definedName>
  </definedNames>
  <calcPr calcId="144525"/>
</workbook>
</file>

<file path=xl/calcChain.xml><?xml version="1.0" encoding="utf-8"?>
<calcChain xmlns="http://schemas.openxmlformats.org/spreadsheetml/2006/main">
  <c r="W7" i="6" l="1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101" i="6"/>
  <c r="X101" i="6" s="1"/>
  <c r="Y101" i="6" s="1"/>
  <c r="W107" i="6"/>
  <c r="X107" i="6" s="1"/>
  <c r="Y107" i="6" s="1"/>
  <c r="W109" i="6"/>
  <c r="X109" i="6" s="1"/>
  <c r="Y109" i="6" s="1"/>
  <c r="W6" i="6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6" i="7"/>
  <c r="S7" i="7"/>
  <c r="T7" i="7"/>
  <c r="S8" i="7"/>
  <c r="T8" i="7"/>
  <c r="S9" i="7"/>
  <c r="T9" i="7"/>
  <c r="S10" i="7"/>
  <c r="T10" i="7"/>
  <c r="S11" i="7"/>
  <c r="T11" i="7"/>
  <c r="S12" i="7"/>
  <c r="T12" i="7"/>
  <c r="S13" i="7"/>
  <c r="T13" i="7"/>
  <c r="S14" i="7"/>
  <c r="T14" i="7"/>
  <c r="S15" i="7"/>
  <c r="T15" i="7"/>
  <c r="S16" i="7"/>
  <c r="T16" i="7"/>
  <c r="S17" i="7"/>
  <c r="T17" i="7"/>
  <c r="S18" i="7"/>
  <c r="T18" i="7"/>
  <c r="S19" i="7"/>
  <c r="T19" i="7"/>
  <c r="S20" i="7"/>
  <c r="T20" i="7"/>
  <c r="S21" i="7"/>
  <c r="T21" i="7"/>
  <c r="S22" i="7"/>
  <c r="T22" i="7"/>
  <c r="S23" i="7"/>
  <c r="T23" i="7"/>
  <c r="S24" i="7"/>
  <c r="T24" i="7"/>
  <c r="S25" i="7"/>
  <c r="T25" i="7"/>
  <c r="S26" i="7"/>
  <c r="T26" i="7"/>
  <c r="S27" i="7"/>
  <c r="T27" i="7"/>
  <c r="S28" i="7"/>
  <c r="T28" i="7"/>
  <c r="S29" i="7"/>
  <c r="T29" i="7"/>
  <c r="S30" i="7"/>
  <c r="T30" i="7"/>
  <c r="S31" i="7"/>
  <c r="T31" i="7"/>
  <c r="S32" i="7"/>
  <c r="T32" i="7"/>
  <c r="S33" i="7"/>
  <c r="T33" i="7"/>
  <c r="S34" i="7"/>
  <c r="T34" i="7"/>
  <c r="S35" i="7"/>
  <c r="T35" i="7"/>
  <c r="S36" i="7"/>
  <c r="T36" i="7"/>
  <c r="S37" i="7"/>
  <c r="T37" i="7"/>
  <c r="S38" i="7"/>
  <c r="T38" i="7"/>
  <c r="S39" i="7"/>
  <c r="T39" i="7"/>
  <c r="S40" i="7"/>
  <c r="T40" i="7"/>
  <c r="S41" i="7"/>
  <c r="T41" i="7"/>
  <c r="S42" i="7"/>
  <c r="T42" i="7"/>
  <c r="S43" i="7"/>
  <c r="T43" i="7"/>
  <c r="S44" i="7"/>
  <c r="T44" i="7"/>
  <c r="S45" i="7"/>
  <c r="T45" i="7"/>
  <c r="S46" i="7"/>
  <c r="T46" i="7"/>
  <c r="S47" i="7"/>
  <c r="T47" i="7"/>
  <c r="S48" i="7"/>
  <c r="T48" i="7"/>
  <c r="S49" i="7"/>
  <c r="T49" i="7"/>
  <c r="S50" i="7"/>
  <c r="T50" i="7"/>
  <c r="S51" i="7"/>
  <c r="T51" i="7"/>
  <c r="S52" i="7"/>
  <c r="T52" i="7"/>
  <c r="S53" i="7"/>
  <c r="T53" i="7"/>
  <c r="S54" i="7"/>
  <c r="T54" i="7"/>
  <c r="S55" i="7"/>
  <c r="T55" i="7"/>
  <c r="S56" i="7"/>
  <c r="T56" i="7"/>
  <c r="S57" i="7"/>
  <c r="T57" i="7"/>
  <c r="S58" i="7"/>
  <c r="T58" i="7"/>
  <c r="S59" i="7"/>
  <c r="T59" i="7"/>
  <c r="S60" i="7"/>
  <c r="T60" i="7"/>
  <c r="S61" i="7"/>
  <c r="T61" i="7"/>
  <c r="S62" i="7"/>
  <c r="T62" i="7"/>
  <c r="S63" i="7"/>
  <c r="T63" i="7"/>
  <c r="S64" i="7"/>
  <c r="T64" i="7"/>
  <c r="S65" i="7"/>
  <c r="T65" i="7"/>
  <c r="S66" i="7"/>
  <c r="T66" i="7"/>
  <c r="S67" i="7"/>
  <c r="T67" i="7"/>
  <c r="S68" i="7"/>
  <c r="T68" i="7"/>
  <c r="S69" i="7"/>
  <c r="T69" i="7"/>
  <c r="S70" i="7"/>
  <c r="T70" i="7"/>
  <c r="S71" i="7"/>
  <c r="T71" i="7"/>
  <c r="S72" i="7"/>
  <c r="T72" i="7"/>
  <c r="S73" i="7"/>
  <c r="T73" i="7"/>
  <c r="S74" i="7"/>
  <c r="T74" i="7"/>
  <c r="S75" i="7"/>
  <c r="T75" i="7"/>
  <c r="S76" i="7"/>
  <c r="T76" i="7"/>
  <c r="S77" i="7"/>
  <c r="T77" i="7"/>
  <c r="S78" i="7"/>
  <c r="T78" i="7"/>
  <c r="S79" i="7"/>
  <c r="T79" i="7"/>
  <c r="S80" i="7"/>
  <c r="T80" i="7"/>
  <c r="S81" i="7"/>
  <c r="T81" i="7"/>
  <c r="S82" i="7"/>
  <c r="T82" i="7"/>
  <c r="S83" i="7"/>
  <c r="T83" i="7"/>
  <c r="S84" i="7"/>
  <c r="T84" i="7"/>
  <c r="S85" i="7"/>
  <c r="T85" i="7"/>
  <c r="S86" i="7"/>
  <c r="T86" i="7"/>
  <c r="S87" i="7"/>
  <c r="T87" i="7"/>
  <c r="S88" i="7"/>
  <c r="T88" i="7"/>
  <c r="S89" i="7"/>
  <c r="T89" i="7"/>
  <c r="S90" i="7"/>
  <c r="T90" i="7"/>
  <c r="S91" i="7"/>
  <c r="T91" i="7"/>
  <c r="S92" i="7"/>
  <c r="T92" i="7"/>
  <c r="S93" i="7"/>
  <c r="T93" i="7"/>
  <c r="S94" i="7"/>
  <c r="T94" i="7"/>
  <c r="S95" i="7"/>
  <c r="T95" i="7"/>
  <c r="S96" i="7"/>
  <c r="T96" i="7"/>
  <c r="S97" i="7"/>
  <c r="T97" i="7"/>
  <c r="S98" i="7"/>
  <c r="T98" i="7"/>
  <c r="S99" i="7"/>
  <c r="T99" i="7"/>
  <c r="S100" i="7"/>
  <c r="T100" i="7"/>
  <c r="S101" i="7"/>
  <c r="T101" i="7"/>
  <c r="S102" i="7"/>
  <c r="T102" i="7"/>
  <c r="S103" i="7"/>
  <c r="T103" i="7"/>
  <c r="S104" i="7"/>
  <c r="T104" i="7"/>
  <c r="S105" i="7"/>
  <c r="T105" i="7"/>
  <c r="S106" i="7"/>
  <c r="T106" i="7"/>
  <c r="S107" i="7"/>
  <c r="T107" i="7"/>
  <c r="S108" i="7"/>
  <c r="T108" i="7"/>
  <c r="S109" i="7"/>
  <c r="T109" i="7"/>
  <c r="S110" i="7"/>
  <c r="T110" i="7"/>
  <c r="T6" i="7"/>
  <c r="S6" i="7"/>
  <c r="R7" i="8"/>
  <c r="S7" i="8"/>
  <c r="R8" i="8"/>
  <c r="S8" i="8"/>
  <c r="R9" i="8"/>
  <c r="S9" i="8"/>
  <c r="R10" i="8"/>
  <c r="S10" i="8"/>
  <c r="R11" i="8"/>
  <c r="S11" i="8"/>
  <c r="R12" i="8"/>
  <c r="S12" i="8"/>
  <c r="R13" i="8"/>
  <c r="S13" i="8"/>
  <c r="R14" i="8"/>
  <c r="S14" i="8"/>
  <c r="R15" i="8"/>
  <c r="S15" i="8"/>
  <c r="R16" i="8"/>
  <c r="S16" i="8"/>
  <c r="R17" i="8"/>
  <c r="S17" i="8"/>
  <c r="R18" i="8"/>
  <c r="S18" i="8"/>
  <c r="R19" i="8"/>
  <c r="S19" i="8"/>
  <c r="R20" i="8"/>
  <c r="S20" i="8"/>
  <c r="R21" i="8"/>
  <c r="S21" i="8"/>
  <c r="R22" i="8"/>
  <c r="S22" i="8"/>
  <c r="R23" i="8"/>
  <c r="S23" i="8"/>
  <c r="R24" i="8"/>
  <c r="S24" i="8"/>
  <c r="R25" i="8"/>
  <c r="S25" i="8"/>
  <c r="R26" i="8"/>
  <c r="S26" i="8"/>
  <c r="R27" i="8"/>
  <c r="S27" i="8"/>
  <c r="R28" i="8"/>
  <c r="S28" i="8"/>
  <c r="R29" i="8"/>
  <c r="S29" i="8"/>
  <c r="R30" i="8"/>
  <c r="S30" i="8"/>
  <c r="R31" i="8"/>
  <c r="S31" i="8"/>
  <c r="R32" i="8"/>
  <c r="S32" i="8"/>
  <c r="R33" i="8"/>
  <c r="S33" i="8"/>
  <c r="R34" i="8"/>
  <c r="S34" i="8"/>
  <c r="R35" i="8"/>
  <c r="S35" i="8"/>
  <c r="R36" i="8"/>
  <c r="S36" i="8"/>
  <c r="R37" i="8"/>
  <c r="S37" i="8"/>
  <c r="R38" i="8"/>
  <c r="S38" i="8"/>
  <c r="R39" i="8"/>
  <c r="S39" i="8"/>
  <c r="R40" i="8"/>
  <c r="S40" i="8"/>
  <c r="R41" i="8"/>
  <c r="S41" i="8"/>
  <c r="R42" i="8"/>
  <c r="S42" i="8"/>
  <c r="R43" i="8"/>
  <c r="S43" i="8"/>
  <c r="R44" i="8"/>
  <c r="S44" i="8"/>
  <c r="R45" i="8"/>
  <c r="S45" i="8"/>
  <c r="R46" i="8"/>
  <c r="S46" i="8"/>
  <c r="R47" i="8"/>
  <c r="S47" i="8"/>
  <c r="R48" i="8"/>
  <c r="S48" i="8"/>
  <c r="R49" i="8"/>
  <c r="S49" i="8"/>
  <c r="R50" i="8"/>
  <c r="S50" i="8"/>
  <c r="R51" i="8"/>
  <c r="S51" i="8"/>
  <c r="R52" i="8"/>
  <c r="S52" i="8"/>
  <c r="R53" i="8"/>
  <c r="S53" i="8"/>
  <c r="R54" i="8"/>
  <c r="S54" i="8"/>
  <c r="R55" i="8"/>
  <c r="S55" i="8"/>
  <c r="R56" i="8"/>
  <c r="S56" i="8"/>
  <c r="R57" i="8"/>
  <c r="S57" i="8"/>
  <c r="R58" i="8"/>
  <c r="S58" i="8"/>
  <c r="R59" i="8"/>
  <c r="S59" i="8"/>
  <c r="R60" i="8"/>
  <c r="S60" i="8"/>
  <c r="R61" i="8"/>
  <c r="S61" i="8"/>
  <c r="R62" i="8"/>
  <c r="S62" i="8"/>
  <c r="R63" i="8"/>
  <c r="S63" i="8"/>
  <c r="R64" i="8"/>
  <c r="S64" i="8"/>
  <c r="R65" i="8"/>
  <c r="S65" i="8"/>
  <c r="R66" i="8"/>
  <c r="S66" i="8"/>
  <c r="R67" i="8"/>
  <c r="S67" i="8"/>
  <c r="R68" i="8"/>
  <c r="S68" i="8"/>
  <c r="R69" i="8"/>
  <c r="S69" i="8"/>
  <c r="R70" i="8"/>
  <c r="S70" i="8"/>
  <c r="R71" i="8"/>
  <c r="S71" i="8"/>
  <c r="R72" i="8"/>
  <c r="S72" i="8"/>
  <c r="R73" i="8"/>
  <c r="S73" i="8"/>
  <c r="R74" i="8"/>
  <c r="S74" i="8"/>
  <c r="R75" i="8"/>
  <c r="S75" i="8"/>
  <c r="R76" i="8"/>
  <c r="S76" i="8"/>
  <c r="R77" i="8"/>
  <c r="S77" i="8"/>
  <c r="R78" i="8"/>
  <c r="S78" i="8"/>
  <c r="R79" i="8"/>
  <c r="S79" i="8"/>
  <c r="R80" i="8"/>
  <c r="S80" i="8"/>
  <c r="R81" i="8"/>
  <c r="S81" i="8"/>
  <c r="R82" i="8"/>
  <c r="S82" i="8"/>
  <c r="R83" i="8"/>
  <c r="S83" i="8"/>
  <c r="R84" i="8"/>
  <c r="S84" i="8"/>
  <c r="R85" i="8"/>
  <c r="S85" i="8"/>
  <c r="R86" i="8"/>
  <c r="S86" i="8"/>
  <c r="R87" i="8"/>
  <c r="S87" i="8"/>
  <c r="R88" i="8"/>
  <c r="S88" i="8"/>
  <c r="R89" i="8"/>
  <c r="S89" i="8"/>
  <c r="R90" i="8"/>
  <c r="S90" i="8"/>
  <c r="R91" i="8"/>
  <c r="S91" i="8"/>
  <c r="R92" i="8"/>
  <c r="S92" i="8"/>
  <c r="R93" i="8"/>
  <c r="S93" i="8"/>
  <c r="R94" i="8"/>
  <c r="S94" i="8"/>
  <c r="R95" i="8"/>
  <c r="S95" i="8"/>
  <c r="R96" i="8"/>
  <c r="S96" i="8"/>
  <c r="R97" i="8"/>
  <c r="S97" i="8"/>
  <c r="R98" i="8"/>
  <c r="S98" i="8"/>
  <c r="R99" i="8"/>
  <c r="S99" i="8"/>
  <c r="R100" i="8"/>
  <c r="S100" i="8"/>
  <c r="R101" i="8"/>
  <c r="S101" i="8"/>
  <c r="R102" i="8"/>
  <c r="S102" i="8"/>
  <c r="R103" i="8"/>
  <c r="S103" i="8"/>
  <c r="R104" i="8"/>
  <c r="S104" i="8"/>
  <c r="R105" i="8"/>
  <c r="S105" i="8"/>
  <c r="R106" i="8"/>
  <c r="S106" i="8"/>
  <c r="R107" i="8"/>
  <c r="S107" i="8"/>
  <c r="R108" i="8"/>
  <c r="S108" i="8"/>
  <c r="R109" i="8"/>
  <c r="S109" i="8"/>
  <c r="R110" i="8"/>
  <c r="S110" i="8"/>
  <c r="S6" i="8"/>
  <c r="R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6" i="8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Y108" i="5"/>
  <c r="Z108" i="5" s="1"/>
  <c r="AB108" i="5" s="1"/>
  <c r="J6" i="5"/>
  <c r="C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1" i="9"/>
  <c r="B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1" i="9"/>
  <c r="I110" i="7"/>
  <c r="H110" i="7"/>
  <c r="L110" i="7"/>
  <c r="M110" i="7"/>
  <c r="J110" i="7"/>
  <c r="K110" i="7" s="1"/>
  <c r="O110" i="7"/>
  <c r="P110" i="7"/>
  <c r="Q110" i="7"/>
  <c r="I109" i="7"/>
  <c r="H109" i="7"/>
  <c r="L109" i="7"/>
  <c r="M109" i="7" s="1"/>
  <c r="J109" i="7"/>
  <c r="K109" i="7"/>
  <c r="O109" i="7"/>
  <c r="P109" i="7"/>
  <c r="Q109" i="7"/>
  <c r="I108" i="7"/>
  <c r="H108" i="7"/>
  <c r="L108" i="7"/>
  <c r="M108" i="7" s="1"/>
  <c r="J108" i="7"/>
  <c r="K108" i="7"/>
  <c r="O108" i="7"/>
  <c r="P108" i="7"/>
  <c r="Q108" i="7"/>
  <c r="I107" i="7"/>
  <c r="H107" i="7"/>
  <c r="L107" i="7"/>
  <c r="M107" i="7" s="1"/>
  <c r="J107" i="7"/>
  <c r="K107" i="7"/>
  <c r="O107" i="7"/>
  <c r="P107" i="7"/>
  <c r="Q107" i="7"/>
  <c r="I106" i="7"/>
  <c r="H106" i="7"/>
  <c r="L106" i="7"/>
  <c r="M106" i="7"/>
  <c r="J106" i="7"/>
  <c r="K106" i="7" s="1"/>
  <c r="O106" i="7"/>
  <c r="P106" i="7"/>
  <c r="Q106" i="7"/>
  <c r="I105" i="7"/>
  <c r="H105" i="7"/>
  <c r="L105" i="7"/>
  <c r="M105" i="7" s="1"/>
  <c r="J105" i="7"/>
  <c r="K105" i="7"/>
  <c r="O105" i="7"/>
  <c r="P105" i="7"/>
  <c r="Q105" i="7"/>
  <c r="I104" i="7"/>
  <c r="H104" i="7"/>
  <c r="L104" i="7"/>
  <c r="M104" i="7" s="1"/>
  <c r="J104" i="7"/>
  <c r="K104" i="7"/>
  <c r="O104" i="7"/>
  <c r="P104" i="7"/>
  <c r="Q104" i="7"/>
  <c r="I103" i="7"/>
  <c r="H103" i="7"/>
  <c r="L103" i="7"/>
  <c r="M103" i="7" s="1"/>
  <c r="J103" i="7"/>
  <c r="K103" i="7"/>
  <c r="O103" i="7"/>
  <c r="P103" i="7"/>
  <c r="Q103" i="7"/>
  <c r="I102" i="7"/>
  <c r="H102" i="7"/>
  <c r="L102" i="7"/>
  <c r="M102" i="7"/>
  <c r="J102" i="7"/>
  <c r="K102" i="7" s="1"/>
  <c r="O102" i="7"/>
  <c r="P102" i="7"/>
  <c r="Q102" i="7"/>
  <c r="I101" i="7"/>
  <c r="H101" i="7"/>
  <c r="L101" i="7"/>
  <c r="M101" i="7" s="1"/>
  <c r="J101" i="7"/>
  <c r="K101" i="7" s="1"/>
  <c r="O101" i="7"/>
  <c r="P101" i="7"/>
  <c r="Q101" i="7"/>
  <c r="I100" i="7"/>
  <c r="H100" i="7"/>
  <c r="L100" i="7"/>
  <c r="M100" i="7" s="1"/>
  <c r="J100" i="7"/>
  <c r="K100" i="7"/>
  <c r="O100" i="7"/>
  <c r="P100" i="7"/>
  <c r="Q100" i="7"/>
  <c r="I99" i="7"/>
  <c r="H99" i="7"/>
  <c r="L99" i="7"/>
  <c r="M99" i="7" s="1"/>
  <c r="J99" i="7"/>
  <c r="K99" i="7"/>
  <c r="O99" i="7"/>
  <c r="P99" i="7"/>
  <c r="Q99" i="7"/>
  <c r="I98" i="7"/>
  <c r="H98" i="7"/>
  <c r="L98" i="7"/>
  <c r="M98" i="7"/>
  <c r="J98" i="7"/>
  <c r="K98" i="7" s="1"/>
  <c r="O98" i="7"/>
  <c r="P98" i="7"/>
  <c r="Q98" i="7"/>
  <c r="I97" i="7"/>
  <c r="H97" i="7"/>
  <c r="L97" i="7"/>
  <c r="M97" i="7"/>
  <c r="J97" i="7"/>
  <c r="K97" i="7" s="1"/>
  <c r="O97" i="7"/>
  <c r="P97" i="7"/>
  <c r="Q97" i="7"/>
  <c r="I96" i="7"/>
  <c r="H96" i="7"/>
  <c r="L96" i="7"/>
  <c r="M96" i="7" s="1"/>
  <c r="J96" i="7"/>
  <c r="K96" i="7"/>
  <c r="O96" i="7"/>
  <c r="P96" i="7"/>
  <c r="Q96" i="7"/>
  <c r="I95" i="7"/>
  <c r="H95" i="7"/>
  <c r="L95" i="7"/>
  <c r="M95" i="7" s="1"/>
  <c r="J95" i="7"/>
  <c r="K95" i="7"/>
  <c r="O95" i="7"/>
  <c r="P95" i="7"/>
  <c r="Q95" i="7"/>
  <c r="I94" i="7"/>
  <c r="H94" i="7"/>
  <c r="L94" i="7"/>
  <c r="M94" i="7"/>
  <c r="J94" i="7"/>
  <c r="K94" i="7" s="1"/>
  <c r="O94" i="7"/>
  <c r="P94" i="7"/>
  <c r="Q94" i="7"/>
  <c r="I93" i="7"/>
  <c r="H93" i="7"/>
  <c r="L93" i="7"/>
  <c r="M93" i="7"/>
  <c r="J93" i="7"/>
  <c r="K93" i="7" s="1"/>
  <c r="O93" i="7"/>
  <c r="P93" i="7"/>
  <c r="Q93" i="7"/>
  <c r="I92" i="7"/>
  <c r="H92" i="7"/>
  <c r="L92" i="7"/>
  <c r="M92" i="7" s="1"/>
  <c r="J92" i="7"/>
  <c r="K92" i="7"/>
  <c r="O92" i="7"/>
  <c r="P92" i="7"/>
  <c r="Q92" i="7"/>
  <c r="I91" i="7"/>
  <c r="H91" i="7"/>
  <c r="L91" i="7"/>
  <c r="M91" i="7" s="1"/>
  <c r="J91" i="7"/>
  <c r="K91" i="7" s="1"/>
  <c r="O91" i="7"/>
  <c r="P91" i="7"/>
  <c r="Q91" i="7"/>
  <c r="I90" i="7"/>
  <c r="H90" i="7"/>
  <c r="L90" i="7"/>
  <c r="M90" i="7"/>
  <c r="N90" i="7" s="1"/>
  <c r="J90" i="7"/>
  <c r="K90" i="7" s="1"/>
  <c r="O90" i="7"/>
  <c r="P90" i="7"/>
  <c r="Q90" i="7"/>
  <c r="I89" i="7"/>
  <c r="H89" i="7"/>
  <c r="L89" i="7"/>
  <c r="M89" i="7"/>
  <c r="N89" i="7" s="1"/>
  <c r="J89" i="7"/>
  <c r="K89" i="7" s="1"/>
  <c r="O89" i="7"/>
  <c r="P89" i="7"/>
  <c r="Q89" i="7"/>
  <c r="I88" i="7"/>
  <c r="H88" i="7"/>
  <c r="L88" i="7"/>
  <c r="M88" i="7" s="1"/>
  <c r="J88" i="7"/>
  <c r="K88" i="7" s="1"/>
  <c r="O88" i="7"/>
  <c r="P88" i="7"/>
  <c r="Q88" i="7"/>
  <c r="I87" i="7"/>
  <c r="H87" i="7"/>
  <c r="L87" i="7"/>
  <c r="M87" i="7" s="1"/>
  <c r="J87" i="7"/>
  <c r="K87" i="7" s="1"/>
  <c r="O87" i="7"/>
  <c r="P87" i="7"/>
  <c r="Q87" i="7"/>
  <c r="I86" i="7"/>
  <c r="H86" i="7"/>
  <c r="L86" i="7"/>
  <c r="M86" i="7"/>
  <c r="N86" i="7" s="1"/>
  <c r="J86" i="7"/>
  <c r="K86" i="7" s="1"/>
  <c r="O86" i="7"/>
  <c r="P86" i="7"/>
  <c r="Q86" i="7"/>
  <c r="I85" i="7"/>
  <c r="H85" i="7"/>
  <c r="L85" i="7"/>
  <c r="M85" i="7"/>
  <c r="N85" i="7" s="1"/>
  <c r="J85" i="7"/>
  <c r="K85" i="7" s="1"/>
  <c r="O85" i="7"/>
  <c r="P85" i="7"/>
  <c r="Q85" i="7"/>
  <c r="I84" i="7"/>
  <c r="H84" i="7"/>
  <c r="L84" i="7"/>
  <c r="M84" i="7" s="1"/>
  <c r="J84" i="7"/>
  <c r="K84" i="7" s="1"/>
  <c r="O84" i="7"/>
  <c r="P84" i="7"/>
  <c r="Q84" i="7"/>
  <c r="I83" i="7"/>
  <c r="H83" i="7"/>
  <c r="L83" i="7"/>
  <c r="M83" i="7" s="1"/>
  <c r="J83" i="7"/>
  <c r="K83" i="7" s="1"/>
  <c r="O83" i="7"/>
  <c r="P83" i="7"/>
  <c r="Q83" i="7"/>
  <c r="I82" i="7"/>
  <c r="H82" i="7"/>
  <c r="L82" i="7"/>
  <c r="M82" i="7"/>
  <c r="N82" i="7" s="1"/>
  <c r="J82" i="7"/>
  <c r="K82" i="7" s="1"/>
  <c r="O82" i="7"/>
  <c r="P82" i="7"/>
  <c r="Q82" i="7"/>
  <c r="I81" i="7"/>
  <c r="H81" i="7"/>
  <c r="L81" i="7"/>
  <c r="M81" i="7"/>
  <c r="N81" i="7" s="1"/>
  <c r="J81" i="7"/>
  <c r="K81" i="7" s="1"/>
  <c r="O81" i="7"/>
  <c r="P81" i="7"/>
  <c r="Q81" i="7"/>
  <c r="I80" i="7"/>
  <c r="H80" i="7"/>
  <c r="L80" i="7"/>
  <c r="M80" i="7" s="1"/>
  <c r="J80" i="7"/>
  <c r="K80" i="7" s="1"/>
  <c r="O80" i="7"/>
  <c r="P80" i="7"/>
  <c r="Q80" i="7"/>
  <c r="I79" i="7"/>
  <c r="H79" i="7"/>
  <c r="L79" i="7"/>
  <c r="M79" i="7" s="1"/>
  <c r="J79" i="7"/>
  <c r="K79" i="7" s="1"/>
  <c r="O79" i="7"/>
  <c r="P79" i="7"/>
  <c r="Q79" i="7"/>
  <c r="I78" i="7"/>
  <c r="H78" i="7"/>
  <c r="L78" i="7"/>
  <c r="M78" i="7"/>
  <c r="N78" i="7" s="1"/>
  <c r="J78" i="7"/>
  <c r="K78" i="7" s="1"/>
  <c r="O78" i="7"/>
  <c r="P78" i="7"/>
  <c r="Q78" i="7"/>
  <c r="I77" i="7"/>
  <c r="H77" i="7"/>
  <c r="L77" i="7"/>
  <c r="M77" i="7"/>
  <c r="N77" i="7" s="1"/>
  <c r="J77" i="7"/>
  <c r="K77" i="7" s="1"/>
  <c r="O77" i="7"/>
  <c r="P77" i="7"/>
  <c r="Q77" i="7"/>
  <c r="I76" i="7"/>
  <c r="H76" i="7"/>
  <c r="L76" i="7"/>
  <c r="M76" i="7" s="1"/>
  <c r="J76" i="7"/>
  <c r="K76" i="7" s="1"/>
  <c r="O76" i="7"/>
  <c r="P76" i="7"/>
  <c r="Q76" i="7"/>
  <c r="I75" i="7"/>
  <c r="H75" i="7"/>
  <c r="L75" i="7"/>
  <c r="M75" i="7" s="1"/>
  <c r="J75" i="7"/>
  <c r="K75" i="7" s="1"/>
  <c r="O75" i="7"/>
  <c r="P75" i="7"/>
  <c r="Q75" i="7"/>
  <c r="I74" i="7"/>
  <c r="H74" i="7"/>
  <c r="L74" i="7"/>
  <c r="M74" i="7"/>
  <c r="J74" i="7"/>
  <c r="K74" i="7" s="1"/>
  <c r="O74" i="7"/>
  <c r="P74" i="7"/>
  <c r="Q74" i="7"/>
  <c r="I73" i="7"/>
  <c r="H73" i="7"/>
  <c r="L73" i="7"/>
  <c r="M73" i="7"/>
  <c r="J73" i="7"/>
  <c r="K73" i="7" s="1"/>
  <c r="O73" i="7"/>
  <c r="P73" i="7"/>
  <c r="Q73" i="7"/>
  <c r="I72" i="7"/>
  <c r="H72" i="7"/>
  <c r="L72" i="7"/>
  <c r="M72" i="7" s="1"/>
  <c r="J72" i="7"/>
  <c r="K72" i="7" s="1"/>
  <c r="O72" i="7"/>
  <c r="P72" i="7"/>
  <c r="Q72" i="7"/>
  <c r="I71" i="7"/>
  <c r="H71" i="7"/>
  <c r="L71" i="7"/>
  <c r="M71" i="7" s="1"/>
  <c r="J71" i="7"/>
  <c r="K71" i="7" s="1"/>
  <c r="O71" i="7"/>
  <c r="P71" i="7"/>
  <c r="Q71" i="7"/>
  <c r="I70" i="7"/>
  <c r="H70" i="7"/>
  <c r="L70" i="7"/>
  <c r="M70" i="7"/>
  <c r="J70" i="7"/>
  <c r="K70" i="7" s="1"/>
  <c r="O70" i="7"/>
  <c r="P70" i="7"/>
  <c r="Q70" i="7"/>
  <c r="I69" i="7"/>
  <c r="H69" i="7"/>
  <c r="L69" i="7"/>
  <c r="M69" i="7"/>
  <c r="J69" i="7"/>
  <c r="K69" i="7" s="1"/>
  <c r="O69" i="7"/>
  <c r="P69" i="7"/>
  <c r="Q69" i="7"/>
  <c r="I68" i="7"/>
  <c r="H68" i="7"/>
  <c r="L68" i="7"/>
  <c r="M68" i="7" s="1"/>
  <c r="J68" i="7"/>
  <c r="K68" i="7" s="1"/>
  <c r="O68" i="7"/>
  <c r="P68" i="7"/>
  <c r="Q68" i="7"/>
  <c r="I67" i="7"/>
  <c r="H67" i="7"/>
  <c r="L67" i="7"/>
  <c r="M67" i="7" s="1"/>
  <c r="J67" i="7"/>
  <c r="K67" i="7" s="1"/>
  <c r="O67" i="7"/>
  <c r="P67" i="7"/>
  <c r="Q67" i="7"/>
  <c r="I66" i="7"/>
  <c r="H66" i="7"/>
  <c r="L66" i="7"/>
  <c r="M66" i="7"/>
  <c r="J66" i="7"/>
  <c r="K66" i="7" s="1"/>
  <c r="O66" i="7"/>
  <c r="P66" i="7"/>
  <c r="Q66" i="7"/>
  <c r="I65" i="7"/>
  <c r="H65" i="7"/>
  <c r="L65" i="7"/>
  <c r="M65" i="7"/>
  <c r="J65" i="7"/>
  <c r="K65" i="7" s="1"/>
  <c r="O65" i="7"/>
  <c r="P65" i="7"/>
  <c r="Q65" i="7"/>
  <c r="I64" i="7"/>
  <c r="H64" i="7"/>
  <c r="L64" i="7"/>
  <c r="M64" i="7" s="1"/>
  <c r="J64" i="7"/>
  <c r="K64" i="7" s="1"/>
  <c r="O64" i="7"/>
  <c r="P64" i="7"/>
  <c r="Q64" i="7"/>
  <c r="I63" i="7"/>
  <c r="H63" i="7"/>
  <c r="L63" i="7"/>
  <c r="M63" i="7" s="1"/>
  <c r="J63" i="7"/>
  <c r="K63" i="7" s="1"/>
  <c r="O63" i="7"/>
  <c r="P63" i="7"/>
  <c r="Q63" i="7"/>
  <c r="I62" i="7"/>
  <c r="H62" i="7"/>
  <c r="L62" i="7"/>
  <c r="M62" i="7"/>
  <c r="J62" i="7"/>
  <c r="K62" i="7" s="1"/>
  <c r="O62" i="7"/>
  <c r="P62" i="7"/>
  <c r="Q62" i="7"/>
  <c r="I61" i="7"/>
  <c r="H61" i="7"/>
  <c r="L61" i="7"/>
  <c r="M61" i="7"/>
  <c r="J61" i="7"/>
  <c r="K61" i="7" s="1"/>
  <c r="O61" i="7"/>
  <c r="P61" i="7"/>
  <c r="Q61" i="7"/>
  <c r="I60" i="7"/>
  <c r="H60" i="7"/>
  <c r="L60" i="7"/>
  <c r="M60" i="7" s="1"/>
  <c r="J60" i="7"/>
  <c r="K60" i="7" s="1"/>
  <c r="O60" i="7"/>
  <c r="P60" i="7"/>
  <c r="Q60" i="7"/>
  <c r="I59" i="7"/>
  <c r="H59" i="7"/>
  <c r="L59" i="7"/>
  <c r="M59" i="7" s="1"/>
  <c r="J59" i="7"/>
  <c r="K59" i="7" s="1"/>
  <c r="O59" i="7"/>
  <c r="P59" i="7"/>
  <c r="Q59" i="7"/>
  <c r="I58" i="7"/>
  <c r="H58" i="7"/>
  <c r="L58" i="7"/>
  <c r="M58" i="7"/>
  <c r="J58" i="7"/>
  <c r="K58" i="7" s="1"/>
  <c r="O58" i="7"/>
  <c r="P58" i="7"/>
  <c r="Q58" i="7"/>
  <c r="I57" i="7"/>
  <c r="H57" i="7"/>
  <c r="L57" i="7"/>
  <c r="M57" i="7"/>
  <c r="J57" i="7"/>
  <c r="K57" i="7" s="1"/>
  <c r="O57" i="7"/>
  <c r="P57" i="7"/>
  <c r="Q57" i="7"/>
  <c r="I56" i="7"/>
  <c r="H56" i="7"/>
  <c r="L56" i="7"/>
  <c r="M56" i="7" s="1"/>
  <c r="J56" i="7"/>
  <c r="K56" i="7" s="1"/>
  <c r="O56" i="7"/>
  <c r="P56" i="7"/>
  <c r="Q56" i="7"/>
  <c r="I55" i="7"/>
  <c r="H55" i="7"/>
  <c r="L55" i="7"/>
  <c r="M55" i="7" s="1"/>
  <c r="J55" i="7"/>
  <c r="K55" i="7" s="1"/>
  <c r="O55" i="7"/>
  <c r="P55" i="7"/>
  <c r="Q55" i="7"/>
  <c r="I54" i="7"/>
  <c r="H54" i="7"/>
  <c r="L54" i="7"/>
  <c r="M54" i="7"/>
  <c r="J54" i="7"/>
  <c r="K54" i="7" s="1"/>
  <c r="O54" i="7"/>
  <c r="P54" i="7"/>
  <c r="Q54" i="7"/>
  <c r="I53" i="7"/>
  <c r="H53" i="7"/>
  <c r="L53" i="7"/>
  <c r="M53" i="7"/>
  <c r="J53" i="7"/>
  <c r="K53" i="7" s="1"/>
  <c r="O53" i="7"/>
  <c r="P53" i="7"/>
  <c r="Q53" i="7"/>
  <c r="I52" i="7"/>
  <c r="H52" i="7"/>
  <c r="L52" i="7"/>
  <c r="M52" i="7" s="1"/>
  <c r="J52" i="7"/>
  <c r="K52" i="7" s="1"/>
  <c r="O52" i="7"/>
  <c r="P52" i="7"/>
  <c r="Q52" i="7"/>
  <c r="I51" i="7"/>
  <c r="H51" i="7"/>
  <c r="L51" i="7"/>
  <c r="M51" i="7" s="1"/>
  <c r="J51" i="7"/>
  <c r="K51" i="7" s="1"/>
  <c r="O51" i="7"/>
  <c r="P51" i="7"/>
  <c r="Q51" i="7"/>
  <c r="I50" i="7"/>
  <c r="H50" i="7"/>
  <c r="L50" i="7"/>
  <c r="M50" i="7"/>
  <c r="J50" i="7"/>
  <c r="K50" i="7" s="1"/>
  <c r="O50" i="7"/>
  <c r="P50" i="7"/>
  <c r="Q50" i="7"/>
  <c r="I49" i="7"/>
  <c r="H49" i="7"/>
  <c r="L49" i="7"/>
  <c r="M49" i="7"/>
  <c r="J49" i="7"/>
  <c r="K49" i="7" s="1"/>
  <c r="O49" i="7"/>
  <c r="P49" i="7"/>
  <c r="Q49" i="7"/>
  <c r="I48" i="7"/>
  <c r="H48" i="7"/>
  <c r="L48" i="7"/>
  <c r="M48" i="7" s="1"/>
  <c r="J48" i="7"/>
  <c r="K48" i="7" s="1"/>
  <c r="O48" i="7"/>
  <c r="P48" i="7"/>
  <c r="Q48" i="7"/>
  <c r="I47" i="7"/>
  <c r="H47" i="7"/>
  <c r="L47" i="7"/>
  <c r="M47" i="7" s="1"/>
  <c r="J47" i="7"/>
  <c r="K47" i="7" s="1"/>
  <c r="O47" i="7"/>
  <c r="P47" i="7"/>
  <c r="Q47" i="7"/>
  <c r="I46" i="7"/>
  <c r="H46" i="7"/>
  <c r="L46" i="7"/>
  <c r="M46" i="7"/>
  <c r="J46" i="7"/>
  <c r="K46" i="7" s="1"/>
  <c r="O46" i="7"/>
  <c r="P46" i="7"/>
  <c r="Q46" i="7"/>
  <c r="I45" i="7"/>
  <c r="H45" i="7"/>
  <c r="L45" i="7"/>
  <c r="M45" i="7"/>
  <c r="J45" i="7"/>
  <c r="K45" i="7" s="1"/>
  <c r="O45" i="7"/>
  <c r="P45" i="7"/>
  <c r="Q45" i="7"/>
  <c r="I44" i="7"/>
  <c r="H44" i="7"/>
  <c r="L44" i="7"/>
  <c r="M44" i="7" s="1"/>
  <c r="J44" i="7"/>
  <c r="K44" i="7" s="1"/>
  <c r="O44" i="7"/>
  <c r="P44" i="7"/>
  <c r="Q44" i="7"/>
  <c r="I43" i="7"/>
  <c r="H43" i="7"/>
  <c r="L43" i="7"/>
  <c r="M43" i="7" s="1"/>
  <c r="J43" i="7"/>
  <c r="K43" i="7" s="1"/>
  <c r="O43" i="7"/>
  <c r="P43" i="7"/>
  <c r="Q43" i="7"/>
  <c r="I42" i="7"/>
  <c r="H42" i="7"/>
  <c r="L42" i="7"/>
  <c r="M42" i="7"/>
  <c r="J42" i="7"/>
  <c r="K42" i="7" s="1"/>
  <c r="O42" i="7"/>
  <c r="P42" i="7"/>
  <c r="Q42" i="7"/>
  <c r="I41" i="7"/>
  <c r="H41" i="7"/>
  <c r="L41" i="7"/>
  <c r="M41" i="7"/>
  <c r="J41" i="7"/>
  <c r="K41" i="7" s="1"/>
  <c r="O41" i="7"/>
  <c r="P41" i="7"/>
  <c r="Q41" i="7"/>
  <c r="I40" i="7"/>
  <c r="H40" i="7"/>
  <c r="L40" i="7"/>
  <c r="M40" i="7" s="1"/>
  <c r="J40" i="7"/>
  <c r="K40" i="7" s="1"/>
  <c r="O40" i="7"/>
  <c r="P40" i="7"/>
  <c r="Q40" i="7"/>
  <c r="I39" i="7"/>
  <c r="H39" i="7"/>
  <c r="L39" i="7"/>
  <c r="M39" i="7" s="1"/>
  <c r="J39" i="7"/>
  <c r="K39" i="7" s="1"/>
  <c r="O39" i="7"/>
  <c r="P39" i="7"/>
  <c r="Q39" i="7"/>
  <c r="I38" i="7"/>
  <c r="H38" i="7"/>
  <c r="L38" i="7"/>
  <c r="M38" i="7"/>
  <c r="J38" i="7"/>
  <c r="K38" i="7" s="1"/>
  <c r="O38" i="7"/>
  <c r="P38" i="7"/>
  <c r="Q38" i="7"/>
  <c r="I37" i="7"/>
  <c r="H37" i="7"/>
  <c r="L37" i="7"/>
  <c r="M37" i="7"/>
  <c r="J37" i="7"/>
  <c r="K37" i="7" s="1"/>
  <c r="O37" i="7"/>
  <c r="P37" i="7"/>
  <c r="Q37" i="7"/>
  <c r="I36" i="7"/>
  <c r="H36" i="7"/>
  <c r="L36" i="7"/>
  <c r="M36" i="7" s="1"/>
  <c r="J36" i="7"/>
  <c r="K36" i="7" s="1"/>
  <c r="O36" i="7"/>
  <c r="P36" i="7"/>
  <c r="Q36" i="7"/>
  <c r="I35" i="7"/>
  <c r="H35" i="7"/>
  <c r="L35" i="7"/>
  <c r="M35" i="7" s="1"/>
  <c r="J35" i="7"/>
  <c r="K35" i="7" s="1"/>
  <c r="O35" i="7"/>
  <c r="P35" i="7"/>
  <c r="Q35" i="7"/>
  <c r="I34" i="7"/>
  <c r="H34" i="7"/>
  <c r="L34" i="7"/>
  <c r="M34" i="7"/>
  <c r="J34" i="7"/>
  <c r="K34" i="7" s="1"/>
  <c r="O34" i="7"/>
  <c r="P34" i="7"/>
  <c r="Q34" i="7"/>
  <c r="I33" i="7"/>
  <c r="H33" i="7"/>
  <c r="L33" i="7"/>
  <c r="M33" i="7"/>
  <c r="J33" i="7"/>
  <c r="K33" i="7" s="1"/>
  <c r="O33" i="7"/>
  <c r="P33" i="7"/>
  <c r="Q33" i="7"/>
  <c r="I32" i="7"/>
  <c r="H32" i="7"/>
  <c r="L32" i="7"/>
  <c r="M32" i="7" s="1"/>
  <c r="J32" i="7"/>
  <c r="K32" i="7" s="1"/>
  <c r="O32" i="7"/>
  <c r="P32" i="7"/>
  <c r="Q32" i="7"/>
  <c r="I31" i="7"/>
  <c r="H31" i="7"/>
  <c r="L31" i="7"/>
  <c r="M31" i="7" s="1"/>
  <c r="J31" i="7"/>
  <c r="K31" i="7" s="1"/>
  <c r="O31" i="7"/>
  <c r="P31" i="7"/>
  <c r="Q31" i="7"/>
  <c r="I30" i="7"/>
  <c r="H30" i="7"/>
  <c r="L30" i="7"/>
  <c r="M30" i="7"/>
  <c r="J30" i="7"/>
  <c r="K30" i="7" s="1"/>
  <c r="O30" i="7"/>
  <c r="P30" i="7"/>
  <c r="Q30" i="7"/>
  <c r="I29" i="7"/>
  <c r="H29" i="7"/>
  <c r="L29" i="7"/>
  <c r="M29" i="7"/>
  <c r="J29" i="7"/>
  <c r="K29" i="7" s="1"/>
  <c r="O29" i="7"/>
  <c r="P29" i="7"/>
  <c r="Q29" i="7"/>
  <c r="I28" i="7"/>
  <c r="H28" i="7"/>
  <c r="L28" i="7"/>
  <c r="M28" i="7" s="1"/>
  <c r="J28" i="7"/>
  <c r="K28" i="7" s="1"/>
  <c r="O28" i="7"/>
  <c r="P28" i="7"/>
  <c r="Q28" i="7"/>
  <c r="I27" i="7"/>
  <c r="H27" i="7"/>
  <c r="L27" i="7"/>
  <c r="M27" i="7" s="1"/>
  <c r="J27" i="7"/>
  <c r="K27" i="7" s="1"/>
  <c r="O27" i="7"/>
  <c r="P27" i="7"/>
  <c r="Q27" i="7"/>
  <c r="I26" i="7"/>
  <c r="H26" i="7"/>
  <c r="L26" i="7"/>
  <c r="M26" i="7"/>
  <c r="J26" i="7"/>
  <c r="K26" i="7" s="1"/>
  <c r="O26" i="7"/>
  <c r="P26" i="7"/>
  <c r="Q26" i="7"/>
  <c r="I25" i="7"/>
  <c r="H25" i="7"/>
  <c r="L25" i="7"/>
  <c r="M25" i="7"/>
  <c r="J25" i="7"/>
  <c r="K25" i="7" s="1"/>
  <c r="O25" i="7"/>
  <c r="P25" i="7"/>
  <c r="Q25" i="7"/>
  <c r="I24" i="7"/>
  <c r="H24" i="7"/>
  <c r="L24" i="7"/>
  <c r="M24" i="7" s="1"/>
  <c r="J24" i="7"/>
  <c r="K24" i="7" s="1"/>
  <c r="O24" i="7"/>
  <c r="P24" i="7"/>
  <c r="Q24" i="7"/>
  <c r="I23" i="7"/>
  <c r="H23" i="7"/>
  <c r="L23" i="7"/>
  <c r="M23" i="7" s="1"/>
  <c r="J23" i="7"/>
  <c r="K23" i="7" s="1"/>
  <c r="O23" i="7"/>
  <c r="P23" i="7"/>
  <c r="Q23" i="7"/>
  <c r="I22" i="7"/>
  <c r="H22" i="7"/>
  <c r="L22" i="7"/>
  <c r="M22" i="7"/>
  <c r="J22" i="7"/>
  <c r="K22" i="7" s="1"/>
  <c r="O22" i="7"/>
  <c r="P22" i="7"/>
  <c r="Q22" i="7"/>
  <c r="I21" i="7"/>
  <c r="H21" i="7"/>
  <c r="L21" i="7"/>
  <c r="M21" i="7"/>
  <c r="J21" i="7"/>
  <c r="K21" i="7" s="1"/>
  <c r="O21" i="7"/>
  <c r="P21" i="7"/>
  <c r="Q21" i="7"/>
  <c r="I20" i="7"/>
  <c r="H20" i="7"/>
  <c r="L20" i="7"/>
  <c r="M20" i="7" s="1"/>
  <c r="J20" i="7"/>
  <c r="K20" i="7" s="1"/>
  <c r="O20" i="7"/>
  <c r="P20" i="7"/>
  <c r="Q20" i="7"/>
  <c r="I19" i="7"/>
  <c r="H19" i="7"/>
  <c r="L19" i="7"/>
  <c r="M19" i="7" s="1"/>
  <c r="J19" i="7"/>
  <c r="K19" i="7" s="1"/>
  <c r="O19" i="7"/>
  <c r="P19" i="7"/>
  <c r="Q19" i="7"/>
  <c r="I18" i="7"/>
  <c r="H18" i="7"/>
  <c r="L18" i="7"/>
  <c r="M18" i="7"/>
  <c r="J18" i="7"/>
  <c r="K18" i="7" s="1"/>
  <c r="O18" i="7"/>
  <c r="P18" i="7"/>
  <c r="Q18" i="7"/>
  <c r="I17" i="7"/>
  <c r="H17" i="7"/>
  <c r="L17" i="7"/>
  <c r="M17" i="7"/>
  <c r="J17" i="7"/>
  <c r="K17" i="7" s="1"/>
  <c r="O17" i="7"/>
  <c r="P17" i="7"/>
  <c r="Q17" i="7"/>
  <c r="I16" i="7"/>
  <c r="H16" i="7"/>
  <c r="L16" i="7"/>
  <c r="M16" i="7" s="1"/>
  <c r="J16" i="7"/>
  <c r="K16" i="7" s="1"/>
  <c r="O16" i="7"/>
  <c r="P16" i="7"/>
  <c r="Q16" i="7"/>
  <c r="I15" i="7"/>
  <c r="H15" i="7"/>
  <c r="L15" i="7"/>
  <c r="M15" i="7" s="1"/>
  <c r="J15" i="7"/>
  <c r="K15" i="7" s="1"/>
  <c r="O15" i="7"/>
  <c r="P15" i="7"/>
  <c r="Q15" i="7"/>
  <c r="I14" i="7"/>
  <c r="H14" i="7"/>
  <c r="L14" i="7"/>
  <c r="M14" i="7"/>
  <c r="J14" i="7"/>
  <c r="K14" i="7" s="1"/>
  <c r="O14" i="7"/>
  <c r="P14" i="7"/>
  <c r="Q14" i="7"/>
  <c r="I13" i="7"/>
  <c r="H13" i="7"/>
  <c r="L13" i="7"/>
  <c r="M13" i="7"/>
  <c r="J13" i="7"/>
  <c r="K13" i="7" s="1"/>
  <c r="O13" i="7"/>
  <c r="P13" i="7"/>
  <c r="Q13" i="7"/>
  <c r="I12" i="7"/>
  <c r="H12" i="7"/>
  <c r="L12" i="7"/>
  <c r="M12" i="7" s="1"/>
  <c r="J12" i="7"/>
  <c r="K12" i="7" s="1"/>
  <c r="O12" i="7"/>
  <c r="P12" i="7"/>
  <c r="Q12" i="7"/>
  <c r="I11" i="7"/>
  <c r="H11" i="7"/>
  <c r="L11" i="7"/>
  <c r="M11" i="7" s="1"/>
  <c r="J11" i="7"/>
  <c r="K11" i="7" s="1"/>
  <c r="O11" i="7"/>
  <c r="P11" i="7"/>
  <c r="Q11" i="7"/>
  <c r="I10" i="7"/>
  <c r="H10" i="7"/>
  <c r="L10" i="7"/>
  <c r="M10" i="7"/>
  <c r="J10" i="7"/>
  <c r="K10" i="7" s="1"/>
  <c r="O10" i="7"/>
  <c r="P10" i="7"/>
  <c r="Q10" i="7"/>
  <c r="I9" i="7"/>
  <c r="H9" i="7"/>
  <c r="L9" i="7"/>
  <c r="M9" i="7"/>
  <c r="J9" i="7"/>
  <c r="K9" i="7" s="1"/>
  <c r="O9" i="7"/>
  <c r="P9" i="7"/>
  <c r="Q9" i="7"/>
  <c r="J110" i="6"/>
  <c r="W110" i="6" s="1"/>
  <c r="X110" i="6" s="1"/>
  <c r="Y110" i="6" s="1"/>
  <c r="I110" i="6"/>
  <c r="K110" i="6"/>
  <c r="L110" i="6" s="1"/>
  <c r="M110" i="6"/>
  <c r="N110" i="6" s="1"/>
  <c r="O110" i="6"/>
  <c r="P110" i="6" s="1"/>
  <c r="R110" i="6"/>
  <c r="S110" i="6"/>
  <c r="T110" i="6"/>
  <c r="U110" i="6"/>
  <c r="V110" i="6"/>
  <c r="J109" i="6"/>
  <c r="I109" i="6"/>
  <c r="K109" i="6"/>
  <c r="L109" i="6" s="1"/>
  <c r="M109" i="6"/>
  <c r="N109" i="6" s="1"/>
  <c r="O109" i="6"/>
  <c r="P109" i="6" s="1"/>
  <c r="R109" i="6"/>
  <c r="S109" i="6"/>
  <c r="T109" i="6"/>
  <c r="U109" i="6"/>
  <c r="V109" i="6"/>
  <c r="J108" i="6"/>
  <c r="W108" i="6" s="1"/>
  <c r="X108" i="6" s="1"/>
  <c r="Y108" i="6" s="1"/>
  <c r="I108" i="6"/>
  <c r="K108" i="6"/>
  <c r="L108" i="6" s="1"/>
  <c r="M108" i="6"/>
  <c r="N108" i="6" s="1"/>
  <c r="O108" i="6"/>
  <c r="P108" i="6" s="1"/>
  <c r="R108" i="6"/>
  <c r="S108" i="6"/>
  <c r="T108" i="6"/>
  <c r="U108" i="6"/>
  <c r="V108" i="6"/>
  <c r="J107" i="6"/>
  <c r="I107" i="6"/>
  <c r="K107" i="6"/>
  <c r="L107" i="6" s="1"/>
  <c r="M107" i="6"/>
  <c r="N107" i="6" s="1"/>
  <c r="O107" i="6"/>
  <c r="P107" i="6"/>
  <c r="R107" i="6"/>
  <c r="S107" i="6"/>
  <c r="T107" i="6"/>
  <c r="U107" i="6"/>
  <c r="V107" i="6"/>
  <c r="J106" i="6"/>
  <c r="W106" i="6" s="1"/>
  <c r="X106" i="6" s="1"/>
  <c r="Y106" i="6" s="1"/>
  <c r="I106" i="6"/>
  <c r="K106" i="6"/>
  <c r="L106" i="6" s="1"/>
  <c r="M106" i="6"/>
  <c r="N106" i="6" s="1"/>
  <c r="O106" i="6"/>
  <c r="P106" i="6" s="1"/>
  <c r="R106" i="6"/>
  <c r="S106" i="6"/>
  <c r="T106" i="6"/>
  <c r="U106" i="6"/>
  <c r="V106" i="6"/>
  <c r="J105" i="6"/>
  <c r="W105" i="6" s="1"/>
  <c r="X105" i="6" s="1"/>
  <c r="Y105" i="6" s="1"/>
  <c r="I105" i="6"/>
  <c r="K105" i="6"/>
  <c r="L105" i="6" s="1"/>
  <c r="M105" i="6"/>
  <c r="N105" i="6" s="1"/>
  <c r="O105" i="6"/>
  <c r="P105" i="6" s="1"/>
  <c r="R105" i="6"/>
  <c r="S105" i="6"/>
  <c r="T105" i="6"/>
  <c r="U105" i="6"/>
  <c r="V105" i="6"/>
  <c r="J104" i="6"/>
  <c r="W104" i="6" s="1"/>
  <c r="X104" i="6" s="1"/>
  <c r="Y104" i="6" s="1"/>
  <c r="I104" i="6"/>
  <c r="K104" i="6"/>
  <c r="L104" i="6" s="1"/>
  <c r="M104" i="6"/>
  <c r="N104" i="6" s="1"/>
  <c r="O104" i="6"/>
  <c r="P104" i="6" s="1"/>
  <c r="R104" i="6"/>
  <c r="S104" i="6"/>
  <c r="T104" i="6"/>
  <c r="U104" i="6"/>
  <c r="V104" i="6"/>
  <c r="J103" i="6"/>
  <c r="W103" i="6" s="1"/>
  <c r="X103" i="6" s="1"/>
  <c r="Y103" i="6" s="1"/>
  <c r="I103" i="6"/>
  <c r="K103" i="6"/>
  <c r="L103" i="6" s="1"/>
  <c r="M103" i="6"/>
  <c r="N103" i="6" s="1"/>
  <c r="O103" i="6"/>
  <c r="P103" i="6" s="1"/>
  <c r="R103" i="6"/>
  <c r="S103" i="6"/>
  <c r="T103" i="6"/>
  <c r="U103" i="6"/>
  <c r="V103" i="6"/>
  <c r="J102" i="6"/>
  <c r="W102" i="6" s="1"/>
  <c r="X102" i="6" s="1"/>
  <c r="Y102" i="6" s="1"/>
  <c r="I102" i="6"/>
  <c r="K102" i="6"/>
  <c r="L102" i="6" s="1"/>
  <c r="M102" i="6"/>
  <c r="N102" i="6"/>
  <c r="O102" i="6"/>
  <c r="P102" i="6" s="1"/>
  <c r="R102" i="6"/>
  <c r="S102" i="6"/>
  <c r="T102" i="6"/>
  <c r="U102" i="6"/>
  <c r="V102" i="6"/>
  <c r="J101" i="6"/>
  <c r="I101" i="6"/>
  <c r="K101" i="6"/>
  <c r="L101" i="6" s="1"/>
  <c r="M101" i="6"/>
  <c r="N101" i="6" s="1"/>
  <c r="O101" i="6"/>
  <c r="P101" i="6" s="1"/>
  <c r="R101" i="6"/>
  <c r="S101" i="6"/>
  <c r="T101" i="6"/>
  <c r="U101" i="6"/>
  <c r="V101" i="6"/>
  <c r="J100" i="6"/>
  <c r="W100" i="6" s="1"/>
  <c r="X100" i="6" s="1"/>
  <c r="Y100" i="6" s="1"/>
  <c r="I100" i="6"/>
  <c r="K100" i="6"/>
  <c r="L100" i="6" s="1"/>
  <c r="M100" i="6"/>
  <c r="N100" i="6" s="1"/>
  <c r="O100" i="6"/>
  <c r="P100" i="6" s="1"/>
  <c r="R100" i="6"/>
  <c r="S100" i="6"/>
  <c r="T100" i="6"/>
  <c r="U100" i="6"/>
  <c r="V100" i="6"/>
  <c r="J99" i="6"/>
  <c r="W99" i="6" s="1"/>
  <c r="X99" i="6" s="1"/>
  <c r="Y99" i="6" s="1"/>
  <c r="I99" i="6"/>
  <c r="K99" i="6"/>
  <c r="L99" i="6" s="1"/>
  <c r="M99" i="6"/>
  <c r="N99" i="6" s="1"/>
  <c r="O99" i="6"/>
  <c r="P99" i="6"/>
  <c r="R99" i="6"/>
  <c r="S99" i="6"/>
  <c r="T99" i="6"/>
  <c r="U99" i="6"/>
  <c r="V99" i="6"/>
  <c r="J98" i="6"/>
  <c r="W98" i="6" s="1"/>
  <c r="X98" i="6" s="1"/>
  <c r="Y98" i="6" s="1"/>
  <c r="I98" i="6"/>
  <c r="K98" i="6"/>
  <c r="L98" i="6" s="1"/>
  <c r="M98" i="6"/>
  <c r="N98" i="6" s="1"/>
  <c r="O98" i="6"/>
  <c r="P98" i="6" s="1"/>
  <c r="R98" i="6"/>
  <c r="S98" i="6"/>
  <c r="T98" i="6"/>
  <c r="U98" i="6"/>
  <c r="V98" i="6"/>
  <c r="J97" i="6"/>
  <c r="W97" i="6" s="1"/>
  <c r="X97" i="6" s="1"/>
  <c r="Y97" i="6" s="1"/>
  <c r="I97" i="6"/>
  <c r="K97" i="6"/>
  <c r="L97" i="6" s="1"/>
  <c r="M97" i="6"/>
  <c r="N97" i="6" s="1"/>
  <c r="O97" i="6"/>
  <c r="P97" i="6" s="1"/>
  <c r="R97" i="6"/>
  <c r="S97" i="6"/>
  <c r="T97" i="6"/>
  <c r="U97" i="6"/>
  <c r="V97" i="6"/>
  <c r="J96" i="6"/>
  <c r="W96" i="6" s="1"/>
  <c r="X96" i="6" s="1"/>
  <c r="Y96" i="6" s="1"/>
  <c r="I96" i="6"/>
  <c r="K96" i="6"/>
  <c r="L96" i="6" s="1"/>
  <c r="M96" i="6"/>
  <c r="N96" i="6" s="1"/>
  <c r="O96" i="6"/>
  <c r="P96" i="6" s="1"/>
  <c r="R96" i="6"/>
  <c r="S96" i="6"/>
  <c r="T96" i="6"/>
  <c r="U96" i="6"/>
  <c r="V96" i="6"/>
  <c r="J95" i="6"/>
  <c r="W95" i="6" s="1"/>
  <c r="X95" i="6" s="1"/>
  <c r="Y95" i="6" s="1"/>
  <c r="I95" i="6"/>
  <c r="K95" i="6"/>
  <c r="L95" i="6"/>
  <c r="M95" i="6"/>
  <c r="N95" i="6" s="1"/>
  <c r="O95" i="6"/>
  <c r="P95" i="6" s="1"/>
  <c r="R95" i="6"/>
  <c r="S95" i="6"/>
  <c r="T95" i="6"/>
  <c r="U95" i="6"/>
  <c r="V95" i="6"/>
  <c r="J94" i="6"/>
  <c r="W94" i="6" s="1"/>
  <c r="X94" i="6" s="1"/>
  <c r="Y94" i="6" s="1"/>
  <c r="I94" i="6"/>
  <c r="K94" i="6"/>
  <c r="L94" i="6" s="1"/>
  <c r="M94" i="6"/>
  <c r="N94" i="6"/>
  <c r="O94" i="6"/>
  <c r="P94" i="6" s="1"/>
  <c r="R94" i="6"/>
  <c r="S94" i="6"/>
  <c r="T94" i="6"/>
  <c r="U94" i="6"/>
  <c r="V94" i="6"/>
  <c r="J93" i="6"/>
  <c r="W93" i="6" s="1"/>
  <c r="X93" i="6" s="1"/>
  <c r="Y93" i="6" s="1"/>
  <c r="I93" i="6"/>
  <c r="K93" i="6"/>
  <c r="L93" i="6" s="1"/>
  <c r="M93" i="6"/>
  <c r="N93" i="6" s="1"/>
  <c r="O93" i="6"/>
  <c r="P93" i="6" s="1"/>
  <c r="R93" i="6"/>
  <c r="S93" i="6"/>
  <c r="T93" i="6"/>
  <c r="U93" i="6"/>
  <c r="V93" i="6"/>
  <c r="J92" i="6"/>
  <c r="I92" i="6"/>
  <c r="K92" i="6"/>
  <c r="L92" i="6" s="1"/>
  <c r="M92" i="6"/>
  <c r="N92" i="6" s="1"/>
  <c r="O92" i="6"/>
  <c r="P92" i="6" s="1"/>
  <c r="R92" i="6"/>
  <c r="S92" i="6"/>
  <c r="T92" i="6"/>
  <c r="U92" i="6"/>
  <c r="V92" i="6"/>
  <c r="J91" i="6"/>
  <c r="I91" i="6"/>
  <c r="K91" i="6"/>
  <c r="L91" i="6" s="1"/>
  <c r="M91" i="6"/>
  <c r="N91" i="6" s="1"/>
  <c r="O91" i="6"/>
  <c r="P91" i="6"/>
  <c r="R91" i="6"/>
  <c r="S91" i="6"/>
  <c r="T91" i="6"/>
  <c r="U91" i="6"/>
  <c r="V91" i="6"/>
  <c r="J90" i="6"/>
  <c r="I90" i="6"/>
  <c r="K90" i="6"/>
  <c r="L90" i="6" s="1"/>
  <c r="M90" i="6"/>
  <c r="N90" i="6" s="1"/>
  <c r="O90" i="6"/>
  <c r="P90" i="6" s="1"/>
  <c r="R90" i="6"/>
  <c r="S90" i="6"/>
  <c r="T90" i="6"/>
  <c r="U90" i="6"/>
  <c r="V90" i="6"/>
  <c r="J89" i="6"/>
  <c r="I89" i="6"/>
  <c r="K89" i="6"/>
  <c r="L89" i="6" s="1"/>
  <c r="M89" i="6"/>
  <c r="N89" i="6" s="1"/>
  <c r="O89" i="6"/>
  <c r="P89" i="6" s="1"/>
  <c r="R89" i="6"/>
  <c r="S89" i="6"/>
  <c r="T89" i="6"/>
  <c r="U89" i="6"/>
  <c r="V89" i="6"/>
  <c r="J88" i="6"/>
  <c r="I88" i="6"/>
  <c r="K88" i="6"/>
  <c r="L88" i="6" s="1"/>
  <c r="M88" i="6"/>
  <c r="N88" i="6" s="1"/>
  <c r="O88" i="6"/>
  <c r="P88" i="6" s="1"/>
  <c r="R88" i="6"/>
  <c r="S88" i="6"/>
  <c r="T88" i="6"/>
  <c r="U88" i="6"/>
  <c r="V88" i="6"/>
  <c r="J87" i="6"/>
  <c r="I87" i="6"/>
  <c r="K87" i="6"/>
  <c r="L87" i="6" s="1"/>
  <c r="M87" i="6"/>
  <c r="N87" i="6" s="1"/>
  <c r="O87" i="6"/>
  <c r="P87" i="6" s="1"/>
  <c r="R87" i="6"/>
  <c r="S87" i="6"/>
  <c r="T87" i="6"/>
  <c r="U87" i="6"/>
  <c r="V87" i="6"/>
  <c r="J86" i="6"/>
  <c r="I86" i="6"/>
  <c r="K86" i="6"/>
  <c r="L86" i="6" s="1"/>
  <c r="M86" i="6"/>
  <c r="N86" i="6" s="1"/>
  <c r="O86" i="6"/>
  <c r="P86" i="6" s="1"/>
  <c r="R86" i="6"/>
  <c r="S86" i="6"/>
  <c r="T86" i="6"/>
  <c r="U86" i="6"/>
  <c r="V86" i="6"/>
  <c r="J85" i="6"/>
  <c r="I85" i="6"/>
  <c r="K85" i="6"/>
  <c r="L85" i="6" s="1"/>
  <c r="M85" i="6"/>
  <c r="N85" i="6" s="1"/>
  <c r="O85" i="6"/>
  <c r="P85" i="6" s="1"/>
  <c r="R85" i="6"/>
  <c r="S85" i="6"/>
  <c r="T85" i="6"/>
  <c r="U85" i="6"/>
  <c r="V85" i="6"/>
  <c r="J84" i="6"/>
  <c r="I84" i="6"/>
  <c r="K84" i="6"/>
  <c r="L84" i="6" s="1"/>
  <c r="M84" i="6"/>
  <c r="N84" i="6" s="1"/>
  <c r="O84" i="6"/>
  <c r="P84" i="6" s="1"/>
  <c r="R84" i="6"/>
  <c r="S84" i="6"/>
  <c r="T84" i="6"/>
  <c r="U84" i="6"/>
  <c r="V84" i="6"/>
  <c r="J83" i="6"/>
  <c r="I83" i="6"/>
  <c r="K83" i="6"/>
  <c r="L83" i="6" s="1"/>
  <c r="M83" i="6"/>
  <c r="N83" i="6" s="1"/>
  <c r="O83" i="6"/>
  <c r="P83" i="6" s="1"/>
  <c r="R83" i="6"/>
  <c r="S83" i="6"/>
  <c r="T83" i="6"/>
  <c r="U83" i="6"/>
  <c r="V83" i="6"/>
  <c r="J82" i="6"/>
  <c r="I82" i="6"/>
  <c r="K82" i="6"/>
  <c r="L82" i="6" s="1"/>
  <c r="M82" i="6"/>
  <c r="N82" i="6" s="1"/>
  <c r="O82" i="6"/>
  <c r="P82" i="6" s="1"/>
  <c r="R82" i="6"/>
  <c r="S82" i="6"/>
  <c r="T82" i="6"/>
  <c r="U82" i="6"/>
  <c r="V82" i="6"/>
  <c r="J81" i="6"/>
  <c r="I81" i="6"/>
  <c r="K81" i="6"/>
  <c r="L81" i="6" s="1"/>
  <c r="M81" i="6"/>
  <c r="N81" i="6" s="1"/>
  <c r="O81" i="6"/>
  <c r="P81" i="6" s="1"/>
  <c r="R81" i="6"/>
  <c r="S81" i="6"/>
  <c r="T81" i="6"/>
  <c r="U81" i="6"/>
  <c r="V81" i="6"/>
  <c r="J80" i="6"/>
  <c r="I80" i="6"/>
  <c r="K80" i="6"/>
  <c r="L80" i="6" s="1"/>
  <c r="M80" i="6"/>
  <c r="N80" i="6" s="1"/>
  <c r="O80" i="6"/>
  <c r="P80" i="6" s="1"/>
  <c r="R80" i="6"/>
  <c r="S80" i="6"/>
  <c r="T80" i="6"/>
  <c r="U80" i="6"/>
  <c r="V80" i="6"/>
  <c r="J79" i="6"/>
  <c r="I79" i="6"/>
  <c r="K79" i="6"/>
  <c r="L79" i="6"/>
  <c r="M79" i="6"/>
  <c r="N79" i="6" s="1"/>
  <c r="O79" i="6"/>
  <c r="P79" i="6" s="1"/>
  <c r="R79" i="6"/>
  <c r="S79" i="6"/>
  <c r="T79" i="6"/>
  <c r="U79" i="6"/>
  <c r="V79" i="6"/>
  <c r="J78" i="6"/>
  <c r="I78" i="6"/>
  <c r="K78" i="6"/>
  <c r="L78" i="6" s="1"/>
  <c r="M78" i="6"/>
  <c r="N78" i="6"/>
  <c r="O78" i="6"/>
  <c r="P78" i="6" s="1"/>
  <c r="R78" i="6"/>
  <c r="S78" i="6"/>
  <c r="T78" i="6"/>
  <c r="U78" i="6"/>
  <c r="V78" i="6"/>
  <c r="J77" i="6"/>
  <c r="I77" i="6"/>
  <c r="K77" i="6"/>
  <c r="L77" i="6" s="1"/>
  <c r="M77" i="6"/>
  <c r="N77" i="6" s="1"/>
  <c r="O77" i="6"/>
  <c r="P77" i="6" s="1"/>
  <c r="R77" i="6"/>
  <c r="S77" i="6"/>
  <c r="T77" i="6"/>
  <c r="U77" i="6"/>
  <c r="V77" i="6"/>
  <c r="J76" i="6"/>
  <c r="I76" i="6"/>
  <c r="K76" i="6"/>
  <c r="L76" i="6" s="1"/>
  <c r="M76" i="6"/>
  <c r="N76" i="6" s="1"/>
  <c r="O76" i="6"/>
  <c r="P76" i="6" s="1"/>
  <c r="R76" i="6"/>
  <c r="S76" i="6"/>
  <c r="T76" i="6"/>
  <c r="U76" i="6"/>
  <c r="V76" i="6"/>
  <c r="J75" i="6"/>
  <c r="I75" i="6"/>
  <c r="K75" i="6"/>
  <c r="L75" i="6" s="1"/>
  <c r="M75" i="6"/>
  <c r="N75" i="6" s="1"/>
  <c r="O75" i="6"/>
  <c r="P75" i="6" s="1"/>
  <c r="R75" i="6"/>
  <c r="S75" i="6"/>
  <c r="T75" i="6"/>
  <c r="U75" i="6"/>
  <c r="V75" i="6"/>
  <c r="J74" i="6"/>
  <c r="I74" i="6"/>
  <c r="K74" i="6"/>
  <c r="L74" i="6" s="1"/>
  <c r="M74" i="6"/>
  <c r="N74" i="6" s="1"/>
  <c r="O74" i="6"/>
  <c r="P74" i="6" s="1"/>
  <c r="R74" i="6"/>
  <c r="S74" i="6"/>
  <c r="T74" i="6"/>
  <c r="U74" i="6"/>
  <c r="V74" i="6"/>
  <c r="J73" i="6"/>
  <c r="I73" i="6"/>
  <c r="K73" i="6"/>
  <c r="L73" i="6" s="1"/>
  <c r="M73" i="6"/>
  <c r="N73" i="6" s="1"/>
  <c r="O73" i="6"/>
  <c r="P73" i="6" s="1"/>
  <c r="R73" i="6"/>
  <c r="S73" i="6"/>
  <c r="T73" i="6"/>
  <c r="U73" i="6"/>
  <c r="V73" i="6"/>
  <c r="J72" i="6"/>
  <c r="I72" i="6"/>
  <c r="K72" i="6"/>
  <c r="L72" i="6" s="1"/>
  <c r="M72" i="6"/>
  <c r="N72" i="6" s="1"/>
  <c r="O72" i="6"/>
  <c r="P72" i="6" s="1"/>
  <c r="R72" i="6"/>
  <c r="S72" i="6"/>
  <c r="T72" i="6"/>
  <c r="U72" i="6"/>
  <c r="V72" i="6"/>
  <c r="J71" i="6"/>
  <c r="I71" i="6"/>
  <c r="K71" i="6"/>
  <c r="L71" i="6" s="1"/>
  <c r="M71" i="6"/>
  <c r="N71" i="6" s="1"/>
  <c r="O71" i="6"/>
  <c r="P71" i="6" s="1"/>
  <c r="R71" i="6"/>
  <c r="S71" i="6"/>
  <c r="T71" i="6"/>
  <c r="U71" i="6"/>
  <c r="V71" i="6"/>
  <c r="J70" i="6"/>
  <c r="I70" i="6"/>
  <c r="K70" i="6"/>
  <c r="L70" i="6" s="1"/>
  <c r="M70" i="6"/>
  <c r="N70" i="6" s="1"/>
  <c r="O70" i="6"/>
  <c r="P70" i="6" s="1"/>
  <c r="R70" i="6"/>
  <c r="S70" i="6"/>
  <c r="T70" i="6"/>
  <c r="U70" i="6"/>
  <c r="V70" i="6"/>
  <c r="J69" i="6"/>
  <c r="I69" i="6"/>
  <c r="K69" i="6"/>
  <c r="L69" i="6" s="1"/>
  <c r="M69" i="6"/>
  <c r="N69" i="6" s="1"/>
  <c r="O69" i="6"/>
  <c r="P69" i="6" s="1"/>
  <c r="R69" i="6"/>
  <c r="S69" i="6"/>
  <c r="T69" i="6"/>
  <c r="U69" i="6"/>
  <c r="V69" i="6"/>
  <c r="J68" i="6"/>
  <c r="I68" i="6"/>
  <c r="K68" i="6"/>
  <c r="L68" i="6" s="1"/>
  <c r="M68" i="6"/>
  <c r="N68" i="6" s="1"/>
  <c r="O68" i="6"/>
  <c r="P68" i="6" s="1"/>
  <c r="R68" i="6"/>
  <c r="S68" i="6"/>
  <c r="T68" i="6"/>
  <c r="U68" i="6"/>
  <c r="V68" i="6"/>
  <c r="J67" i="6"/>
  <c r="I67" i="6"/>
  <c r="K67" i="6"/>
  <c r="L67" i="6" s="1"/>
  <c r="M67" i="6"/>
  <c r="N67" i="6" s="1"/>
  <c r="O67" i="6"/>
  <c r="P67" i="6" s="1"/>
  <c r="R67" i="6"/>
  <c r="S67" i="6"/>
  <c r="T67" i="6"/>
  <c r="U67" i="6"/>
  <c r="V67" i="6"/>
  <c r="J66" i="6"/>
  <c r="I66" i="6"/>
  <c r="K66" i="6"/>
  <c r="L66" i="6" s="1"/>
  <c r="M66" i="6"/>
  <c r="N66" i="6" s="1"/>
  <c r="O66" i="6"/>
  <c r="P66" i="6" s="1"/>
  <c r="R66" i="6"/>
  <c r="S66" i="6"/>
  <c r="T66" i="6"/>
  <c r="U66" i="6"/>
  <c r="V66" i="6"/>
  <c r="J65" i="6"/>
  <c r="I65" i="6"/>
  <c r="K65" i="6"/>
  <c r="L65" i="6" s="1"/>
  <c r="M65" i="6"/>
  <c r="N65" i="6" s="1"/>
  <c r="O65" i="6"/>
  <c r="P65" i="6" s="1"/>
  <c r="R65" i="6"/>
  <c r="S65" i="6"/>
  <c r="T65" i="6"/>
  <c r="U65" i="6"/>
  <c r="V65" i="6"/>
  <c r="J64" i="6"/>
  <c r="I64" i="6"/>
  <c r="K64" i="6"/>
  <c r="L64" i="6" s="1"/>
  <c r="M64" i="6"/>
  <c r="N64" i="6" s="1"/>
  <c r="O64" i="6"/>
  <c r="P64" i="6" s="1"/>
  <c r="R64" i="6"/>
  <c r="S64" i="6"/>
  <c r="T64" i="6"/>
  <c r="U64" i="6"/>
  <c r="V64" i="6"/>
  <c r="J63" i="6"/>
  <c r="I63" i="6"/>
  <c r="K63" i="6"/>
  <c r="L63" i="6" s="1"/>
  <c r="M63" i="6"/>
  <c r="N63" i="6" s="1"/>
  <c r="O63" i="6"/>
  <c r="P63" i="6" s="1"/>
  <c r="R63" i="6"/>
  <c r="S63" i="6"/>
  <c r="T63" i="6"/>
  <c r="U63" i="6"/>
  <c r="V63" i="6"/>
  <c r="J62" i="6"/>
  <c r="I62" i="6"/>
  <c r="K62" i="6"/>
  <c r="L62" i="6" s="1"/>
  <c r="M62" i="6"/>
  <c r="N62" i="6" s="1"/>
  <c r="O62" i="6"/>
  <c r="P62" i="6" s="1"/>
  <c r="R62" i="6"/>
  <c r="S62" i="6"/>
  <c r="T62" i="6"/>
  <c r="U62" i="6"/>
  <c r="V62" i="6"/>
  <c r="J61" i="6"/>
  <c r="I61" i="6"/>
  <c r="K61" i="6"/>
  <c r="L61" i="6" s="1"/>
  <c r="M61" i="6"/>
  <c r="N61" i="6" s="1"/>
  <c r="O61" i="6"/>
  <c r="P61" i="6" s="1"/>
  <c r="R61" i="6"/>
  <c r="S61" i="6"/>
  <c r="T61" i="6"/>
  <c r="U61" i="6"/>
  <c r="V61" i="6"/>
  <c r="J60" i="6"/>
  <c r="I60" i="6"/>
  <c r="K60" i="6"/>
  <c r="L60" i="6" s="1"/>
  <c r="M60" i="6"/>
  <c r="N60" i="6" s="1"/>
  <c r="O60" i="6"/>
  <c r="P60" i="6" s="1"/>
  <c r="R60" i="6"/>
  <c r="S60" i="6"/>
  <c r="T60" i="6"/>
  <c r="U60" i="6"/>
  <c r="V60" i="6"/>
  <c r="J59" i="6"/>
  <c r="I59" i="6"/>
  <c r="K59" i="6"/>
  <c r="L59" i="6" s="1"/>
  <c r="M59" i="6"/>
  <c r="N59" i="6" s="1"/>
  <c r="O59" i="6"/>
  <c r="P59" i="6" s="1"/>
  <c r="R59" i="6"/>
  <c r="S59" i="6"/>
  <c r="T59" i="6"/>
  <c r="U59" i="6"/>
  <c r="V59" i="6"/>
  <c r="J58" i="6"/>
  <c r="I58" i="6"/>
  <c r="K58" i="6"/>
  <c r="L58" i="6" s="1"/>
  <c r="M58" i="6"/>
  <c r="N58" i="6" s="1"/>
  <c r="O58" i="6"/>
  <c r="P58" i="6" s="1"/>
  <c r="R58" i="6"/>
  <c r="S58" i="6"/>
  <c r="T58" i="6"/>
  <c r="U58" i="6"/>
  <c r="V58" i="6"/>
  <c r="J57" i="6"/>
  <c r="I57" i="6"/>
  <c r="K57" i="6"/>
  <c r="L57" i="6" s="1"/>
  <c r="M57" i="6"/>
  <c r="N57" i="6" s="1"/>
  <c r="O57" i="6"/>
  <c r="P57" i="6" s="1"/>
  <c r="R57" i="6"/>
  <c r="S57" i="6"/>
  <c r="T57" i="6"/>
  <c r="U57" i="6"/>
  <c r="V57" i="6"/>
  <c r="J56" i="6"/>
  <c r="I56" i="6"/>
  <c r="K56" i="6"/>
  <c r="L56" i="6" s="1"/>
  <c r="M56" i="6"/>
  <c r="N56" i="6" s="1"/>
  <c r="O56" i="6"/>
  <c r="P56" i="6" s="1"/>
  <c r="R56" i="6"/>
  <c r="S56" i="6"/>
  <c r="T56" i="6"/>
  <c r="U56" i="6"/>
  <c r="V56" i="6"/>
  <c r="J55" i="6"/>
  <c r="I55" i="6"/>
  <c r="K55" i="6"/>
  <c r="L55" i="6"/>
  <c r="M55" i="6"/>
  <c r="N55" i="6" s="1"/>
  <c r="O55" i="6"/>
  <c r="P55" i="6" s="1"/>
  <c r="R55" i="6"/>
  <c r="S55" i="6"/>
  <c r="T55" i="6"/>
  <c r="U55" i="6"/>
  <c r="V55" i="6"/>
  <c r="J54" i="6"/>
  <c r="I54" i="6"/>
  <c r="K54" i="6"/>
  <c r="L54" i="6" s="1"/>
  <c r="M54" i="6"/>
  <c r="N54" i="6"/>
  <c r="O54" i="6"/>
  <c r="P54" i="6" s="1"/>
  <c r="R54" i="6"/>
  <c r="S54" i="6"/>
  <c r="T54" i="6"/>
  <c r="U54" i="6"/>
  <c r="V54" i="6"/>
  <c r="J53" i="6"/>
  <c r="I53" i="6"/>
  <c r="K53" i="6"/>
  <c r="L53" i="6" s="1"/>
  <c r="M53" i="6"/>
  <c r="N53" i="6" s="1"/>
  <c r="O53" i="6"/>
  <c r="P53" i="6" s="1"/>
  <c r="R53" i="6"/>
  <c r="S53" i="6"/>
  <c r="T53" i="6"/>
  <c r="U53" i="6"/>
  <c r="V53" i="6"/>
  <c r="J52" i="6"/>
  <c r="I52" i="6"/>
  <c r="K52" i="6"/>
  <c r="L52" i="6" s="1"/>
  <c r="M52" i="6"/>
  <c r="N52" i="6" s="1"/>
  <c r="O52" i="6"/>
  <c r="P52" i="6" s="1"/>
  <c r="R52" i="6"/>
  <c r="S52" i="6"/>
  <c r="T52" i="6"/>
  <c r="U52" i="6"/>
  <c r="V52" i="6"/>
  <c r="J51" i="6"/>
  <c r="I51" i="6"/>
  <c r="K51" i="6"/>
  <c r="L51" i="6" s="1"/>
  <c r="M51" i="6"/>
  <c r="N51" i="6" s="1"/>
  <c r="O51" i="6"/>
  <c r="P51" i="6" s="1"/>
  <c r="R51" i="6"/>
  <c r="S51" i="6"/>
  <c r="T51" i="6"/>
  <c r="U51" i="6"/>
  <c r="V51" i="6"/>
  <c r="J50" i="6"/>
  <c r="I50" i="6"/>
  <c r="K50" i="6"/>
  <c r="L50" i="6" s="1"/>
  <c r="M50" i="6"/>
  <c r="N50" i="6" s="1"/>
  <c r="O50" i="6"/>
  <c r="P50" i="6" s="1"/>
  <c r="R50" i="6"/>
  <c r="S50" i="6"/>
  <c r="T50" i="6"/>
  <c r="U50" i="6"/>
  <c r="V50" i="6"/>
  <c r="J49" i="6"/>
  <c r="I49" i="6"/>
  <c r="K49" i="6"/>
  <c r="L49" i="6" s="1"/>
  <c r="M49" i="6"/>
  <c r="N49" i="6" s="1"/>
  <c r="O49" i="6"/>
  <c r="P49" i="6" s="1"/>
  <c r="R49" i="6"/>
  <c r="S49" i="6"/>
  <c r="T49" i="6"/>
  <c r="U49" i="6"/>
  <c r="V49" i="6"/>
  <c r="J48" i="6"/>
  <c r="I48" i="6"/>
  <c r="K48" i="6"/>
  <c r="L48" i="6" s="1"/>
  <c r="M48" i="6"/>
  <c r="N48" i="6" s="1"/>
  <c r="O48" i="6"/>
  <c r="P48" i="6" s="1"/>
  <c r="R48" i="6"/>
  <c r="S48" i="6"/>
  <c r="T48" i="6"/>
  <c r="U48" i="6"/>
  <c r="V48" i="6"/>
  <c r="J47" i="6"/>
  <c r="I47" i="6"/>
  <c r="K47" i="6"/>
  <c r="L47" i="6" s="1"/>
  <c r="M47" i="6"/>
  <c r="N47" i="6" s="1"/>
  <c r="O47" i="6"/>
  <c r="P47" i="6" s="1"/>
  <c r="R47" i="6"/>
  <c r="S47" i="6"/>
  <c r="T47" i="6"/>
  <c r="U47" i="6"/>
  <c r="V47" i="6"/>
  <c r="J46" i="6"/>
  <c r="I46" i="6"/>
  <c r="K46" i="6"/>
  <c r="L46" i="6" s="1"/>
  <c r="M46" i="6"/>
  <c r="N46" i="6" s="1"/>
  <c r="O46" i="6"/>
  <c r="P46" i="6" s="1"/>
  <c r="R46" i="6"/>
  <c r="S46" i="6"/>
  <c r="T46" i="6"/>
  <c r="U46" i="6"/>
  <c r="V46" i="6"/>
  <c r="J45" i="6"/>
  <c r="I45" i="6"/>
  <c r="K45" i="6"/>
  <c r="L45" i="6" s="1"/>
  <c r="M45" i="6"/>
  <c r="N45" i="6" s="1"/>
  <c r="O45" i="6"/>
  <c r="P45" i="6" s="1"/>
  <c r="R45" i="6"/>
  <c r="S45" i="6"/>
  <c r="T45" i="6"/>
  <c r="U45" i="6"/>
  <c r="V45" i="6"/>
  <c r="J44" i="6"/>
  <c r="I44" i="6"/>
  <c r="K44" i="6"/>
  <c r="L44" i="6" s="1"/>
  <c r="M44" i="6"/>
  <c r="N44" i="6" s="1"/>
  <c r="O44" i="6"/>
  <c r="P44" i="6" s="1"/>
  <c r="R44" i="6"/>
  <c r="S44" i="6"/>
  <c r="T44" i="6"/>
  <c r="U44" i="6"/>
  <c r="V44" i="6"/>
  <c r="J43" i="6"/>
  <c r="I43" i="6"/>
  <c r="K43" i="6"/>
  <c r="L43" i="6" s="1"/>
  <c r="M43" i="6"/>
  <c r="N43" i="6" s="1"/>
  <c r="O43" i="6"/>
  <c r="P43" i="6" s="1"/>
  <c r="R43" i="6"/>
  <c r="S43" i="6"/>
  <c r="T43" i="6"/>
  <c r="U43" i="6"/>
  <c r="V43" i="6"/>
  <c r="J42" i="6"/>
  <c r="I42" i="6"/>
  <c r="K42" i="6"/>
  <c r="L42" i="6" s="1"/>
  <c r="M42" i="6"/>
  <c r="N42" i="6" s="1"/>
  <c r="O42" i="6"/>
  <c r="P42" i="6" s="1"/>
  <c r="R42" i="6"/>
  <c r="S42" i="6"/>
  <c r="T42" i="6"/>
  <c r="U42" i="6"/>
  <c r="V42" i="6"/>
  <c r="J41" i="6"/>
  <c r="I41" i="6"/>
  <c r="K41" i="6"/>
  <c r="L41" i="6" s="1"/>
  <c r="M41" i="6"/>
  <c r="N41" i="6" s="1"/>
  <c r="O41" i="6"/>
  <c r="P41" i="6" s="1"/>
  <c r="R41" i="6"/>
  <c r="S41" i="6"/>
  <c r="T41" i="6"/>
  <c r="U41" i="6"/>
  <c r="V41" i="6"/>
  <c r="J40" i="6"/>
  <c r="I40" i="6"/>
  <c r="K40" i="6"/>
  <c r="L40" i="6" s="1"/>
  <c r="M40" i="6"/>
  <c r="N40" i="6"/>
  <c r="O40" i="6"/>
  <c r="P40" i="6" s="1"/>
  <c r="R40" i="6"/>
  <c r="S40" i="6"/>
  <c r="T40" i="6"/>
  <c r="U40" i="6"/>
  <c r="V40" i="6"/>
  <c r="J39" i="6"/>
  <c r="I39" i="6"/>
  <c r="K39" i="6"/>
  <c r="L39" i="6" s="1"/>
  <c r="M39" i="6"/>
  <c r="N39" i="6" s="1"/>
  <c r="O39" i="6"/>
  <c r="P39" i="6" s="1"/>
  <c r="R39" i="6"/>
  <c r="S39" i="6"/>
  <c r="T39" i="6"/>
  <c r="U39" i="6"/>
  <c r="V39" i="6"/>
  <c r="J38" i="6"/>
  <c r="I38" i="6"/>
  <c r="K38" i="6"/>
  <c r="L38" i="6" s="1"/>
  <c r="M38" i="6"/>
  <c r="N38" i="6" s="1"/>
  <c r="O38" i="6"/>
  <c r="P38" i="6"/>
  <c r="R38" i="6"/>
  <c r="S38" i="6"/>
  <c r="T38" i="6"/>
  <c r="U38" i="6"/>
  <c r="V38" i="6"/>
  <c r="J37" i="6"/>
  <c r="I37" i="6"/>
  <c r="K37" i="6"/>
  <c r="L37" i="6" s="1"/>
  <c r="M37" i="6"/>
  <c r="N37" i="6" s="1"/>
  <c r="O37" i="6"/>
  <c r="P37" i="6" s="1"/>
  <c r="R37" i="6"/>
  <c r="S37" i="6"/>
  <c r="T37" i="6"/>
  <c r="U37" i="6"/>
  <c r="V37" i="6"/>
  <c r="J36" i="6"/>
  <c r="I36" i="6"/>
  <c r="K36" i="6"/>
  <c r="L36" i="6" s="1"/>
  <c r="M36" i="6"/>
  <c r="N36" i="6" s="1"/>
  <c r="O36" i="6"/>
  <c r="P36" i="6" s="1"/>
  <c r="R36" i="6"/>
  <c r="S36" i="6"/>
  <c r="T36" i="6"/>
  <c r="U36" i="6"/>
  <c r="V36" i="6"/>
  <c r="J35" i="6"/>
  <c r="I35" i="6"/>
  <c r="K35" i="6"/>
  <c r="L35" i="6" s="1"/>
  <c r="M35" i="6"/>
  <c r="N35" i="6" s="1"/>
  <c r="O35" i="6"/>
  <c r="P35" i="6"/>
  <c r="R35" i="6"/>
  <c r="S35" i="6"/>
  <c r="T35" i="6"/>
  <c r="U35" i="6"/>
  <c r="V35" i="6"/>
  <c r="J34" i="6"/>
  <c r="I34" i="6"/>
  <c r="K34" i="6"/>
  <c r="L34" i="6" s="1"/>
  <c r="M34" i="6"/>
  <c r="N34" i="6" s="1"/>
  <c r="O34" i="6"/>
  <c r="P34" i="6" s="1"/>
  <c r="R34" i="6"/>
  <c r="S34" i="6"/>
  <c r="T34" i="6"/>
  <c r="U34" i="6"/>
  <c r="V34" i="6"/>
  <c r="J33" i="6"/>
  <c r="I33" i="6"/>
  <c r="K33" i="6"/>
  <c r="L33" i="6" s="1"/>
  <c r="M33" i="6"/>
  <c r="N33" i="6" s="1"/>
  <c r="O33" i="6"/>
  <c r="P33" i="6" s="1"/>
  <c r="R33" i="6"/>
  <c r="S33" i="6"/>
  <c r="T33" i="6"/>
  <c r="U33" i="6"/>
  <c r="V33" i="6"/>
  <c r="J32" i="6"/>
  <c r="I32" i="6"/>
  <c r="K32" i="6"/>
  <c r="L32" i="6" s="1"/>
  <c r="M32" i="6"/>
  <c r="N32" i="6" s="1"/>
  <c r="O32" i="6"/>
  <c r="P32" i="6"/>
  <c r="R32" i="6"/>
  <c r="S32" i="6"/>
  <c r="T32" i="6"/>
  <c r="U32" i="6"/>
  <c r="V32" i="6"/>
  <c r="J31" i="6"/>
  <c r="I31" i="6"/>
  <c r="K31" i="6"/>
  <c r="L31" i="6" s="1"/>
  <c r="M31" i="6"/>
  <c r="N31" i="6" s="1"/>
  <c r="O31" i="6"/>
  <c r="P31" i="6" s="1"/>
  <c r="R31" i="6"/>
  <c r="S31" i="6"/>
  <c r="T31" i="6"/>
  <c r="U31" i="6"/>
  <c r="V31" i="6"/>
  <c r="J30" i="6"/>
  <c r="I30" i="6"/>
  <c r="K30" i="6"/>
  <c r="L30" i="6" s="1"/>
  <c r="M30" i="6"/>
  <c r="N30" i="6" s="1"/>
  <c r="O30" i="6"/>
  <c r="P30" i="6" s="1"/>
  <c r="R30" i="6"/>
  <c r="S30" i="6"/>
  <c r="T30" i="6"/>
  <c r="U30" i="6"/>
  <c r="V30" i="6"/>
  <c r="J29" i="6"/>
  <c r="I29" i="6"/>
  <c r="K29" i="6"/>
  <c r="L29" i="6" s="1"/>
  <c r="M29" i="6"/>
  <c r="N29" i="6"/>
  <c r="O29" i="6"/>
  <c r="P29" i="6" s="1"/>
  <c r="R29" i="6"/>
  <c r="S29" i="6"/>
  <c r="T29" i="6"/>
  <c r="U29" i="6"/>
  <c r="V29" i="6"/>
  <c r="J28" i="6"/>
  <c r="I28" i="6"/>
  <c r="K28" i="6"/>
  <c r="L28" i="6" s="1"/>
  <c r="Q28" i="6" s="1"/>
  <c r="M28" i="6"/>
  <c r="N28" i="6" s="1"/>
  <c r="O28" i="6"/>
  <c r="P28" i="6" s="1"/>
  <c r="R28" i="6"/>
  <c r="S28" i="6"/>
  <c r="T28" i="6"/>
  <c r="U28" i="6"/>
  <c r="V28" i="6"/>
  <c r="J27" i="6"/>
  <c r="I27" i="6"/>
  <c r="K27" i="6"/>
  <c r="L27" i="6" s="1"/>
  <c r="M27" i="6"/>
  <c r="N27" i="6" s="1"/>
  <c r="O27" i="6"/>
  <c r="P27" i="6" s="1"/>
  <c r="R27" i="6"/>
  <c r="S27" i="6"/>
  <c r="T27" i="6"/>
  <c r="U27" i="6"/>
  <c r="V27" i="6"/>
  <c r="J26" i="6"/>
  <c r="I26" i="6"/>
  <c r="K26" i="6"/>
  <c r="L26" i="6" s="1"/>
  <c r="M26" i="6"/>
  <c r="N26" i="6"/>
  <c r="O26" i="6"/>
  <c r="P26" i="6" s="1"/>
  <c r="R26" i="6"/>
  <c r="S26" i="6"/>
  <c r="T26" i="6"/>
  <c r="U26" i="6"/>
  <c r="V26" i="6"/>
  <c r="J25" i="6"/>
  <c r="I25" i="6"/>
  <c r="K25" i="6"/>
  <c r="L25" i="6" s="1"/>
  <c r="M25" i="6"/>
  <c r="N25" i="6" s="1"/>
  <c r="O25" i="6"/>
  <c r="P25" i="6" s="1"/>
  <c r="R25" i="6"/>
  <c r="S25" i="6"/>
  <c r="T25" i="6"/>
  <c r="U25" i="6"/>
  <c r="V25" i="6"/>
  <c r="J24" i="6"/>
  <c r="I24" i="6"/>
  <c r="K24" i="6"/>
  <c r="L24" i="6" s="1"/>
  <c r="M24" i="6"/>
  <c r="N24" i="6"/>
  <c r="O24" i="6"/>
  <c r="P24" i="6" s="1"/>
  <c r="R24" i="6"/>
  <c r="S24" i="6"/>
  <c r="T24" i="6"/>
  <c r="U24" i="6"/>
  <c r="V24" i="6"/>
  <c r="J23" i="6"/>
  <c r="I23" i="6"/>
  <c r="K23" i="6"/>
  <c r="L23" i="6"/>
  <c r="M23" i="6"/>
  <c r="N23" i="6" s="1"/>
  <c r="O23" i="6"/>
  <c r="P23" i="6" s="1"/>
  <c r="R23" i="6"/>
  <c r="S23" i="6"/>
  <c r="T23" i="6"/>
  <c r="U23" i="6"/>
  <c r="V23" i="6"/>
  <c r="J22" i="6"/>
  <c r="I22" i="6"/>
  <c r="K22" i="6"/>
  <c r="L22" i="6" s="1"/>
  <c r="M22" i="6"/>
  <c r="N22" i="6" s="1"/>
  <c r="O22" i="6"/>
  <c r="P22" i="6" s="1"/>
  <c r="R22" i="6"/>
  <c r="S22" i="6"/>
  <c r="T22" i="6"/>
  <c r="U22" i="6"/>
  <c r="V22" i="6"/>
  <c r="J21" i="6"/>
  <c r="I21" i="6"/>
  <c r="K21" i="6"/>
  <c r="L21" i="6" s="1"/>
  <c r="M21" i="6"/>
  <c r="N21" i="6" s="1"/>
  <c r="O21" i="6"/>
  <c r="P21" i="6" s="1"/>
  <c r="R21" i="6"/>
  <c r="S21" i="6"/>
  <c r="T21" i="6"/>
  <c r="U21" i="6"/>
  <c r="V21" i="6"/>
  <c r="J20" i="6"/>
  <c r="I20" i="6"/>
  <c r="K20" i="6"/>
  <c r="L20" i="6" s="1"/>
  <c r="M20" i="6"/>
  <c r="N20" i="6" s="1"/>
  <c r="O20" i="6"/>
  <c r="P20" i="6"/>
  <c r="R20" i="6"/>
  <c r="S20" i="6"/>
  <c r="T20" i="6"/>
  <c r="U20" i="6"/>
  <c r="V20" i="6"/>
  <c r="J19" i="6"/>
  <c r="I19" i="6"/>
  <c r="K19" i="6"/>
  <c r="L19" i="6" s="1"/>
  <c r="Q19" i="6" s="1"/>
  <c r="M19" i="6"/>
  <c r="N19" i="6" s="1"/>
  <c r="O19" i="6"/>
  <c r="P19" i="6"/>
  <c r="R19" i="6"/>
  <c r="S19" i="6"/>
  <c r="T19" i="6"/>
  <c r="U19" i="6"/>
  <c r="V19" i="6"/>
  <c r="J18" i="6"/>
  <c r="I18" i="6"/>
  <c r="K18" i="6"/>
  <c r="L18" i="6" s="1"/>
  <c r="M18" i="6"/>
  <c r="N18" i="6" s="1"/>
  <c r="O18" i="6"/>
  <c r="P18" i="6"/>
  <c r="R18" i="6"/>
  <c r="S18" i="6"/>
  <c r="T18" i="6"/>
  <c r="U18" i="6"/>
  <c r="V18" i="6"/>
  <c r="J17" i="6"/>
  <c r="I17" i="6"/>
  <c r="K17" i="6"/>
  <c r="L17" i="6" s="1"/>
  <c r="M17" i="6"/>
  <c r="N17" i="6" s="1"/>
  <c r="O17" i="6"/>
  <c r="P17" i="6" s="1"/>
  <c r="R17" i="6"/>
  <c r="S17" i="6"/>
  <c r="T17" i="6"/>
  <c r="U17" i="6"/>
  <c r="V17" i="6"/>
  <c r="J16" i="6"/>
  <c r="I16" i="6"/>
  <c r="K16" i="6"/>
  <c r="L16" i="6" s="1"/>
  <c r="M16" i="6"/>
  <c r="N16" i="6" s="1"/>
  <c r="O16" i="6"/>
  <c r="P16" i="6" s="1"/>
  <c r="R16" i="6"/>
  <c r="S16" i="6"/>
  <c r="T16" i="6"/>
  <c r="U16" i="6"/>
  <c r="V16" i="6"/>
  <c r="J15" i="6"/>
  <c r="I15" i="6"/>
  <c r="K15" i="6"/>
  <c r="L15" i="6" s="1"/>
  <c r="M15" i="6"/>
  <c r="N15" i="6" s="1"/>
  <c r="O15" i="6"/>
  <c r="P15" i="6" s="1"/>
  <c r="R15" i="6"/>
  <c r="S15" i="6"/>
  <c r="T15" i="6"/>
  <c r="U15" i="6"/>
  <c r="V15" i="6"/>
  <c r="J14" i="6"/>
  <c r="I14" i="6"/>
  <c r="K14" i="6"/>
  <c r="L14" i="6"/>
  <c r="M14" i="6"/>
  <c r="N14" i="6" s="1"/>
  <c r="O14" i="6"/>
  <c r="P14" i="6" s="1"/>
  <c r="R14" i="6"/>
  <c r="S14" i="6"/>
  <c r="T14" i="6"/>
  <c r="U14" i="6"/>
  <c r="V14" i="6"/>
  <c r="J13" i="6"/>
  <c r="I13" i="6"/>
  <c r="K13" i="6"/>
  <c r="L13" i="6" s="1"/>
  <c r="M13" i="6"/>
  <c r="N13" i="6" s="1"/>
  <c r="O13" i="6"/>
  <c r="P13" i="6" s="1"/>
  <c r="R13" i="6"/>
  <c r="S13" i="6"/>
  <c r="T13" i="6"/>
  <c r="U13" i="6"/>
  <c r="V13" i="6"/>
  <c r="J12" i="6"/>
  <c r="I12" i="6"/>
  <c r="K12" i="6"/>
  <c r="L12" i="6" s="1"/>
  <c r="M12" i="6"/>
  <c r="N12" i="6" s="1"/>
  <c r="O12" i="6"/>
  <c r="P12" i="6" s="1"/>
  <c r="R12" i="6"/>
  <c r="S12" i="6"/>
  <c r="T12" i="6"/>
  <c r="U12" i="6"/>
  <c r="V12" i="6"/>
  <c r="J11" i="6"/>
  <c r="I11" i="6"/>
  <c r="K11" i="6"/>
  <c r="L11" i="6" s="1"/>
  <c r="Q11" i="6" s="1"/>
  <c r="M11" i="6"/>
  <c r="N11" i="6" s="1"/>
  <c r="O11" i="6"/>
  <c r="P11" i="6" s="1"/>
  <c r="R11" i="6"/>
  <c r="S11" i="6"/>
  <c r="T11" i="6"/>
  <c r="U11" i="6"/>
  <c r="V11" i="6"/>
  <c r="J10" i="6"/>
  <c r="I10" i="6"/>
  <c r="K10" i="6"/>
  <c r="L10" i="6" s="1"/>
  <c r="M10" i="6"/>
  <c r="N10" i="6" s="1"/>
  <c r="O10" i="6"/>
  <c r="P10" i="6" s="1"/>
  <c r="R10" i="6"/>
  <c r="S10" i="6"/>
  <c r="T10" i="6"/>
  <c r="U10" i="6"/>
  <c r="V10" i="6"/>
  <c r="J9" i="6"/>
  <c r="I9" i="6"/>
  <c r="K9" i="6"/>
  <c r="L9" i="6" s="1"/>
  <c r="M9" i="6"/>
  <c r="N9" i="6" s="1"/>
  <c r="O9" i="6"/>
  <c r="P9" i="6" s="1"/>
  <c r="R9" i="6"/>
  <c r="S9" i="6"/>
  <c r="T9" i="6"/>
  <c r="U9" i="6"/>
  <c r="V9" i="6"/>
  <c r="K110" i="5"/>
  <c r="Y110" i="5" s="1"/>
  <c r="Z110" i="5" s="1"/>
  <c r="AB110" i="5" s="1"/>
  <c r="J110" i="5"/>
  <c r="L110" i="5"/>
  <c r="M110" i="5" s="1"/>
  <c r="N110" i="5"/>
  <c r="O110" i="5" s="1"/>
  <c r="P110" i="5"/>
  <c r="Q110" i="5" s="1"/>
  <c r="S110" i="5"/>
  <c r="T110" i="5"/>
  <c r="U110" i="5"/>
  <c r="V110" i="5"/>
  <c r="W110" i="5"/>
  <c r="X110" i="5"/>
  <c r="K109" i="5"/>
  <c r="Y109" i="5" s="1"/>
  <c r="Z109" i="5" s="1"/>
  <c r="AB109" i="5" s="1"/>
  <c r="J109" i="5"/>
  <c r="L109" i="5"/>
  <c r="M109" i="5" s="1"/>
  <c r="N109" i="5"/>
  <c r="O109" i="5"/>
  <c r="P109" i="5"/>
  <c r="Q109" i="5" s="1"/>
  <c r="S109" i="5"/>
  <c r="T109" i="5"/>
  <c r="U109" i="5"/>
  <c r="V109" i="5"/>
  <c r="W109" i="5"/>
  <c r="X109" i="5"/>
  <c r="K108" i="5"/>
  <c r="J108" i="5"/>
  <c r="L108" i="5"/>
  <c r="M108" i="5" s="1"/>
  <c r="N108" i="5"/>
  <c r="O108" i="5" s="1"/>
  <c r="P108" i="5"/>
  <c r="Q108" i="5" s="1"/>
  <c r="S108" i="5"/>
  <c r="T108" i="5"/>
  <c r="U108" i="5"/>
  <c r="V108" i="5"/>
  <c r="W108" i="5"/>
  <c r="X108" i="5"/>
  <c r="K107" i="5"/>
  <c r="Y107" i="5" s="1"/>
  <c r="Z107" i="5" s="1"/>
  <c r="AB107" i="5" s="1"/>
  <c r="J107" i="5"/>
  <c r="L107" i="5"/>
  <c r="M107" i="5"/>
  <c r="N107" i="5"/>
  <c r="O107" i="5"/>
  <c r="P107" i="5"/>
  <c r="Q107" i="5"/>
  <c r="S107" i="5"/>
  <c r="T107" i="5"/>
  <c r="U107" i="5"/>
  <c r="V107" i="5"/>
  <c r="W107" i="5"/>
  <c r="X107" i="5"/>
  <c r="K106" i="5"/>
  <c r="Y106" i="5" s="1"/>
  <c r="Z106" i="5" s="1"/>
  <c r="AB106" i="5" s="1"/>
  <c r="J106" i="5"/>
  <c r="L106" i="5"/>
  <c r="M106" i="5" s="1"/>
  <c r="N106" i="5"/>
  <c r="O106" i="5" s="1"/>
  <c r="P106" i="5"/>
  <c r="Q106" i="5" s="1"/>
  <c r="S106" i="5"/>
  <c r="T106" i="5"/>
  <c r="U106" i="5"/>
  <c r="V106" i="5"/>
  <c r="W106" i="5"/>
  <c r="X106" i="5"/>
  <c r="K105" i="5"/>
  <c r="Y105" i="5" s="1"/>
  <c r="Z105" i="5" s="1"/>
  <c r="AB105" i="5" s="1"/>
  <c r="J105" i="5"/>
  <c r="L105" i="5"/>
  <c r="M105" i="5" s="1"/>
  <c r="N105" i="5"/>
  <c r="O105" i="5" s="1"/>
  <c r="P105" i="5"/>
  <c r="Q105" i="5" s="1"/>
  <c r="S105" i="5"/>
  <c r="T105" i="5"/>
  <c r="U105" i="5"/>
  <c r="V105" i="5"/>
  <c r="W105" i="5"/>
  <c r="X105" i="5"/>
  <c r="K104" i="5"/>
  <c r="Y104" i="5" s="1"/>
  <c r="Z104" i="5" s="1"/>
  <c r="AB104" i="5" s="1"/>
  <c r="J104" i="5"/>
  <c r="L104" i="5"/>
  <c r="M104" i="5" s="1"/>
  <c r="N104" i="5"/>
  <c r="O104" i="5" s="1"/>
  <c r="P104" i="5"/>
  <c r="Q104" i="5" s="1"/>
  <c r="S104" i="5"/>
  <c r="T104" i="5"/>
  <c r="U104" i="5"/>
  <c r="V104" i="5"/>
  <c r="W104" i="5"/>
  <c r="X104" i="5"/>
  <c r="K103" i="5"/>
  <c r="Y103" i="5" s="1"/>
  <c r="Z103" i="5" s="1"/>
  <c r="AB103" i="5" s="1"/>
  <c r="J103" i="5"/>
  <c r="L103" i="5"/>
  <c r="M103" i="5" s="1"/>
  <c r="N103" i="5"/>
  <c r="O103" i="5"/>
  <c r="P103" i="5"/>
  <c r="Q103" i="5" s="1"/>
  <c r="S103" i="5"/>
  <c r="T103" i="5"/>
  <c r="U103" i="5"/>
  <c r="V103" i="5"/>
  <c r="W103" i="5"/>
  <c r="X103" i="5"/>
  <c r="K102" i="5"/>
  <c r="J102" i="5"/>
  <c r="L102" i="5"/>
  <c r="M102" i="5" s="1"/>
  <c r="N102" i="5"/>
  <c r="O102" i="5" s="1"/>
  <c r="P102" i="5"/>
  <c r="Q102" i="5" s="1"/>
  <c r="S102" i="5"/>
  <c r="T102" i="5"/>
  <c r="U102" i="5"/>
  <c r="V102" i="5"/>
  <c r="W102" i="5"/>
  <c r="X102" i="5"/>
  <c r="K101" i="5"/>
  <c r="J101" i="5"/>
  <c r="L101" i="5"/>
  <c r="M101" i="5" s="1"/>
  <c r="N101" i="5"/>
  <c r="O101" i="5" s="1"/>
  <c r="P101" i="5"/>
  <c r="Q101" i="5" s="1"/>
  <c r="S101" i="5"/>
  <c r="T101" i="5"/>
  <c r="U101" i="5"/>
  <c r="V101" i="5"/>
  <c r="W101" i="5"/>
  <c r="X101" i="5"/>
  <c r="K100" i="5"/>
  <c r="J100" i="5"/>
  <c r="L100" i="5"/>
  <c r="M100" i="5" s="1"/>
  <c r="N100" i="5"/>
  <c r="O100" i="5" s="1"/>
  <c r="P100" i="5"/>
  <c r="Q100" i="5" s="1"/>
  <c r="S100" i="5"/>
  <c r="T100" i="5"/>
  <c r="U100" i="5"/>
  <c r="V100" i="5"/>
  <c r="W100" i="5"/>
  <c r="X100" i="5"/>
  <c r="K99" i="5"/>
  <c r="J99" i="5"/>
  <c r="L99" i="5"/>
  <c r="M99" i="5" s="1"/>
  <c r="N99" i="5"/>
  <c r="O99" i="5" s="1"/>
  <c r="P99" i="5"/>
  <c r="Q99" i="5"/>
  <c r="S99" i="5"/>
  <c r="T99" i="5"/>
  <c r="U99" i="5"/>
  <c r="V99" i="5"/>
  <c r="W99" i="5"/>
  <c r="X99" i="5"/>
  <c r="K98" i="5"/>
  <c r="J98" i="5"/>
  <c r="L98" i="5"/>
  <c r="M98" i="5" s="1"/>
  <c r="N98" i="5"/>
  <c r="O98" i="5" s="1"/>
  <c r="P98" i="5"/>
  <c r="Q98" i="5" s="1"/>
  <c r="S98" i="5"/>
  <c r="T98" i="5"/>
  <c r="U98" i="5"/>
  <c r="V98" i="5"/>
  <c r="W98" i="5"/>
  <c r="X98" i="5"/>
  <c r="K97" i="5"/>
  <c r="J97" i="5"/>
  <c r="L97" i="5"/>
  <c r="M97" i="5" s="1"/>
  <c r="N97" i="5"/>
  <c r="O97" i="5" s="1"/>
  <c r="P97" i="5"/>
  <c r="Q97" i="5" s="1"/>
  <c r="S97" i="5"/>
  <c r="T97" i="5"/>
  <c r="U97" i="5"/>
  <c r="V97" i="5"/>
  <c r="W97" i="5"/>
  <c r="X97" i="5"/>
  <c r="K96" i="5"/>
  <c r="J96" i="5"/>
  <c r="L96" i="5"/>
  <c r="M96" i="5" s="1"/>
  <c r="N96" i="5"/>
  <c r="O96" i="5" s="1"/>
  <c r="P96" i="5"/>
  <c r="Q96" i="5" s="1"/>
  <c r="S96" i="5"/>
  <c r="T96" i="5"/>
  <c r="U96" i="5"/>
  <c r="V96" i="5"/>
  <c r="W96" i="5"/>
  <c r="X96" i="5"/>
  <c r="K95" i="5"/>
  <c r="J95" i="5"/>
  <c r="L95" i="5"/>
  <c r="M95" i="5"/>
  <c r="N95" i="5"/>
  <c r="O95" i="5"/>
  <c r="P95" i="5"/>
  <c r="Q95" i="5"/>
  <c r="S95" i="5"/>
  <c r="T95" i="5"/>
  <c r="U95" i="5"/>
  <c r="V95" i="5"/>
  <c r="W95" i="5"/>
  <c r="X95" i="5"/>
  <c r="K94" i="5"/>
  <c r="J94" i="5"/>
  <c r="L94" i="5"/>
  <c r="M94" i="5" s="1"/>
  <c r="N94" i="5"/>
  <c r="O94" i="5" s="1"/>
  <c r="P94" i="5"/>
  <c r="Q94" i="5" s="1"/>
  <c r="S94" i="5"/>
  <c r="T94" i="5"/>
  <c r="U94" i="5"/>
  <c r="V94" i="5"/>
  <c r="W94" i="5"/>
  <c r="X94" i="5"/>
  <c r="K93" i="5"/>
  <c r="J93" i="5"/>
  <c r="L93" i="5"/>
  <c r="M93" i="5" s="1"/>
  <c r="N93" i="5"/>
  <c r="O93" i="5" s="1"/>
  <c r="P93" i="5"/>
  <c r="Q93" i="5" s="1"/>
  <c r="S93" i="5"/>
  <c r="T93" i="5"/>
  <c r="U93" i="5"/>
  <c r="V93" i="5"/>
  <c r="W93" i="5"/>
  <c r="X93" i="5"/>
  <c r="K92" i="5"/>
  <c r="J92" i="5"/>
  <c r="L92" i="5"/>
  <c r="M92" i="5" s="1"/>
  <c r="N92" i="5"/>
  <c r="O92" i="5" s="1"/>
  <c r="P92" i="5"/>
  <c r="Q92" i="5" s="1"/>
  <c r="S92" i="5"/>
  <c r="T92" i="5"/>
  <c r="U92" i="5"/>
  <c r="V92" i="5"/>
  <c r="W92" i="5"/>
  <c r="X92" i="5"/>
  <c r="K91" i="5"/>
  <c r="J91" i="5"/>
  <c r="L91" i="5"/>
  <c r="M91" i="5" s="1"/>
  <c r="N91" i="5"/>
  <c r="O91" i="5" s="1"/>
  <c r="P91" i="5"/>
  <c r="Q91" i="5" s="1"/>
  <c r="S91" i="5"/>
  <c r="T91" i="5"/>
  <c r="U91" i="5"/>
  <c r="V91" i="5"/>
  <c r="W91" i="5"/>
  <c r="X91" i="5"/>
  <c r="K90" i="5"/>
  <c r="J90" i="5"/>
  <c r="L90" i="5"/>
  <c r="M90" i="5" s="1"/>
  <c r="N90" i="5"/>
  <c r="O90" i="5" s="1"/>
  <c r="P90" i="5"/>
  <c r="Q90" i="5" s="1"/>
  <c r="S90" i="5"/>
  <c r="T90" i="5"/>
  <c r="U90" i="5"/>
  <c r="V90" i="5"/>
  <c r="W90" i="5"/>
  <c r="X90" i="5"/>
  <c r="K89" i="5"/>
  <c r="J89" i="5"/>
  <c r="L89" i="5"/>
  <c r="M89" i="5" s="1"/>
  <c r="N89" i="5"/>
  <c r="O89" i="5" s="1"/>
  <c r="P89" i="5"/>
  <c r="Q89" i="5"/>
  <c r="S89" i="5"/>
  <c r="T89" i="5"/>
  <c r="U89" i="5"/>
  <c r="V89" i="5"/>
  <c r="W89" i="5"/>
  <c r="X89" i="5"/>
  <c r="K88" i="5"/>
  <c r="J88" i="5"/>
  <c r="L88" i="5"/>
  <c r="M88" i="5" s="1"/>
  <c r="N88" i="5"/>
  <c r="O88" i="5" s="1"/>
  <c r="P88" i="5"/>
  <c r="Q88" i="5" s="1"/>
  <c r="S88" i="5"/>
  <c r="T88" i="5"/>
  <c r="U88" i="5"/>
  <c r="V88" i="5"/>
  <c r="W88" i="5"/>
  <c r="X88" i="5"/>
  <c r="K87" i="5"/>
  <c r="J87" i="5"/>
  <c r="L87" i="5"/>
  <c r="M87" i="5" s="1"/>
  <c r="N87" i="5"/>
  <c r="O87" i="5"/>
  <c r="P87" i="5"/>
  <c r="Q87" i="5" s="1"/>
  <c r="S87" i="5"/>
  <c r="T87" i="5"/>
  <c r="U87" i="5"/>
  <c r="V87" i="5"/>
  <c r="W87" i="5"/>
  <c r="X87" i="5"/>
  <c r="K86" i="5"/>
  <c r="J86" i="5"/>
  <c r="L86" i="5"/>
  <c r="M86" i="5" s="1"/>
  <c r="N86" i="5"/>
  <c r="O86" i="5" s="1"/>
  <c r="P86" i="5"/>
  <c r="Q86" i="5" s="1"/>
  <c r="S86" i="5"/>
  <c r="T86" i="5"/>
  <c r="U86" i="5"/>
  <c r="V86" i="5"/>
  <c r="W86" i="5"/>
  <c r="X86" i="5"/>
  <c r="K85" i="5"/>
  <c r="J85" i="5"/>
  <c r="L85" i="5"/>
  <c r="M85" i="5" s="1"/>
  <c r="N85" i="5"/>
  <c r="O85" i="5" s="1"/>
  <c r="P85" i="5"/>
  <c r="Q85" i="5" s="1"/>
  <c r="S85" i="5"/>
  <c r="T85" i="5"/>
  <c r="U85" i="5"/>
  <c r="V85" i="5"/>
  <c r="W85" i="5"/>
  <c r="X85" i="5"/>
  <c r="K84" i="5"/>
  <c r="J84" i="5"/>
  <c r="L84" i="5"/>
  <c r="M84" i="5" s="1"/>
  <c r="N84" i="5"/>
  <c r="O84" i="5" s="1"/>
  <c r="P84" i="5"/>
  <c r="Q84" i="5" s="1"/>
  <c r="S84" i="5"/>
  <c r="T84" i="5"/>
  <c r="U84" i="5"/>
  <c r="V84" i="5"/>
  <c r="W84" i="5"/>
  <c r="X84" i="5"/>
  <c r="K83" i="5"/>
  <c r="J83" i="5"/>
  <c r="L83" i="5"/>
  <c r="M83" i="5" s="1"/>
  <c r="N83" i="5"/>
  <c r="O83" i="5" s="1"/>
  <c r="P83" i="5"/>
  <c r="Q83" i="5" s="1"/>
  <c r="S83" i="5"/>
  <c r="T83" i="5"/>
  <c r="U83" i="5"/>
  <c r="V83" i="5"/>
  <c r="W83" i="5"/>
  <c r="X83" i="5"/>
  <c r="K82" i="5"/>
  <c r="J82" i="5"/>
  <c r="L82" i="5"/>
  <c r="M82" i="5" s="1"/>
  <c r="N82" i="5"/>
  <c r="O82" i="5" s="1"/>
  <c r="P82" i="5"/>
  <c r="Q82" i="5" s="1"/>
  <c r="S82" i="5"/>
  <c r="T82" i="5"/>
  <c r="U82" i="5"/>
  <c r="V82" i="5"/>
  <c r="W82" i="5"/>
  <c r="X82" i="5"/>
  <c r="K81" i="5"/>
  <c r="J81" i="5"/>
  <c r="L81" i="5"/>
  <c r="M81" i="5" s="1"/>
  <c r="N81" i="5"/>
  <c r="O81" i="5" s="1"/>
  <c r="P81" i="5"/>
  <c r="Q81" i="5" s="1"/>
  <c r="S81" i="5"/>
  <c r="T81" i="5"/>
  <c r="U81" i="5"/>
  <c r="V81" i="5"/>
  <c r="W81" i="5"/>
  <c r="X81" i="5"/>
  <c r="K80" i="5"/>
  <c r="J80" i="5"/>
  <c r="L80" i="5"/>
  <c r="M80" i="5" s="1"/>
  <c r="N80" i="5"/>
  <c r="O80" i="5"/>
  <c r="P80" i="5"/>
  <c r="Q80" i="5" s="1"/>
  <c r="S80" i="5"/>
  <c r="T80" i="5"/>
  <c r="U80" i="5"/>
  <c r="V80" i="5"/>
  <c r="W80" i="5"/>
  <c r="X80" i="5"/>
  <c r="K79" i="5"/>
  <c r="J79" i="5"/>
  <c r="L79" i="5"/>
  <c r="M79" i="5" s="1"/>
  <c r="N79" i="5"/>
  <c r="O79" i="5" s="1"/>
  <c r="P79" i="5"/>
  <c r="Q79" i="5" s="1"/>
  <c r="S79" i="5"/>
  <c r="T79" i="5"/>
  <c r="U79" i="5"/>
  <c r="V79" i="5"/>
  <c r="W79" i="5"/>
  <c r="X79" i="5"/>
  <c r="K78" i="5"/>
  <c r="J78" i="5"/>
  <c r="L78" i="5"/>
  <c r="M78" i="5" s="1"/>
  <c r="N78" i="5"/>
  <c r="O78" i="5" s="1"/>
  <c r="P78" i="5"/>
  <c r="Q78" i="5" s="1"/>
  <c r="S78" i="5"/>
  <c r="T78" i="5"/>
  <c r="U78" i="5"/>
  <c r="V78" i="5"/>
  <c r="W78" i="5"/>
  <c r="X78" i="5"/>
  <c r="K77" i="5"/>
  <c r="J77" i="5"/>
  <c r="L77" i="5"/>
  <c r="M77" i="5" s="1"/>
  <c r="N77" i="5"/>
  <c r="O77" i="5" s="1"/>
  <c r="P77" i="5"/>
  <c r="Q77" i="5" s="1"/>
  <c r="S77" i="5"/>
  <c r="T77" i="5"/>
  <c r="U77" i="5"/>
  <c r="V77" i="5"/>
  <c r="W77" i="5"/>
  <c r="X77" i="5"/>
  <c r="K76" i="5"/>
  <c r="J76" i="5"/>
  <c r="L76" i="5"/>
  <c r="M76" i="5" s="1"/>
  <c r="N76" i="5"/>
  <c r="O76" i="5" s="1"/>
  <c r="P76" i="5"/>
  <c r="Q76" i="5" s="1"/>
  <c r="S76" i="5"/>
  <c r="T76" i="5"/>
  <c r="U76" i="5"/>
  <c r="V76" i="5"/>
  <c r="W76" i="5"/>
  <c r="X76" i="5"/>
  <c r="K75" i="5"/>
  <c r="J75" i="5"/>
  <c r="L75" i="5"/>
  <c r="M75" i="5" s="1"/>
  <c r="N75" i="5"/>
  <c r="O75" i="5" s="1"/>
  <c r="P75" i="5"/>
  <c r="Q75" i="5"/>
  <c r="S75" i="5"/>
  <c r="T75" i="5"/>
  <c r="U75" i="5"/>
  <c r="V75" i="5"/>
  <c r="W75" i="5"/>
  <c r="X75" i="5"/>
  <c r="K74" i="5"/>
  <c r="J74" i="5"/>
  <c r="L74" i="5"/>
  <c r="M74" i="5" s="1"/>
  <c r="N74" i="5"/>
  <c r="O74" i="5" s="1"/>
  <c r="P74" i="5"/>
  <c r="Q74" i="5" s="1"/>
  <c r="S74" i="5"/>
  <c r="T74" i="5"/>
  <c r="U74" i="5"/>
  <c r="V74" i="5"/>
  <c r="W74" i="5"/>
  <c r="X74" i="5"/>
  <c r="K73" i="5"/>
  <c r="J73" i="5"/>
  <c r="L73" i="5"/>
  <c r="M73" i="5" s="1"/>
  <c r="N73" i="5"/>
  <c r="O73" i="5" s="1"/>
  <c r="P73" i="5"/>
  <c r="Q73" i="5" s="1"/>
  <c r="S73" i="5"/>
  <c r="T73" i="5"/>
  <c r="U73" i="5"/>
  <c r="V73" i="5"/>
  <c r="W73" i="5"/>
  <c r="X73" i="5"/>
  <c r="K72" i="5"/>
  <c r="J72" i="5"/>
  <c r="L72" i="5"/>
  <c r="M72" i="5" s="1"/>
  <c r="N72" i="5"/>
  <c r="O72" i="5" s="1"/>
  <c r="P72" i="5"/>
  <c r="Q72" i="5" s="1"/>
  <c r="S72" i="5"/>
  <c r="T72" i="5"/>
  <c r="U72" i="5"/>
  <c r="V72" i="5"/>
  <c r="W72" i="5"/>
  <c r="X72" i="5"/>
  <c r="K71" i="5"/>
  <c r="J71" i="5"/>
  <c r="L71" i="5"/>
  <c r="M71" i="5" s="1"/>
  <c r="N71" i="5"/>
  <c r="O71" i="5" s="1"/>
  <c r="P71" i="5"/>
  <c r="Q71" i="5" s="1"/>
  <c r="S71" i="5"/>
  <c r="T71" i="5"/>
  <c r="U71" i="5"/>
  <c r="V71" i="5"/>
  <c r="W71" i="5"/>
  <c r="X71" i="5"/>
  <c r="K70" i="5"/>
  <c r="J70" i="5"/>
  <c r="L70" i="5"/>
  <c r="M70" i="5" s="1"/>
  <c r="N70" i="5"/>
  <c r="O70" i="5"/>
  <c r="P70" i="5"/>
  <c r="Q70" i="5" s="1"/>
  <c r="S70" i="5"/>
  <c r="T70" i="5"/>
  <c r="U70" i="5"/>
  <c r="V70" i="5"/>
  <c r="W70" i="5"/>
  <c r="X70" i="5"/>
  <c r="K69" i="5"/>
  <c r="J69" i="5"/>
  <c r="L69" i="5"/>
  <c r="M69" i="5" s="1"/>
  <c r="N69" i="5"/>
  <c r="O69" i="5" s="1"/>
  <c r="P69" i="5"/>
  <c r="Q69" i="5" s="1"/>
  <c r="S69" i="5"/>
  <c r="T69" i="5"/>
  <c r="U69" i="5"/>
  <c r="V69" i="5"/>
  <c r="W69" i="5"/>
  <c r="X69" i="5"/>
  <c r="K68" i="5"/>
  <c r="J68" i="5"/>
  <c r="L68" i="5"/>
  <c r="M68" i="5" s="1"/>
  <c r="N68" i="5"/>
  <c r="O68" i="5" s="1"/>
  <c r="P68" i="5"/>
  <c r="Q68" i="5" s="1"/>
  <c r="S68" i="5"/>
  <c r="T68" i="5"/>
  <c r="U68" i="5"/>
  <c r="V68" i="5"/>
  <c r="W68" i="5"/>
  <c r="X68" i="5"/>
  <c r="K67" i="5"/>
  <c r="J67" i="5"/>
  <c r="L67" i="5"/>
  <c r="M67" i="5"/>
  <c r="N67" i="5"/>
  <c r="O67" i="5" s="1"/>
  <c r="P67" i="5"/>
  <c r="Q67" i="5" s="1"/>
  <c r="S67" i="5"/>
  <c r="T67" i="5"/>
  <c r="U67" i="5"/>
  <c r="V67" i="5"/>
  <c r="W67" i="5"/>
  <c r="X67" i="5"/>
  <c r="K66" i="5"/>
  <c r="J66" i="5"/>
  <c r="L66" i="5"/>
  <c r="M66" i="5" s="1"/>
  <c r="N66" i="5"/>
  <c r="O66" i="5" s="1"/>
  <c r="P66" i="5"/>
  <c r="Q66" i="5" s="1"/>
  <c r="S66" i="5"/>
  <c r="T66" i="5"/>
  <c r="U66" i="5"/>
  <c r="V66" i="5"/>
  <c r="W66" i="5"/>
  <c r="X66" i="5"/>
  <c r="K65" i="5"/>
  <c r="J65" i="5"/>
  <c r="L65" i="5"/>
  <c r="M65" i="5" s="1"/>
  <c r="N65" i="5"/>
  <c r="O65" i="5" s="1"/>
  <c r="P65" i="5"/>
  <c r="Q65" i="5" s="1"/>
  <c r="S65" i="5"/>
  <c r="T65" i="5"/>
  <c r="U65" i="5"/>
  <c r="V65" i="5"/>
  <c r="W65" i="5"/>
  <c r="X65" i="5"/>
  <c r="K64" i="5"/>
  <c r="J64" i="5"/>
  <c r="L64" i="5"/>
  <c r="M64" i="5" s="1"/>
  <c r="N64" i="5"/>
  <c r="O64" i="5"/>
  <c r="P64" i="5"/>
  <c r="Q64" i="5" s="1"/>
  <c r="S64" i="5"/>
  <c r="T64" i="5"/>
  <c r="U64" i="5"/>
  <c r="V64" i="5"/>
  <c r="W64" i="5"/>
  <c r="X64" i="5"/>
  <c r="K63" i="5"/>
  <c r="J63" i="5"/>
  <c r="L63" i="5"/>
  <c r="M63" i="5" s="1"/>
  <c r="N63" i="5"/>
  <c r="O63" i="5" s="1"/>
  <c r="P63" i="5"/>
  <c r="Q63" i="5" s="1"/>
  <c r="S63" i="5"/>
  <c r="T63" i="5"/>
  <c r="U63" i="5"/>
  <c r="V63" i="5"/>
  <c r="W63" i="5"/>
  <c r="X63" i="5"/>
  <c r="K62" i="5"/>
  <c r="J62" i="5"/>
  <c r="L62" i="5"/>
  <c r="M62" i="5" s="1"/>
  <c r="N62" i="5"/>
  <c r="O62" i="5" s="1"/>
  <c r="P62" i="5"/>
  <c r="Q62" i="5" s="1"/>
  <c r="S62" i="5"/>
  <c r="T62" i="5"/>
  <c r="U62" i="5"/>
  <c r="V62" i="5"/>
  <c r="W62" i="5"/>
  <c r="X62" i="5"/>
  <c r="K61" i="5"/>
  <c r="J61" i="5"/>
  <c r="L61" i="5"/>
  <c r="M61" i="5" s="1"/>
  <c r="N61" i="5"/>
  <c r="O61" i="5" s="1"/>
  <c r="P61" i="5"/>
  <c r="Q61" i="5" s="1"/>
  <c r="S61" i="5"/>
  <c r="T61" i="5"/>
  <c r="U61" i="5"/>
  <c r="V61" i="5"/>
  <c r="W61" i="5"/>
  <c r="X61" i="5"/>
  <c r="K60" i="5"/>
  <c r="J60" i="5"/>
  <c r="L60" i="5"/>
  <c r="M60" i="5" s="1"/>
  <c r="N60" i="5"/>
  <c r="O60" i="5" s="1"/>
  <c r="P60" i="5"/>
  <c r="Q60" i="5" s="1"/>
  <c r="S60" i="5"/>
  <c r="T60" i="5"/>
  <c r="U60" i="5"/>
  <c r="V60" i="5"/>
  <c r="W60" i="5"/>
  <c r="X60" i="5"/>
  <c r="K59" i="5"/>
  <c r="J59" i="5"/>
  <c r="L59" i="5"/>
  <c r="M59" i="5" s="1"/>
  <c r="N59" i="5"/>
  <c r="O59" i="5" s="1"/>
  <c r="P59" i="5"/>
  <c r="Q59" i="5" s="1"/>
  <c r="S59" i="5"/>
  <c r="T59" i="5"/>
  <c r="U59" i="5"/>
  <c r="V59" i="5"/>
  <c r="W59" i="5"/>
  <c r="X59" i="5"/>
  <c r="K58" i="5"/>
  <c r="J58" i="5"/>
  <c r="L58" i="5"/>
  <c r="M58" i="5" s="1"/>
  <c r="N58" i="5"/>
  <c r="O58" i="5" s="1"/>
  <c r="P58" i="5"/>
  <c r="Q58" i="5" s="1"/>
  <c r="S58" i="5"/>
  <c r="T58" i="5"/>
  <c r="U58" i="5"/>
  <c r="V58" i="5"/>
  <c r="W58" i="5"/>
  <c r="X58" i="5"/>
  <c r="K57" i="5"/>
  <c r="J57" i="5"/>
  <c r="L57" i="5"/>
  <c r="M57" i="5" s="1"/>
  <c r="N57" i="5"/>
  <c r="O57" i="5" s="1"/>
  <c r="P57" i="5"/>
  <c r="Q57" i="5" s="1"/>
  <c r="S57" i="5"/>
  <c r="T57" i="5"/>
  <c r="U57" i="5"/>
  <c r="V57" i="5"/>
  <c r="W57" i="5"/>
  <c r="X57" i="5"/>
  <c r="K56" i="5"/>
  <c r="J56" i="5"/>
  <c r="L56" i="5"/>
  <c r="M56" i="5" s="1"/>
  <c r="N56" i="5"/>
  <c r="O56" i="5" s="1"/>
  <c r="P56" i="5"/>
  <c r="Q56" i="5" s="1"/>
  <c r="S56" i="5"/>
  <c r="T56" i="5"/>
  <c r="U56" i="5"/>
  <c r="V56" i="5"/>
  <c r="W56" i="5"/>
  <c r="X56" i="5"/>
  <c r="K55" i="5"/>
  <c r="J55" i="5"/>
  <c r="L55" i="5"/>
  <c r="M55" i="5" s="1"/>
  <c r="N55" i="5"/>
  <c r="O55" i="5" s="1"/>
  <c r="P55" i="5"/>
  <c r="Q55" i="5" s="1"/>
  <c r="S55" i="5"/>
  <c r="T55" i="5"/>
  <c r="U55" i="5"/>
  <c r="V55" i="5"/>
  <c r="W55" i="5"/>
  <c r="X55" i="5"/>
  <c r="K54" i="5"/>
  <c r="J54" i="5"/>
  <c r="L54" i="5"/>
  <c r="M54" i="5" s="1"/>
  <c r="N54" i="5"/>
  <c r="O54" i="5" s="1"/>
  <c r="P54" i="5"/>
  <c r="Q54" i="5" s="1"/>
  <c r="S54" i="5"/>
  <c r="T54" i="5"/>
  <c r="U54" i="5"/>
  <c r="V54" i="5"/>
  <c r="W54" i="5"/>
  <c r="X54" i="5"/>
  <c r="K53" i="5"/>
  <c r="J53" i="5"/>
  <c r="L53" i="5"/>
  <c r="M53" i="5" s="1"/>
  <c r="N53" i="5"/>
  <c r="O53" i="5" s="1"/>
  <c r="P53" i="5"/>
  <c r="Q53" i="5" s="1"/>
  <c r="S53" i="5"/>
  <c r="T53" i="5"/>
  <c r="U53" i="5"/>
  <c r="V53" i="5"/>
  <c r="W53" i="5"/>
  <c r="X53" i="5"/>
  <c r="K52" i="5"/>
  <c r="J52" i="5"/>
  <c r="L52" i="5"/>
  <c r="M52" i="5" s="1"/>
  <c r="N52" i="5"/>
  <c r="O52" i="5" s="1"/>
  <c r="P52" i="5"/>
  <c r="Q52" i="5" s="1"/>
  <c r="S52" i="5"/>
  <c r="T52" i="5"/>
  <c r="U52" i="5"/>
  <c r="V52" i="5"/>
  <c r="W52" i="5"/>
  <c r="X52" i="5"/>
  <c r="K51" i="5"/>
  <c r="J51" i="5"/>
  <c r="L51" i="5"/>
  <c r="M51" i="5" s="1"/>
  <c r="N51" i="5"/>
  <c r="O51" i="5" s="1"/>
  <c r="P51" i="5"/>
  <c r="Q51" i="5" s="1"/>
  <c r="S51" i="5"/>
  <c r="T51" i="5"/>
  <c r="U51" i="5"/>
  <c r="V51" i="5"/>
  <c r="W51" i="5"/>
  <c r="X51" i="5"/>
  <c r="K50" i="5"/>
  <c r="J50" i="5"/>
  <c r="L50" i="5"/>
  <c r="M50" i="5" s="1"/>
  <c r="N50" i="5"/>
  <c r="O50" i="5" s="1"/>
  <c r="P50" i="5"/>
  <c r="Q50" i="5" s="1"/>
  <c r="S50" i="5"/>
  <c r="T50" i="5"/>
  <c r="U50" i="5"/>
  <c r="V50" i="5"/>
  <c r="W50" i="5"/>
  <c r="X50" i="5"/>
  <c r="K49" i="5"/>
  <c r="J49" i="5"/>
  <c r="L49" i="5"/>
  <c r="M49" i="5" s="1"/>
  <c r="N49" i="5"/>
  <c r="O49" i="5" s="1"/>
  <c r="P49" i="5"/>
  <c r="Q49" i="5" s="1"/>
  <c r="S49" i="5"/>
  <c r="T49" i="5"/>
  <c r="U49" i="5"/>
  <c r="V49" i="5"/>
  <c r="W49" i="5"/>
  <c r="X49" i="5"/>
  <c r="K48" i="5"/>
  <c r="J48" i="5"/>
  <c r="L48" i="5"/>
  <c r="M48" i="5" s="1"/>
  <c r="N48" i="5"/>
  <c r="O48" i="5" s="1"/>
  <c r="P48" i="5"/>
  <c r="Q48" i="5" s="1"/>
  <c r="S48" i="5"/>
  <c r="T48" i="5"/>
  <c r="U48" i="5"/>
  <c r="V48" i="5"/>
  <c r="W48" i="5"/>
  <c r="X48" i="5"/>
  <c r="K47" i="5"/>
  <c r="J47" i="5"/>
  <c r="L47" i="5"/>
  <c r="M47" i="5" s="1"/>
  <c r="N47" i="5"/>
  <c r="O47" i="5" s="1"/>
  <c r="P47" i="5"/>
  <c r="Q47" i="5" s="1"/>
  <c r="S47" i="5"/>
  <c r="T47" i="5"/>
  <c r="U47" i="5"/>
  <c r="V47" i="5"/>
  <c r="W47" i="5"/>
  <c r="X47" i="5"/>
  <c r="K46" i="5"/>
  <c r="J46" i="5"/>
  <c r="L46" i="5"/>
  <c r="M46" i="5" s="1"/>
  <c r="N46" i="5"/>
  <c r="O46" i="5" s="1"/>
  <c r="P46" i="5"/>
  <c r="Q46" i="5" s="1"/>
  <c r="S46" i="5"/>
  <c r="T46" i="5"/>
  <c r="U46" i="5"/>
  <c r="V46" i="5"/>
  <c r="W46" i="5"/>
  <c r="X46" i="5"/>
  <c r="K45" i="5"/>
  <c r="J45" i="5"/>
  <c r="L45" i="5"/>
  <c r="M45" i="5" s="1"/>
  <c r="N45" i="5"/>
  <c r="O45" i="5" s="1"/>
  <c r="P45" i="5"/>
  <c r="Q45" i="5" s="1"/>
  <c r="S45" i="5"/>
  <c r="T45" i="5"/>
  <c r="U45" i="5"/>
  <c r="V45" i="5"/>
  <c r="W45" i="5"/>
  <c r="X45" i="5"/>
  <c r="K44" i="5"/>
  <c r="J44" i="5"/>
  <c r="L44" i="5"/>
  <c r="M44" i="5" s="1"/>
  <c r="N44" i="5"/>
  <c r="O44" i="5" s="1"/>
  <c r="P44" i="5"/>
  <c r="Q44" i="5" s="1"/>
  <c r="S44" i="5"/>
  <c r="T44" i="5"/>
  <c r="U44" i="5"/>
  <c r="V44" i="5"/>
  <c r="W44" i="5"/>
  <c r="X44" i="5"/>
  <c r="K43" i="5"/>
  <c r="J43" i="5"/>
  <c r="L43" i="5"/>
  <c r="M43" i="5" s="1"/>
  <c r="N43" i="5"/>
  <c r="O43" i="5" s="1"/>
  <c r="P43" i="5"/>
  <c r="Q43" i="5" s="1"/>
  <c r="S43" i="5"/>
  <c r="T43" i="5"/>
  <c r="U43" i="5"/>
  <c r="V43" i="5"/>
  <c r="W43" i="5"/>
  <c r="X43" i="5"/>
  <c r="K42" i="5"/>
  <c r="J42" i="5"/>
  <c r="L42" i="5"/>
  <c r="M42" i="5" s="1"/>
  <c r="N42" i="5"/>
  <c r="O42" i="5" s="1"/>
  <c r="P42" i="5"/>
  <c r="Q42" i="5" s="1"/>
  <c r="S42" i="5"/>
  <c r="T42" i="5"/>
  <c r="U42" i="5"/>
  <c r="V42" i="5"/>
  <c r="W42" i="5"/>
  <c r="X42" i="5"/>
  <c r="K41" i="5"/>
  <c r="J41" i="5"/>
  <c r="L41" i="5"/>
  <c r="M41" i="5" s="1"/>
  <c r="N41" i="5"/>
  <c r="O41" i="5" s="1"/>
  <c r="P41" i="5"/>
  <c r="Q41" i="5" s="1"/>
  <c r="S41" i="5"/>
  <c r="T41" i="5"/>
  <c r="U41" i="5"/>
  <c r="V41" i="5"/>
  <c r="W41" i="5"/>
  <c r="X41" i="5"/>
  <c r="K40" i="5"/>
  <c r="J40" i="5"/>
  <c r="L40" i="5"/>
  <c r="M40" i="5" s="1"/>
  <c r="N40" i="5"/>
  <c r="O40" i="5" s="1"/>
  <c r="P40" i="5"/>
  <c r="Q40" i="5" s="1"/>
  <c r="S40" i="5"/>
  <c r="T40" i="5"/>
  <c r="U40" i="5"/>
  <c r="V40" i="5"/>
  <c r="W40" i="5"/>
  <c r="X40" i="5"/>
  <c r="K39" i="5"/>
  <c r="J39" i="5"/>
  <c r="L39" i="5"/>
  <c r="M39" i="5" s="1"/>
  <c r="N39" i="5"/>
  <c r="O39" i="5" s="1"/>
  <c r="P39" i="5"/>
  <c r="Q39" i="5" s="1"/>
  <c r="S39" i="5"/>
  <c r="T39" i="5"/>
  <c r="U39" i="5"/>
  <c r="V39" i="5"/>
  <c r="W39" i="5"/>
  <c r="X39" i="5"/>
  <c r="K38" i="5"/>
  <c r="J38" i="5"/>
  <c r="L38" i="5"/>
  <c r="M38" i="5" s="1"/>
  <c r="N38" i="5"/>
  <c r="O38" i="5" s="1"/>
  <c r="P38" i="5"/>
  <c r="Q38" i="5" s="1"/>
  <c r="S38" i="5"/>
  <c r="T38" i="5"/>
  <c r="U38" i="5"/>
  <c r="V38" i="5"/>
  <c r="W38" i="5"/>
  <c r="X38" i="5"/>
  <c r="K37" i="5"/>
  <c r="J37" i="5"/>
  <c r="L37" i="5"/>
  <c r="M37" i="5" s="1"/>
  <c r="N37" i="5"/>
  <c r="O37" i="5" s="1"/>
  <c r="P37" i="5"/>
  <c r="Q37" i="5" s="1"/>
  <c r="S37" i="5"/>
  <c r="T37" i="5"/>
  <c r="U37" i="5"/>
  <c r="V37" i="5"/>
  <c r="W37" i="5"/>
  <c r="X37" i="5"/>
  <c r="K36" i="5"/>
  <c r="J36" i="5"/>
  <c r="L36" i="5"/>
  <c r="M36" i="5" s="1"/>
  <c r="N36" i="5"/>
  <c r="O36" i="5" s="1"/>
  <c r="P36" i="5"/>
  <c r="Q36" i="5" s="1"/>
  <c r="S36" i="5"/>
  <c r="T36" i="5"/>
  <c r="U36" i="5"/>
  <c r="V36" i="5"/>
  <c r="W36" i="5"/>
  <c r="X36" i="5"/>
  <c r="K35" i="5"/>
  <c r="J35" i="5"/>
  <c r="L35" i="5"/>
  <c r="M35" i="5" s="1"/>
  <c r="N35" i="5"/>
  <c r="O35" i="5" s="1"/>
  <c r="P35" i="5"/>
  <c r="Q35" i="5" s="1"/>
  <c r="S35" i="5"/>
  <c r="T35" i="5"/>
  <c r="U35" i="5"/>
  <c r="V35" i="5"/>
  <c r="W35" i="5"/>
  <c r="X35" i="5"/>
  <c r="K34" i="5"/>
  <c r="J34" i="5"/>
  <c r="L34" i="5"/>
  <c r="M34" i="5" s="1"/>
  <c r="N34" i="5"/>
  <c r="O34" i="5" s="1"/>
  <c r="P34" i="5"/>
  <c r="Q34" i="5" s="1"/>
  <c r="S34" i="5"/>
  <c r="T34" i="5"/>
  <c r="U34" i="5"/>
  <c r="V34" i="5"/>
  <c r="W34" i="5"/>
  <c r="X34" i="5"/>
  <c r="K33" i="5"/>
  <c r="J33" i="5"/>
  <c r="L33" i="5"/>
  <c r="M33" i="5" s="1"/>
  <c r="N33" i="5"/>
  <c r="O33" i="5" s="1"/>
  <c r="P33" i="5"/>
  <c r="Q33" i="5" s="1"/>
  <c r="S33" i="5"/>
  <c r="T33" i="5"/>
  <c r="U33" i="5"/>
  <c r="V33" i="5"/>
  <c r="W33" i="5"/>
  <c r="X33" i="5"/>
  <c r="K32" i="5"/>
  <c r="J32" i="5"/>
  <c r="L32" i="5"/>
  <c r="M32" i="5" s="1"/>
  <c r="N32" i="5"/>
  <c r="O32" i="5" s="1"/>
  <c r="P32" i="5"/>
  <c r="Q32" i="5" s="1"/>
  <c r="S32" i="5"/>
  <c r="T32" i="5"/>
  <c r="U32" i="5"/>
  <c r="V32" i="5"/>
  <c r="W32" i="5"/>
  <c r="X32" i="5"/>
  <c r="K31" i="5"/>
  <c r="J31" i="5"/>
  <c r="L31" i="5"/>
  <c r="M31" i="5" s="1"/>
  <c r="N31" i="5"/>
  <c r="O31" i="5" s="1"/>
  <c r="P31" i="5"/>
  <c r="Q31" i="5" s="1"/>
  <c r="S31" i="5"/>
  <c r="T31" i="5"/>
  <c r="U31" i="5"/>
  <c r="V31" i="5"/>
  <c r="W31" i="5"/>
  <c r="X31" i="5"/>
  <c r="K30" i="5"/>
  <c r="J30" i="5"/>
  <c r="L30" i="5"/>
  <c r="M30" i="5" s="1"/>
  <c r="N30" i="5"/>
  <c r="O30" i="5" s="1"/>
  <c r="P30" i="5"/>
  <c r="Q30" i="5" s="1"/>
  <c r="S30" i="5"/>
  <c r="T30" i="5"/>
  <c r="U30" i="5"/>
  <c r="V30" i="5"/>
  <c r="W30" i="5"/>
  <c r="X30" i="5"/>
  <c r="K29" i="5"/>
  <c r="J29" i="5"/>
  <c r="L29" i="5"/>
  <c r="M29" i="5" s="1"/>
  <c r="N29" i="5"/>
  <c r="O29" i="5" s="1"/>
  <c r="P29" i="5"/>
  <c r="Q29" i="5" s="1"/>
  <c r="S29" i="5"/>
  <c r="T29" i="5"/>
  <c r="U29" i="5"/>
  <c r="V29" i="5"/>
  <c r="W29" i="5"/>
  <c r="X29" i="5"/>
  <c r="K28" i="5"/>
  <c r="J28" i="5"/>
  <c r="L28" i="5"/>
  <c r="M28" i="5" s="1"/>
  <c r="N28" i="5"/>
  <c r="O28" i="5" s="1"/>
  <c r="P28" i="5"/>
  <c r="Q28" i="5" s="1"/>
  <c r="S28" i="5"/>
  <c r="T28" i="5"/>
  <c r="U28" i="5"/>
  <c r="V28" i="5"/>
  <c r="W28" i="5"/>
  <c r="X28" i="5"/>
  <c r="K27" i="5"/>
  <c r="J27" i="5"/>
  <c r="L27" i="5"/>
  <c r="M27" i="5" s="1"/>
  <c r="N27" i="5"/>
  <c r="O27" i="5" s="1"/>
  <c r="P27" i="5"/>
  <c r="Q27" i="5" s="1"/>
  <c r="S27" i="5"/>
  <c r="T27" i="5"/>
  <c r="U27" i="5"/>
  <c r="V27" i="5"/>
  <c r="W27" i="5"/>
  <c r="X27" i="5"/>
  <c r="K26" i="5"/>
  <c r="J26" i="5"/>
  <c r="L26" i="5"/>
  <c r="M26" i="5" s="1"/>
  <c r="N26" i="5"/>
  <c r="O26" i="5" s="1"/>
  <c r="P26" i="5"/>
  <c r="Q26" i="5" s="1"/>
  <c r="S26" i="5"/>
  <c r="T26" i="5"/>
  <c r="U26" i="5"/>
  <c r="V26" i="5"/>
  <c r="W26" i="5"/>
  <c r="X26" i="5"/>
  <c r="K25" i="5"/>
  <c r="J25" i="5"/>
  <c r="L25" i="5"/>
  <c r="M25" i="5" s="1"/>
  <c r="N25" i="5"/>
  <c r="O25" i="5" s="1"/>
  <c r="P25" i="5"/>
  <c r="Q25" i="5" s="1"/>
  <c r="S25" i="5"/>
  <c r="T25" i="5"/>
  <c r="U25" i="5"/>
  <c r="V25" i="5"/>
  <c r="W25" i="5"/>
  <c r="X25" i="5"/>
  <c r="K24" i="5"/>
  <c r="J24" i="5"/>
  <c r="L24" i="5"/>
  <c r="M24" i="5" s="1"/>
  <c r="N24" i="5"/>
  <c r="O24" i="5" s="1"/>
  <c r="P24" i="5"/>
  <c r="Q24" i="5" s="1"/>
  <c r="S24" i="5"/>
  <c r="T24" i="5"/>
  <c r="U24" i="5"/>
  <c r="V24" i="5"/>
  <c r="W24" i="5"/>
  <c r="X24" i="5"/>
  <c r="K23" i="5"/>
  <c r="J23" i="5"/>
  <c r="L23" i="5"/>
  <c r="M23" i="5" s="1"/>
  <c r="N23" i="5"/>
  <c r="O23" i="5" s="1"/>
  <c r="P23" i="5"/>
  <c r="Q23" i="5" s="1"/>
  <c r="S23" i="5"/>
  <c r="T23" i="5"/>
  <c r="U23" i="5"/>
  <c r="V23" i="5"/>
  <c r="W23" i="5"/>
  <c r="X23" i="5"/>
  <c r="K22" i="5"/>
  <c r="J22" i="5"/>
  <c r="L22" i="5"/>
  <c r="M22" i="5" s="1"/>
  <c r="N22" i="5"/>
  <c r="O22" i="5" s="1"/>
  <c r="P22" i="5"/>
  <c r="Q22" i="5" s="1"/>
  <c r="S22" i="5"/>
  <c r="T22" i="5"/>
  <c r="U22" i="5"/>
  <c r="V22" i="5"/>
  <c r="W22" i="5"/>
  <c r="X22" i="5"/>
  <c r="K21" i="5"/>
  <c r="J21" i="5"/>
  <c r="L21" i="5"/>
  <c r="M21" i="5" s="1"/>
  <c r="N21" i="5"/>
  <c r="O21" i="5" s="1"/>
  <c r="P21" i="5"/>
  <c r="Q21" i="5" s="1"/>
  <c r="S21" i="5"/>
  <c r="T21" i="5"/>
  <c r="U21" i="5"/>
  <c r="V21" i="5"/>
  <c r="W21" i="5"/>
  <c r="X21" i="5"/>
  <c r="K20" i="5"/>
  <c r="J20" i="5"/>
  <c r="L20" i="5"/>
  <c r="M20" i="5" s="1"/>
  <c r="N20" i="5"/>
  <c r="O20" i="5" s="1"/>
  <c r="P20" i="5"/>
  <c r="Q20" i="5" s="1"/>
  <c r="S20" i="5"/>
  <c r="T20" i="5"/>
  <c r="U20" i="5"/>
  <c r="V20" i="5"/>
  <c r="W20" i="5"/>
  <c r="X20" i="5"/>
  <c r="K19" i="5"/>
  <c r="J19" i="5"/>
  <c r="L19" i="5"/>
  <c r="M19" i="5" s="1"/>
  <c r="N19" i="5"/>
  <c r="O19" i="5" s="1"/>
  <c r="P19" i="5"/>
  <c r="Q19" i="5" s="1"/>
  <c r="S19" i="5"/>
  <c r="T19" i="5"/>
  <c r="U19" i="5"/>
  <c r="V19" i="5"/>
  <c r="W19" i="5"/>
  <c r="X19" i="5"/>
  <c r="K18" i="5"/>
  <c r="J18" i="5"/>
  <c r="L18" i="5"/>
  <c r="M18" i="5" s="1"/>
  <c r="N18" i="5"/>
  <c r="O18" i="5" s="1"/>
  <c r="P18" i="5"/>
  <c r="Q18" i="5" s="1"/>
  <c r="S18" i="5"/>
  <c r="T18" i="5"/>
  <c r="U18" i="5"/>
  <c r="V18" i="5"/>
  <c r="W18" i="5"/>
  <c r="X18" i="5"/>
  <c r="K17" i="5"/>
  <c r="J17" i="5"/>
  <c r="L17" i="5"/>
  <c r="M17" i="5" s="1"/>
  <c r="N17" i="5"/>
  <c r="O17" i="5" s="1"/>
  <c r="P17" i="5"/>
  <c r="Q17" i="5" s="1"/>
  <c r="S17" i="5"/>
  <c r="T17" i="5"/>
  <c r="U17" i="5"/>
  <c r="V17" i="5"/>
  <c r="W17" i="5"/>
  <c r="X17" i="5"/>
  <c r="K16" i="5"/>
  <c r="J16" i="5"/>
  <c r="L16" i="5"/>
  <c r="M16" i="5" s="1"/>
  <c r="N16" i="5"/>
  <c r="O16" i="5" s="1"/>
  <c r="P16" i="5"/>
  <c r="Q16" i="5" s="1"/>
  <c r="S16" i="5"/>
  <c r="T16" i="5"/>
  <c r="U16" i="5"/>
  <c r="V16" i="5"/>
  <c r="W16" i="5"/>
  <c r="X16" i="5"/>
  <c r="K15" i="5"/>
  <c r="J15" i="5"/>
  <c r="L15" i="5"/>
  <c r="M15" i="5" s="1"/>
  <c r="N15" i="5"/>
  <c r="O15" i="5" s="1"/>
  <c r="P15" i="5"/>
  <c r="Q15" i="5" s="1"/>
  <c r="S15" i="5"/>
  <c r="T15" i="5"/>
  <c r="U15" i="5"/>
  <c r="V15" i="5"/>
  <c r="W15" i="5"/>
  <c r="X15" i="5"/>
  <c r="K14" i="5"/>
  <c r="J14" i="5"/>
  <c r="L14" i="5"/>
  <c r="M14" i="5" s="1"/>
  <c r="N14" i="5"/>
  <c r="O14" i="5" s="1"/>
  <c r="P14" i="5"/>
  <c r="Q14" i="5" s="1"/>
  <c r="S14" i="5"/>
  <c r="T14" i="5"/>
  <c r="U14" i="5"/>
  <c r="V14" i="5"/>
  <c r="W14" i="5"/>
  <c r="X14" i="5"/>
  <c r="K13" i="5"/>
  <c r="J13" i="5"/>
  <c r="L13" i="5"/>
  <c r="M13" i="5" s="1"/>
  <c r="N13" i="5"/>
  <c r="O13" i="5" s="1"/>
  <c r="P13" i="5"/>
  <c r="Q13" i="5" s="1"/>
  <c r="S13" i="5"/>
  <c r="T13" i="5"/>
  <c r="U13" i="5"/>
  <c r="V13" i="5"/>
  <c r="W13" i="5"/>
  <c r="X13" i="5"/>
  <c r="K12" i="5"/>
  <c r="J12" i="5"/>
  <c r="L12" i="5"/>
  <c r="M12" i="5" s="1"/>
  <c r="N12" i="5"/>
  <c r="O12" i="5" s="1"/>
  <c r="P12" i="5"/>
  <c r="Q12" i="5" s="1"/>
  <c r="S12" i="5"/>
  <c r="T12" i="5"/>
  <c r="U12" i="5"/>
  <c r="V12" i="5"/>
  <c r="W12" i="5"/>
  <c r="X12" i="5"/>
  <c r="K11" i="5"/>
  <c r="J11" i="5"/>
  <c r="L11" i="5"/>
  <c r="M11" i="5" s="1"/>
  <c r="N11" i="5"/>
  <c r="O11" i="5" s="1"/>
  <c r="P11" i="5"/>
  <c r="Q11" i="5" s="1"/>
  <c r="S11" i="5"/>
  <c r="T11" i="5"/>
  <c r="U11" i="5"/>
  <c r="V11" i="5"/>
  <c r="W11" i="5"/>
  <c r="X11" i="5"/>
  <c r="K10" i="5"/>
  <c r="J10" i="5"/>
  <c r="L10" i="5"/>
  <c r="M10" i="5" s="1"/>
  <c r="N10" i="5"/>
  <c r="O10" i="5" s="1"/>
  <c r="P10" i="5"/>
  <c r="Q10" i="5" s="1"/>
  <c r="S10" i="5"/>
  <c r="T10" i="5"/>
  <c r="U10" i="5"/>
  <c r="V10" i="5"/>
  <c r="W10" i="5"/>
  <c r="X10" i="5"/>
  <c r="K9" i="5"/>
  <c r="J9" i="5"/>
  <c r="L9" i="5"/>
  <c r="M9" i="5" s="1"/>
  <c r="N9" i="5"/>
  <c r="O9" i="5" s="1"/>
  <c r="P9" i="5"/>
  <c r="Q9" i="5" s="1"/>
  <c r="S9" i="5"/>
  <c r="T9" i="5"/>
  <c r="U9" i="5"/>
  <c r="V9" i="5"/>
  <c r="W9" i="5"/>
  <c r="X9" i="5"/>
  <c r="G110" i="8"/>
  <c r="F110" i="8"/>
  <c r="H110" i="8"/>
  <c r="I110" i="8" s="1"/>
  <c r="J110" i="8"/>
  <c r="K110" i="8" s="1"/>
  <c r="L110" i="8"/>
  <c r="M110" i="8"/>
  <c r="O110" i="8"/>
  <c r="P110" i="8"/>
  <c r="G109" i="8"/>
  <c r="F109" i="8"/>
  <c r="H109" i="8"/>
  <c r="I109" i="8" s="1"/>
  <c r="J109" i="8"/>
  <c r="K109" i="8" s="1"/>
  <c r="L109" i="8"/>
  <c r="M109" i="8"/>
  <c r="O109" i="8"/>
  <c r="P109" i="8"/>
  <c r="G108" i="8"/>
  <c r="F108" i="8"/>
  <c r="H108" i="8"/>
  <c r="I108" i="8"/>
  <c r="J108" i="8"/>
  <c r="K108" i="8" s="1"/>
  <c r="L108" i="8"/>
  <c r="M108" i="8" s="1"/>
  <c r="O108" i="8"/>
  <c r="P108" i="8"/>
  <c r="G107" i="8"/>
  <c r="F107" i="8"/>
  <c r="H107" i="8"/>
  <c r="I107" i="8" s="1"/>
  <c r="J107" i="8"/>
  <c r="K107" i="8" s="1"/>
  <c r="L107" i="8"/>
  <c r="M107" i="8"/>
  <c r="O107" i="8"/>
  <c r="P107" i="8"/>
  <c r="G106" i="8"/>
  <c r="F106" i="8"/>
  <c r="H106" i="8"/>
  <c r="I106" i="8" s="1"/>
  <c r="J106" i="8"/>
  <c r="K106" i="8" s="1"/>
  <c r="L106" i="8"/>
  <c r="M106" i="8" s="1"/>
  <c r="O106" i="8"/>
  <c r="P106" i="8"/>
  <c r="G105" i="8"/>
  <c r="F105" i="8"/>
  <c r="H105" i="8"/>
  <c r="I105" i="8" s="1"/>
  <c r="J105" i="8"/>
  <c r="K105" i="8" s="1"/>
  <c r="L105" i="8"/>
  <c r="M105" i="8" s="1"/>
  <c r="O105" i="8"/>
  <c r="P105" i="8"/>
  <c r="G104" i="8"/>
  <c r="F104" i="8"/>
  <c r="H104" i="8"/>
  <c r="I104" i="8"/>
  <c r="J104" i="8"/>
  <c r="K104" i="8" s="1"/>
  <c r="L104" i="8"/>
  <c r="M104" i="8" s="1"/>
  <c r="O104" i="8"/>
  <c r="P104" i="8"/>
  <c r="G103" i="8"/>
  <c r="F103" i="8"/>
  <c r="H103" i="8"/>
  <c r="I103" i="8"/>
  <c r="J103" i="8"/>
  <c r="K103" i="8" s="1"/>
  <c r="L103" i="8"/>
  <c r="M103" i="8"/>
  <c r="O103" i="8"/>
  <c r="P103" i="8"/>
  <c r="G102" i="8"/>
  <c r="F102" i="8"/>
  <c r="H102" i="8"/>
  <c r="I102" i="8" s="1"/>
  <c r="J102" i="8"/>
  <c r="K102" i="8" s="1"/>
  <c r="L102" i="8"/>
  <c r="M102" i="8"/>
  <c r="O102" i="8"/>
  <c r="P102" i="8"/>
  <c r="G101" i="8"/>
  <c r="F101" i="8"/>
  <c r="H101" i="8"/>
  <c r="I101" i="8" s="1"/>
  <c r="J101" i="8"/>
  <c r="K101" i="8" s="1"/>
  <c r="L101" i="8"/>
  <c r="M101" i="8"/>
  <c r="O101" i="8"/>
  <c r="P101" i="8"/>
  <c r="G100" i="8"/>
  <c r="F100" i="8"/>
  <c r="H100" i="8"/>
  <c r="I100" i="8"/>
  <c r="J100" i="8"/>
  <c r="K100" i="8" s="1"/>
  <c r="L100" i="8"/>
  <c r="M100" i="8" s="1"/>
  <c r="O100" i="8"/>
  <c r="P100" i="8"/>
  <c r="G99" i="8"/>
  <c r="F99" i="8"/>
  <c r="H99" i="8"/>
  <c r="I99" i="8" s="1"/>
  <c r="J99" i="8"/>
  <c r="K99" i="8" s="1"/>
  <c r="L99" i="8"/>
  <c r="M99" i="8"/>
  <c r="O99" i="8"/>
  <c r="P99" i="8"/>
  <c r="G98" i="8"/>
  <c r="F98" i="8"/>
  <c r="H98" i="8"/>
  <c r="I98" i="8" s="1"/>
  <c r="J98" i="8"/>
  <c r="K98" i="8" s="1"/>
  <c r="L98" i="8"/>
  <c r="M98" i="8" s="1"/>
  <c r="O98" i="8"/>
  <c r="P98" i="8"/>
  <c r="G97" i="8"/>
  <c r="F97" i="8"/>
  <c r="H97" i="8"/>
  <c r="I97" i="8" s="1"/>
  <c r="J97" i="8"/>
  <c r="K97" i="8" s="1"/>
  <c r="L97" i="8"/>
  <c r="M97" i="8" s="1"/>
  <c r="O97" i="8"/>
  <c r="P97" i="8"/>
  <c r="G96" i="8"/>
  <c r="F96" i="8"/>
  <c r="H96" i="8"/>
  <c r="I96" i="8"/>
  <c r="J96" i="8"/>
  <c r="K96" i="8" s="1"/>
  <c r="L96" i="8"/>
  <c r="M96" i="8" s="1"/>
  <c r="O96" i="8"/>
  <c r="P96" i="8"/>
  <c r="G95" i="8"/>
  <c r="F95" i="8"/>
  <c r="H95" i="8"/>
  <c r="I95" i="8"/>
  <c r="J95" i="8"/>
  <c r="K95" i="8" s="1"/>
  <c r="L95" i="8"/>
  <c r="M95" i="8"/>
  <c r="O95" i="8"/>
  <c r="P95" i="8"/>
  <c r="G94" i="8"/>
  <c r="F94" i="8"/>
  <c r="H94" i="8"/>
  <c r="I94" i="8" s="1"/>
  <c r="J94" i="8"/>
  <c r="K94" i="8" s="1"/>
  <c r="L94" i="8"/>
  <c r="M94" i="8"/>
  <c r="O94" i="8"/>
  <c r="P94" i="8"/>
  <c r="G93" i="8"/>
  <c r="F93" i="8"/>
  <c r="H93" i="8"/>
  <c r="I93" i="8" s="1"/>
  <c r="J93" i="8"/>
  <c r="K93" i="8" s="1"/>
  <c r="L93" i="8"/>
  <c r="M93" i="8"/>
  <c r="O93" i="8"/>
  <c r="P93" i="8"/>
  <c r="G92" i="8"/>
  <c r="F92" i="8"/>
  <c r="H92" i="8"/>
  <c r="I92" i="8"/>
  <c r="J92" i="8"/>
  <c r="K92" i="8" s="1"/>
  <c r="L92" i="8"/>
  <c r="M92" i="8" s="1"/>
  <c r="O92" i="8"/>
  <c r="P92" i="8"/>
  <c r="G91" i="8"/>
  <c r="F91" i="8"/>
  <c r="H91" i="8"/>
  <c r="I91" i="8" s="1"/>
  <c r="J91" i="8"/>
  <c r="K91" i="8" s="1"/>
  <c r="L91" i="8"/>
  <c r="M91" i="8"/>
  <c r="O91" i="8"/>
  <c r="P91" i="8"/>
  <c r="G90" i="8"/>
  <c r="F90" i="8"/>
  <c r="H90" i="8"/>
  <c r="I90" i="8" s="1"/>
  <c r="J90" i="8"/>
  <c r="K90" i="8" s="1"/>
  <c r="L90" i="8"/>
  <c r="M90" i="8" s="1"/>
  <c r="O90" i="8"/>
  <c r="P90" i="8"/>
  <c r="G89" i="8"/>
  <c r="F89" i="8"/>
  <c r="H89" i="8"/>
  <c r="I89" i="8" s="1"/>
  <c r="J89" i="8"/>
  <c r="K89" i="8" s="1"/>
  <c r="L89" i="8"/>
  <c r="M89" i="8" s="1"/>
  <c r="O89" i="8"/>
  <c r="P89" i="8"/>
  <c r="G88" i="8"/>
  <c r="F88" i="8"/>
  <c r="H88" i="8"/>
  <c r="I88" i="8"/>
  <c r="J88" i="8"/>
  <c r="K88" i="8" s="1"/>
  <c r="L88" i="8"/>
  <c r="M88" i="8" s="1"/>
  <c r="O88" i="8"/>
  <c r="P88" i="8"/>
  <c r="G87" i="8"/>
  <c r="F87" i="8"/>
  <c r="H87" i="8"/>
  <c r="I87" i="8"/>
  <c r="J87" i="8"/>
  <c r="K87" i="8" s="1"/>
  <c r="L87" i="8"/>
  <c r="M87" i="8"/>
  <c r="O87" i="8"/>
  <c r="P87" i="8"/>
  <c r="G86" i="8"/>
  <c r="F86" i="8"/>
  <c r="H86" i="8"/>
  <c r="I86" i="8" s="1"/>
  <c r="J86" i="8"/>
  <c r="K86" i="8" s="1"/>
  <c r="L86" i="8"/>
  <c r="M86" i="8"/>
  <c r="O86" i="8"/>
  <c r="P86" i="8"/>
  <c r="G85" i="8"/>
  <c r="F85" i="8"/>
  <c r="H85" i="8"/>
  <c r="I85" i="8" s="1"/>
  <c r="J85" i="8"/>
  <c r="K85" i="8" s="1"/>
  <c r="L85" i="8"/>
  <c r="M85" i="8"/>
  <c r="O85" i="8"/>
  <c r="P85" i="8"/>
  <c r="G84" i="8"/>
  <c r="F84" i="8"/>
  <c r="H84" i="8"/>
  <c r="I84" i="8"/>
  <c r="J84" i="8"/>
  <c r="K84" i="8" s="1"/>
  <c r="L84" i="8"/>
  <c r="M84" i="8" s="1"/>
  <c r="O84" i="8"/>
  <c r="P84" i="8"/>
  <c r="G83" i="8"/>
  <c r="F83" i="8"/>
  <c r="H83" i="8"/>
  <c r="I83" i="8" s="1"/>
  <c r="J83" i="8"/>
  <c r="K83" i="8" s="1"/>
  <c r="L83" i="8"/>
  <c r="M83" i="8"/>
  <c r="O83" i="8"/>
  <c r="P83" i="8"/>
  <c r="G82" i="8"/>
  <c r="F82" i="8"/>
  <c r="H82" i="8"/>
  <c r="I82" i="8" s="1"/>
  <c r="J82" i="8"/>
  <c r="K82" i="8" s="1"/>
  <c r="L82" i="8"/>
  <c r="M82" i="8" s="1"/>
  <c r="O82" i="8"/>
  <c r="P82" i="8"/>
  <c r="G81" i="8"/>
  <c r="F81" i="8"/>
  <c r="H81" i="8"/>
  <c r="I81" i="8" s="1"/>
  <c r="J81" i="8"/>
  <c r="K81" i="8" s="1"/>
  <c r="L81" i="8"/>
  <c r="M81" i="8" s="1"/>
  <c r="O81" i="8"/>
  <c r="P81" i="8"/>
  <c r="G80" i="8"/>
  <c r="F80" i="8"/>
  <c r="H80" i="8"/>
  <c r="I80" i="8"/>
  <c r="J80" i="8"/>
  <c r="K80" i="8" s="1"/>
  <c r="L80" i="8"/>
  <c r="M80" i="8" s="1"/>
  <c r="O80" i="8"/>
  <c r="P80" i="8"/>
  <c r="G79" i="8"/>
  <c r="F79" i="8"/>
  <c r="H79" i="8"/>
  <c r="I79" i="8"/>
  <c r="J79" i="8"/>
  <c r="K79" i="8" s="1"/>
  <c r="L79" i="8"/>
  <c r="M79" i="8"/>
  <c r="O79" i="8"/>
  <c r="P79" i="8"/>
  <c r="G78" i="8"/>
  <c r="F78" i="8"/>
  <c r="H78" i="8"/>
  <c r="I78" i="8" s="1"/>
  <c r="J78" i="8"/>
  <c r="K78" i="8" s="1"/>
  <c r="L78" i="8"/>
  <c r="M78" i="8"/>
  <c r="O78" i="8"/>
  <c r="P78" i="8"/>
  <c r="G77" i="8"/>
  <c r="F77" i="8"/>
  <c r="H77" i="8"/>
  <c r="I77" i="8" s="1"/>
  <c r="J77" i="8"/>
  <c r="K77" i="8" s="1"/>
  <c r="L77" i="8"/>
  <c r="M77" i="8"/>
  <c r="O77" i="8"/>
  <c r="P77" i="8"/>
  <c r="G76" i="8"/>
  <c r="F76" i="8"/>
  <c r="H76" i="8"/>
  <c r="I76" i="8"/>
  <c r="J76" i="8"/>
  <c r="K76" i="8" s="1"/>
  <c r="L76" i="8"/>
  <c r="M76" i="8" s="1"/>
  <c r="O76" i="8"/>
  <c r="P76" i="8"/>
  <c r="G75" i="8"/>
  <c r="F75" i="8"/>
  <c r="H75" i="8"/>
  <c r="I75" i="8" s="1"/>
  <c r="J75" i="8"/>
  <c r="K75" i="8" s="1"/>
  <c r="L75" i="8"/>
  <c r="M75" i="8"/>
  <c r="O75" i="8"/>
  <c r="P75" i="8"/>
  <c r="G74" i="8"/>
  <c r="F74" i="8"/>
  <c r="H74" i="8"/>
  <c r="I74" i="8" s="1"/>
  <c r="J74" i="8"/>
  <c r="K74" i="8" s="1"/>
  <c r="L74" i="8"/>
  <c r="M74" i="8" s="1"/>
  <c r="O74" i="8"/>
  <c r="P74" i="8"/>
  <c r="G73" i="8"/>
  <c r="F73" i="8"/>
  <c r="H73" i="8"/>
  <c r="I73" i="8" s="1"/>
  <c r="J73" i="8"/>
  <c r="K73" i="8" s="1"/>
  <c r="L73" i="8"/>
  <c r="M73" i="8" s="1"/>
  <c r="O73" i="8"/>
  <c r="P73" i="8"/>
  <c r="G72" i="8"/>
  <c r="F72" i="8"/>
  <c r="H72" i="8"/>
  <c r="I72" i="8"/>
  <c r="J72" i="8"/>
  <c r="K72" i="8" s="1"/>
  <c r="L72" i="8"/>
  <c r="M72" i="8" s="1"/>
  <c r="O72" i="8"/>
  <c r="P72" i="8"/>
  <c r="G71" i="8"/>
  <c r="F71" i="8"/>
  <c r="H71" i="8"/>
  <c r="I71" i="8"/>
  <c r="J71" i="8"/>
  <c r="K71" i="8" s="1"/>
  <c r="L71" i="8"/>
  <c r="M71" i="8"/>
  <c r="O71" i="8"/>
  <c r="P71" i="8"/>
  <c r="G70" i="8"/>
  <c r="F70" i="8"/>
  <c r="H70" i="8"/>
  <c r="I70" i="8" s="1"/>
  <c r="J70" i="8"/>
  <c r="K70" i="8" s="1"/>
  <c r="L70" i="8"/>
  <c r="M70" i="8"/>
  <c r="O70" i="8"/>
  <c r="P70" i="8"/>
  <c r="G69" i="8"/>
  <c r="F69" i="8"/>
  <c r="H69" i="8"/>
  <c r="I69" i="8" s="1"/>
  <c r="J69" i="8"/>
  <c r="K69" i="8" s="1"/>
  <c r="L69" i="8"/>
  <c r="M69" i="8"/>
  <c r="O69" i="8"/>
  <c r="P69" i="8"/>
  <c r="G68" i="8"/>
  <c r="F68" i="8"/>
  <c r="H68" i="8"/>
  <c r="I68" i="8"/>
  <c r="J68" i="8"/>
  <c r="K68" i="8" s="1"/>
  <c r="L68" i="8"/>
  <c r="M68" i="8" s="1"/>
  <c r="O68" i="8"/>
  <c r="P68" i="8"/>
  <c r="G67" i="8"/>
  <c r="F67" i="8"/>
  <c r="H67" i="8"/>
  <c r="I67" i="8" s="1"/>
  <c r="J67" i="8"/>
  <c r="K67" i="8" s="1"/>
  <c r="L67" i="8"/>
  <c r="M67" i="8" s="1"/>
  <c r="O67" i="8"/>
  <c r="P67" i="8"/>
  <c r="G66" i="8"/>
  <c r="F66" i="8"/>
  <c r="H66" i="8"/>
  <c r="I66" i="8" s="1"/>
  <c r="J66" i="8"/>
  <c r="K66" i="8"/>
  <c r="N66" i="8" s="1"/>
  <c r="L66" i="8"/>
  <c r="M66" i="8" s="1"/>
  <c r="O66" i="8"/>
  <c r="P66" i="8"/>
  <c r="G65" i="8"/>
  <c r="F65" i="8"/>
  <c r="H65" i="8"/>
  <c r="I65" i="8" s="1"/>
  <c r="J65" i="8"/>
  <c r="K65" i="8" s="1"/>
  <c r="L65" i="8"/>
  <c r="M65" i="8" s="1"/>
  <c r="O65" i="8"/>
  <c r="P65" i="8"/>
  <c r="G64" i="8"/>
  <c r="F64" i="8"/>
  <c r="H64" i="8"/>
  <c r="I64" i="8" s="1"/>
  <c r="J64" i="8"/>
  <c r="K64" i="8" s="1"/>
  <c r="N64" i="8" s="1"/>
  <c r="L64" i="8"/>
  <c r="M64" i="8" s="1"/>
  <c r="O64" i="8"/>
  <c r="P64" i="8"/>
  <c r="G63" i="8"/>
  <c r="F63" i="8"/>
  <c r="H63" i="8"/>
  <c r="I63" i="8"/>
  <c r="J63" i="8"/>
  <c r="K63" i="8" s="1"/>
  <c r="L63" i="8"/>
  <c r="M63" i="8" s="1"/>
  <c r="O63" i="8"/>
  <c r="P63" i="8"/>
  <c r="G62" i="8"/>
  <c r="F62" i="8"/>
  <c r="H62" i="8"/>
  <c r="I62" i="8" s="1"/>
  <c r="J62" i="8"/>
  <c r="K62" i="8" s="1"/>
  <c r="N62" i="8" s="1"/>
  <c r="L62" i="8"/>
  <c r="M62" i="8" s="1"/>
  <c r="O62" i="8"/>
  <c r="P62" i="8"/>
  <c r="G61" i="8"/>
  <c r="F61" i="8"/>
  <c r="H61" i="8"/>
  <c r="I61" i="8" s="1"/>
  <c r="J61" i="8"/>
  <c r="K61" i="8" s="1"/>
  <c r="L61" i="8"/>
  <c r="M61" i="8"/>
  <c r="O61" i="8"/>
  <c r="P61" i="8"/>
  <c r="G60" i="8"/>
  <c r="F60" i="8"/>
  <c r="H60" i="8"/>
  <c r="I60" i="8" s="1"/>
  <c r="J60" i="8"/>
  <c r="K60" i="8" s="1"/>
  <c r="N60" i="8" s="1"/>
  <c r="L60" i="8"/>
  <c r="M60" i="8" s="1"/>
  <c r="O60" i="8"/>
  <c r="P60" i="8"/>
  <c r="G59" i="8"/>
  <c r="F59" i="8"/>
  <c r="H59" i="8"/>
  <c r="I59" i="8" s="1"/>
  <c r="J59" i="8"/>
  <c r="K59" i="8" s="1"/>
  <c r="L59" i="8"/>
  <c r="M59" i="8" s="1"/>
  <c r="O59" i="8"/>
  <c r="P59" i="8"/>
  <c r="G58" i="8"/>
  <c r="F58" i="8"/>
  <c r="H58" i="8"/>
  <c r="I58" i="8" s="1"/>
  <c r="J58" i="8"/>
  <c r="K58" i="8"/>
  <c r="N58" i="8" s="1"/>
  <c r="L58" i="8"/>
  <c r="M58" i="8" s="1"/>
  <c r="O58" i="8"/>
  <c r="P58" i="8"/>
  <c r="G57" i="8"/>
  <c r="F57" i="8"/>
  <c r="H57" i="8"/>
  <c r="I57" i="8" s="1"/>
  <c r="J57" i="8"/>
  <c r="K57" i="8" s="1"/>
  <c r="L57" i="8"/>
  <c r="M57" i="8" s="1"/>
  <c r="O57" i="8"/>
  <c r="P57" i="8"/>
  <c r="G56" i="8"/>
  <c r="F56" i="8"/>
  <c r="H56" i="8"/>
  <c r="I56" i="8" s="1"/>
  <c r="J56" i="8"/>
  <c r="K56" i="8" s="1"/>
  <c r="N56" i="8" s="1"/>
  <c r="L56" i="8"/>
  <c r="M56" i="8" s="1"/>
  <c r="O56" i="8"/>
  <c r="P56" i="8"/>
  <c r="G55" i="8"/>
  <c r="F55" i="8"/>
  <c r="H55" i="8"/>
  <c r="I55" i="8"/>
  <c r="J55" i="8"/>
  <c r="K55" i="8" s="1"/>
  <c r="L55" i="8"/>
  <c r="M55" i="8" s="1"/>
  <c r="O55" i="8"/>
  <c r="P55" i="8"/>
  <c r="G54" i="8"/>
  <c r="F54" i="8"/>
  <c r="H54" i="8"/>
  <c r="I54" i="8" s="1"/>
  <c r="J54" i="8"/>
  <c r="K54" i="8" s="1"/>
  <c r="N54" i="8" s="1"/>
  <c r="L54" i="8"/>
  <c r="M54" i="8" s="1"/>
  <c r="O54" i="8"/>
  <c r="P54" i="8"/>
  <c r="G53" i="8"/>
  <c r="F53" i="8"/>
  <c r="H53" i="8"/>
  <c r="I53" i="8" s="1"/>
  <c r="J53" i="8"/>
  <c r="K53" i="8" s="1"/>
  <c r="L53" i="8"/>
  <c r="M53" i="8"/>
  <c r="O53" i="8"/>
  <c r="P53" i="8"/>
  <c r="G52" i="8"/>
  <c r="F52" i="8"/>
  <c r="H52" i="8"/>
  <c r="I52" i="8" s="1"/>
  <c r="J52" i="8"/>
  <c r="K52" i="8" s="1"/>
  <c r="N52" i="8" s="1"/>
  <c r="L52" i="8"/>
  <c r="M52" i="8" s="1"/>
  <c r="O52" i="8"/>
  <c r="P52" i="8"/>
  <c r="G51" i="8"/>
  <c r="F51" i="8"/>
  <c r="H51" i="8"/>
  <c r="I51" i="8" s="1"/>
  <c r="J51" i="8"/>
  <c r="K51" i="8" s="1"/>
  <c r="L51" i="8"/>
  <c r="M51" i="8" s="1"/>
  <c r="O51" i="8"/>
  <c r="P51" i="8"/>
  <c r="G50" i="8"/>
  <c r="F50" i="8"/>
  <c r="H50" i="8"/>
  <c r="I50" i="8" s="1"/>
  <c r="J50" i="8"/>
  <c r="K50" i="8"/>
  <c r="N50" i="8" s="1"/>
  <c r="L50" i="8"/>
  <c r="M50" i="8" s="1"/>
  <c r="O50" i="8"/>
  <c r="P50" i="8"/>
  <c r="G49" i="8"/>
  <c r="F49" i="8"/>
  <c r="H49" i="8"/>
  <c r="I49" i="8" s="1"/>
  <c r="J49" i="8"/>
  <c r="K49" i="8" s="1"/>
  <c r="L49" i="8"/>
  <c r="M49" i="8" s="1"/>
  <c r="O49" i="8"/>
  <c r="P49" i="8"/>
  <c r="G48" i="8"/>
  <c r="F48" i="8"/>
  <c r="H48" i="8"/>
  <c r="I48" i="8" s="1"/>
  <c r="J48" i="8"/>
  <c r="K48" i="8" s="1"/>
  <c r="N48" i="8" s="1"/>
  <c r="L48" i="8"/>
  <c r="M48" i="8" s="1"/>
  <c r="O48" i="8"/>
  <c r="P48" i="8"/>
  <c r="G47" i="8"/>
  <c r="F47" i="8"/>
  <c r="H47" i="8"/>
  <c r="I47" i="8"/>
  <c r="J47" i="8"/>
  <c r="K47" i="8" s="1"/>
  <c r="L47" i="8"/>
  <c r="M47" i="8" s="1"/>
  <c r="O47" i="8"/>
  <c r="P47" i="8"/>
  <c r="G46" i="8"/>
  <c r="F46" i="8"/>
  <c r="H46" i="8"/>
  <c r="I46" i="8" s="1"/>
  <c r="J46" i="8"/>
  <c r="K46" i="8" s="1"/>
  <c r="N46" i="8" s="1"/>
  <c r="L46" i="8"/>
  <c r="M46" i="8" s="1"/>
  <c r="O46" i="8"/>
  <c r="P46" i="8"/>
  <c r="G45" i="8"/>
  <c r="F45" i="8"/>
  <c r="H45" i="8"/>
  <c r="I45" i="8" s="1"/>
  <c r="J45" i="8"/>
  <c r="K45" i="8" s="1"/>
  <c r="L45" i="8"/>
  <c r="M45" i="8"/>
  <c r="O45" i="8"/>
  <c r="P45" i="8"/>
  <c r="G44" i="8"/>
  <c r="F44" i="8"/>
  <c r="H44" i="8"/>
  <c r="I44" i="8" s="1"/>
  <c r="J44" i="8"/>
  <c r="K44" i="8" s="1"/>
  <c r="N44" i="8" s="1"/>
  <c r="L44" i="8"/>
  <c r="M44" i="8" s="1"/>
  <c r="O44" i="8"/>
  <c r="P44" i="8"/>
  <c r="G43" i="8"/>
  <c r="F43" i="8"/>
  <c r="H43" i="8"/>
  <c r="I43" i="8" s="1"/>
  <c r="J43" i="8"/>
  <c r="K43" i="8"/>
  <c r="L43" i="8"/>
  <c r="M43" i="8" s="1"/>
  <c r="O43" i="8"/>
  <c r="P43" i="8"/>
  <c r="G42" i="8"/>
  <c r="F42" i="8"/>
  <c r="H42" i="8"/>
  <c r="I42" i="8"/>
  <c r="J42" i="8"/>
  <c r="K42" i="8" s="1"/>
  <c r="N42" i="8" s="1"/>
  <c r="L42" i="8"/>
  <c r="M42" i="8"/>
  <c r="O42" i="8"/>
  <c r="P42" i="8"/>
  <c r="G41" i="8"/>
  <c r="F41" i="8"/>
  <c r="H41" i="8"/>
  <c r="I41" i="8" s="1"/>
  <c r="J41" i="8"/>
  <c r="K41" i="8"/>
  <c r="L41" i="8"/>
  <c r="M41" i="8" s="1"/>
  <c r="O41" i="8"/>
  <c r="P41" i="8"/>
  <c r="G40" i="8"/>
  <c r="F40" i="8"/>
  <c r="H40" i="8"/>
  <c r="I40" i="8"/>
  <c r="J40" i="8"/>
  <c r="K40" i="8" s="1"/>
  <c r="N40" i="8" s="1"/>
  <c r="L40" i="8"/>
  <c r="M40" i="8"/>
  <c r="O40" i="8"/>
  <c r="P40" i="8"/>
  <c r="G39" i="8"/>
  <c r="F39" i="8"/>
  <c r="H39" i="8"/>
  <c r="I39" i="8" s="1"/>
  <c r="J39" i="8"/>
  <c r="K39" i="8"/>
  <c r="L39" i="8"/>
  <c r="M39" i="8" s="1"/>
  <c r="O39" i="8"/>
  <c r="P39" i="8"/>
  <c r="G38" i="8"/>
  <c r="F38" i="8"/>
  <c r="H38" i="8"/>
  <c r="I38" i="8"/>
  <c r="J38" i="8"/>
  <c r="K38" i="8" s="1"/>
  <c r="N38" i="8" s="1"/>
  <c r="L38" i="8"/>
  <c r="M38" i="8"/>
  <c r="O38" i="8"/>
  <c r="P38" i="8"/>
  <c r="G37" i="8"/>
  <c r="F37" i="8"/>
  <c r="H37" i="8"/>
  <c r="I37" i="8" s="1"/>
  <c r="J37" i="8"/>
  <c r="K37" i="8"/>
  <c r="L37" i="8"/>
  <c r="M37" i="8" s="1"/>
  <c r="O37" i="8"/>
  <c r="P37" i="8"/>
  <c r="G36" i="8"/>
  <c r="F36" i="8"/>
  <c r="H36" i="8"/>
  <c r="I36" i="8"/>
  <c r="J36" i="8"/>
  <c r="K36" i="8" s="1"/>
  <c r="N36" i="8" s="1"/>
  <c r="L36" i="8"/>
  <c r="M36" i="8"/>
  <c r="O36" i="8"/>
  <c r="P36" i="8"/>
  <c r="G35" i="8"/>
  <c r="F35" i="8"/>
  <c r="H35" i="8"/>
  <c r="I35" i="8" s="1"/>
  <c r="J35" i="8"/>
  <c r="K35" i="8"/>
  <c r="L35" i="8"/>
  <c r="M35" i="8" s="1"/>
  <c r="O35" i="8"/>
  <c r="P35" i="8"/>
  <c r="G34" i="8"/>
  <c r="F34" i="8"/>
  <c r="H34" i="8"/>
  <c r="I34" i="8"/>
  <c r="J34" i="8"/>
  <c r="K34" i="8" s="1"/>
  <c r="N34" i="8" s="1"/>
  <c r="L34" i="8"/>
  <c r="M34" i="8"/>
  <c r="O34" i="8"/>
  <c r="P34" i="8"/>
  <c r="G33" i="8"/>
  <c r="F33" i="8"/>
  <c r="H33" i="8"/>
  <c r="I33" i="8" s="1"/>
  <c r="J33" i="8"/>
  <c r="K33" i="8"/>
  <c r="L33" i="8"/>
  <c r="M33" i="8" s="1"/>
  <c r="O33" i="8"/>
  <c r="P33" i="8"/>
  <c r="G32" i="8"/>
  <c r="F32" i="8"/>
  <c r="H32" i="8"/>
  <c r="I32" i="8"/>
  <c r="J32" i="8"/>
  <c r="K32" i="8" s="1"/>
  <c r="N32" i="8" s="1"/>
  <c r="L32" i="8"/>
  <c r="M32" i="8"/>
  <c r="O32" i="8"/>
  <c r="P32" i="8"/>
  <c r="G31" i="8"/>
  <c r="F31" i="8"/>
  <c r="H31" i="8"/>
  <c r="I31" i="8" s="1"/>
  <c r="J31" i="8"/>
  <c r="K31" i="8"/>
  <c r="L31" i="8"/>
  <c r="M31" i="8" s="1"/>
  <c r="O31" i="8"/>
  <c r="P31" i="8"/>
  <c r="G30" i="8"/>
  <c r="F30" i="8"/>
  <c r="H30" i="8"/>
  <c r="I30" i="8"/>
  <c r="J30" i="8"/>
  <c r="K30" i="8" s="1"/>
  <c r="N30" i="8" s="1"/>
  <c r="L30" i="8"/>
  <c r="M30" i="8"/>
  <c r="O30" i="8"/>
  <c r="P30" i="8"/>
  <c r="G29" i="8"/>
  <c r="F29" i="8"/>
  <c r="H29" i="8"/>
  <c r="I29" i="8" s="1"/>
  <c r="J29" i="8"/>
  <c r="K29" i="8"/>
  <c r="L29" i="8"/>
  <c r="M29" i="8" s="1"/>
  <c r="O29" i="8"/>
  <c r="P29" i="8"/>
  <c r="G28" i="8"/>
  <c r="F28" i="8"/>
  <c r="H28" i="8"/>
  <c r="I28" i="8"/>
  <c r="J28" i="8"/>
  <c r="K28" i="8" s="1"/>
  <c r="N28" i="8" s="1"/>
  <c r="L28" i="8"/>
  <c r="M28" i="8"/>
  <c r="O28" i="8"/>
  <c r="P28" i="8"/>
  <c r="G27" i="8"/>
  <c r="F27" i="8"/>
  <c r="H27" i="8"/>
  <c r="I27" i="8" s="1"/>
  <c r="J27" i="8"/>
  <c r="K27" i="8"/>
  <c r="L27" i="8"/>
  <c r="M27" i="8" s="1"/>
  <c r="O27" i="8"/>
  <c r="P27" i="8"/>
  <c r="G26" i="8"/>
  <c r="F26" i="8"/>
  <c r="H26" i="8"/>
  <c r="I26" i="8"/>
  <c r="J26" i="8"/>
  <c r="K26" i="8" s="1"/>
  <c r="L26" i="8"/>
  <c r="M26" i="8"/>
  <c r="O26" i="8"/>
  <c r="P26" i="8"/>
  <c r="G25" i="8"/>
  <c r="F25" i="8"/>
  <c r="H25" i="8"/>
  <c r="I25" i="8" s="1"/>
  <c r="J25" i="8"/>
  <c r="K25" i="8"/>
  <c r="L25" i="8"/>
  <c r="M25" i="8" s="1"/>
  <c r="O25" i="8"/>
  <c r="P25" i="8"/>
  <c r="G24" i="8"/>
  <c r="F24" i="8"/>
  <c r="H24" i="8"/>
  <c r="I24" i="8"/>
  <c r="J24" i="8"/>
  <c r="K24" i="8" s="1"/>
  <c r="L24" i="8"/>
  <c r="M24" i="8"/>
  <c r="O24" i="8"/>
  <c r="P24" i="8"/>
  <c r="G23" i="8"/>
  <c r="F23" i="8"/>
  <c r="H23" i="8"/>
  <c r="I23" i="8" s="1"/>
  <c r="J23" i="8"/>
  <c r="K23" i="8"/>
  <c r="L23" i="8"/>
  <c r="M23" i="8" s="1"/>
  <c r="O23" i="8"/>
  <c r="P23" i="8"/>
  <c r="G22" i="8"/>
  <c r="F22" i="8"/>
  <c r="H22" i="8"/>
  <c r="I22" i="8"/>
  <c r="J22" i="8"/>
  <c r="K22" i="8" s="1"/>
  <c r="L22" i="8"/>
  <c r="M22" i="8"/>
  <c r="O22" i="8"/>
  <c r="P22" i="8"/>
  <c r="G21" i="8"/>
  <c r="F21" i="8"/>
  <c r="H21" i="8"/>
  <c r="I21" i="8" s="1"/>
  <c r="J21" i="8"/>
  <c r="K21" i="8"/>
  <c r="N21" i="8" s="1"/>
  <c r="L21" i="8"/>
  <c r="M21" i="8" s="1"/>
  <c r="O21" i="8"/>
  <c r="P21" i="8"/>
  <c r="G20" i="8"/>
  <c r="F20" i="8"/>
  <c r="H20" i="8"/>
  <c r="I20" i="8"/>
  <c r="J20" i="8"/>
  <c r="K20" i="8" s="1"/>
  <c r="N20" i="8" s="1"/>
  <c r="L20" i="8"/>
  <c r="M20" i="8"/>
  <c r="O20" i="8"/>
  <c r="P20" i="8"/>
  <c r="G19" i="8"/>
  <c r="F19" i="8"/>
  <c r="H19" i="8"/>
  <c r="I19" i="8" s="1"/>
  <c r="J19" i="8"/>
  <c r="K19" i="8"/>
  <c r="L19" i="8"/>
  <c r="M19" i="8" s="1"/>
  <c r="O19" i="8"/>
  <c r="P19" i="8"/>
  <c r="G18" i="8"/>
  <c r="F18" i="8"/>
  <c r="H18" i="8"/>
  <c r="I18" i="8"/>
  <c r="J18" i="8"/>
  <c r="K18" i="8" s="1"/>
  <c r="L18" i="8"/>
  <c r="M18" i="8"/>
  <c r="O18" i="8"/>
  <c r="P18" i="8"/>
  <c r="G17" i="8"/>
  <c r="F17" i="8"/>
  <c r="H17" i="8"/>
  <c r="I17" i="8" s="1"/>
  <c r="J17" i="8"/>
  <c r="K17" i="8"/>
  <c r="L17" i="8"/>
  <c r="M17" i="8" s="1"/>
  <c r="O17" i="8"/>
  <c r="P17" i="8"/>
  <c r="G16" i="8"/>
  <c r="F16" i="8"/>
  <c r="H16" i="8"/>
  <c r="I16" i="8"/>
  <c r="J16" i="8"/>
  <c r="K16" i="8" s="1"/>
  <c r="L16" i="8"/>
  <c r="M16" i="8"/>
  <c r="O16" i="8"/>
  <c r="P16" i="8"/>
  <c r="G15" i="8"/>
  <c r="F15" i="8"/>
  <c r="H15" i="8"/>
  <c r="I15" i="8" s="1"/>
  <c r="J15" i="8"/>
  <c r="K15" i="8"/>
  <c r="L15" i="8"/>
  <c r="M15" i="8" s="1"/>
  <c r="O15" i="8"/>
  <c r="P15" i="8"/>
  <c r="G14" i="8"/>
  <c r="F14" i="8"/>
  <c r="H14" i="8"/>
  <c r="I14" i="8" s="1"/>
  <c r="J14" i="8"/>
  <c r="K14" i="8" s="1"/>
  <c r="L14" i="8"/>
  <c r="M14" i="8" s="1"/>
  <c r="O14" i="8"/>
  <c r="P14" i="8"/>
  <c r="G13" i="8"/>
  <c r="F13" i="8"/>
  <c r="H13" i="8"/>
  <c r="I13" i="8" s="1"/>
  <c r="J13" i="8"/>
  <c r="K13" i="8" s="1"/>
  <c r="L13" i="8"/>
  <c r="M13" i="8" s="1"/>
  <c r="O13" i="8"/>
  <c r="P13" i="8"/>
  <c r="G12" i="8"/>
  <c r="F12" i="8"/>
  <c r="H12" i="8"/>
  <c r="I12" i="8" s="1"/>
  <c r="J12" i="8"/>
  <c r="K12" i="8" s="1"/>
  <c r="L12" i="8"/>
  <c r="M12" i="8" s="1"/>
  <c r="O12" i="8"/>
  <c r="P12" i="8"/>
  <c r="G11" i="8"/>
  <c r="F11" i="8"/>
  <c r="H11" i="8"/>
  <c r="I11" i="8" s="1"/>
  <c r="J11" i="8"/>
  <c r="K11" i="8" s="1"/>
  <c r="L11" i="8"/>
  <c r="M11" i="8" s="1"/>
  <c r="O11" i="8"/>
  <c r="P11" i="8"/>
  <c r="G10" i="8"/>
  <c r="F10" i="8"/>
  <c r="H10" i="8"/>
  <c r="I10" i="8" s="1"/>
  <c r="J10" i="8"/>
  <c r="K10" i="8" s="1"/>
  <c r="L10" i="8"/>
  <c r="M10" i="8" s="1"/>
  <c r="O10" i="8"/>
  <c r="P10" i="8"/>
  <c r="G9" i="8"/>
  <c r="F9" i="8"/>
  <c r="H9" i="8"/>
  <c r="I9" i="8" s="1"/>
  <c r="J9" i="8"/>
  <c r="K9" i="8" s="1"/>
  <c r="L9" i="8"/>
  <c r="M9" i="8" s="1"/>
  <c r="O9" i="8"/>
  <c r="P9" i="8"/>
  <c r="O8" i="8"/>
  <c r="O7" i="8"/>
  <c r="O6" i="8"/>
  <c r="O5" i="8"/>
  <c r="F8" i="8"/>
  <c r="G8" i="8"/>
  <c r="H8" i="8"/>
  <c r="I8" i="8" s="1"/>
  <c r="J8" i="8"/>
  <c r="K8" i="8" s="1"/>
  <c r="L8" i="8"/>
  <c r="M8" i="8" s="1"/>
  <c r="P8" i="8"/>
  <c r="F7" i="8"/>
  <c r="G7" i="8"/>
  <c r="H7" i="8"/>
  <c r="I7" i="8" s="1"/>
  <c r="J7" i="8"/>
  <c r="K7" i="8"/>
  <c r="L7" i="8"/>
  <c r="M7" i="8" s="1"/>
  <c r="P7" i="8"/>
  <c r="F6" i="8"/>
  <c r="G6" i="8"/>
  <c r="H6" i="8"/>
  <c r="I6" i="8" s="1"/>
  <c r="N6" i="8" s="1"/>
  <c r="J6" i="8"/>
  <c r="K6" i="8" s="1"/>
  <c r="L6" i="8"/>
  <c r="M6" i="8" s="1"/>
  <c r="P6" i="8"/>
  <c r="F5" i="8"/>
  <c r="G5" i="8"/>
  <c r="H5" i="8"/>
  <c r="I5" i="8" s="1"/>
  <c r="J5" i="8"/>
  <c r="K5" i="8" s="1"/>
  <c r="L5" i="8"/>
  <c r="M5" i="8" s="1"/>
  <c r="P5" i="8"/>
  <c r="I8" i="7"/>
  <c r="H8" i="7"/>
  <c r="L8" i="7"/>
  <c r="M8" i="7" s="1"/>
  <c r="N8" i="7" s="1"/>
  <c r="J8" i="7"/>
  <c r="K8" i="7" s="1"/>
  <c r="O8" i="7"/>
  <c r="P8" i="7"/>
  <c r="Q8" i="7"/>
  <c r="I7" i="7"/>
  <c r="H7" i="7"/>
  <c r="L7" i="7"/>
  <c r="M7" i="7" s="1"/>
  <c r="N7" i="7" s="1"/>
  <c r="J7" i="7"/>
  <c r="K7" i="7" s="1"/>
  <c r="O7" i="7"/>
  <c r="P7" i="7"/>
  <c r="Q7" i="7"/>
  <c r="I6" i="7"/>
  <c r="H6" i="7"/>
  <c r="L6" i="7"/>
  <c r="M6" i="7" s="1"/>
  <c r="J6" i="7"/>
  <c r="K6" i="7" s="1"/>
  <c r="O6" i="7"/>
  <c r="P6" i="7"/>
  <c r="Q6" i="7"/>
  <c r="J8" i="6"/>
  <c r="I8" i="6"/>
  <c r="K8" i="6"/>
  <c r="L8" i="6" s="1"/>
  <c r="M8" i="6"/>
  <c r="N8" i="6" s="1"/>
  <c r="O8" i="6"/>
  <c r="P8" i="6" s="1"/>
  <c r="R8" i="6"/>
  <c r="S8" i="6"/>
  <c r="T8" i="6"/>
  <c r="U8" i="6"/>
  <c r="V8" i="6"/>
  <c r="J7" i="6"/>
  <c r="I7" i="6"/>
  <c r="K7" i="6"/>
  <c r="L7" i="6" s="1"/>
  <c r="M7" i="6"/>
  <c r="N7" i="6" s="1"/>
  <c r="O7" i="6"/>
  <c r="P7" i="6" s="1"/>
  <c r="R7" i="6"/>
  <c r="S7" i="6"/>
  <c r="T7" i="6"/>
  <c r="U7" i="6"/>
  <c r="V7" i="6"/>
  <c r="J6" i="6"/>
  <c r="I6" i="6"/>
  <c r="K6" i="6"/>
  <c r="L6" i="6" s="1"/>
  <c r="M6" i="6"/>
  <c r="N6" i="6" s="1"/>
  <c r="O6" i="6"/>
  <c r="P6" i="6" s="1"/>
  <c r="R6" i="6"/>
  <c r="S6" i="6"/>
  <c r="T6" i="6"/>
  <c r="U6" i="6"/>
  <c r="V6" i="6"/>
  <c r="I5" i="6"/>
  <c r="S5" i="6"/>
  <c r="J5" i="6"/>
  <c r="K5" i="6"/>
  <c r="L5" i="6" s="1"/>
  <c r="M5" i="6"/>
  <c r="N5" i="6" s="1"/>
  <c r="O5" i="6"/>
  <c r="P5" i="6" s="1"/>
  <c r="R5" i="6"/>
  <c r="T5" i="6"/>
  <c r="U5" i="6"/>
  <c r="V5" i="6"/>
  <c r="X8" i="5"/>
  <c r="L8" i="5"/>
  <c r="M8" i="5" s="1"/>
  <c r="N8" i="5"/>
  <c r="O8" i="5" s="1"/>
  <c r="P8" i="5"/>
  <c r="Q8" i="5" s="1"/>
  <c r="K8" i="5"/>
  <c r="J8" i="5"/>
  <c r="S8" i="5"/>
  <c r="T8" i="5"/>
  <c r="U8" i="5"/>
  <c r="V8" i="5"/>
  <c r="W8" i="5"/>
  <c r="K7" i="5"/>
  <c r="J7" i="5"/>
  <c r="L7" i="5"/>
  <c r="M7" i="5" s="1"/>
  <c r="N7" i="5"/>
  <c r="O7" i="5" s="1"/>
  <c r="P7" i="5"/>
  <c r="Q7" i="5" s="1"/>
  <c r="S7" i="5"/>
  <c r="T7" i="5"/>
  <c r="U7" i="5"/>
  <c r="V7" i="5"/>
  <c r="W7" i="5"/>
  <c r="X7" i="5"/>
  <c r="K6" i="5"/>
  <c r="L6" i="5"/>
  <c r="M6" i="5" s="1"/>
  <c r="N6" i="5"/>
  <c r="O6" i="5" s="1"/>
  <c r="P6" i="5"/>
  <c r="Q6" i="5" s="1"/>
  <c r="S6" i="5"/>
  <c r="T6" i="5"/>
  <c r="U6" i="5"/>
  <c r="V6" i="5"/>
  <c r="W6" i="5"/>
  <c r="X6" i="5"/>
  <c r="Y98" i="5" l="1"/>
  <c r="Z98" i="5" s="1"/>
  <c r="AB98" i="5" s="1"/>
  <c r="Y93" i="5"/>
  <c r="Z93" i="5" s="1"/>
  <c r="AB93" i="5" s="1"/>
  <c r="Y99" i="5"/>
  <c r="Z99" i="5" s="1"/>
  <c r="AB99" i="5" s="1"/>
  <c r="Y90" i="5"/>
  <c r="Z90" i="5" s="1"/>
  <c r="AB90" i="5" s="1"/>
  <c r="Y87" i="5"/>
  <c r="Z87" i="5" s="1"/>
  <c r="AB87" i="5" s="1"/>
  <c r="W67" i="6"/>
  <c r="X67" i="6" s="1"/>
  <c r="Y67" i="6" s="1"/>
  <c r="R21" i="5"/>
  <c r="Y21" i="5" s="1"/>
  <c r="Z21" i="5" s="1"/>
  <c r="AB21" i="5" s="1"/>
  <c r="R29" i="5"/>
  <c r="Y29" i="5" s="1"/>
  <c r="Z29" i="5" s="1"/>
  <c r="AB29" i="5" s="1"/>
  <c r="R25" i="5"/>
  <c r="Y25" i="5" s="1"/>
  <c r="Z25" i="5" s="1"/>
  <c r="AB25" i="5" s="1"/>
  <c r="Y28" i="5"/>
  <c r="Z28" i="5" s="1"/>
  <c r="AB28" i="5" s="1"/>
  <c r="R33" i="5"/>
  <c r="Y33" i="5" s="1"/>
  <c r="Z33" i="5" s="1"/>
  <c r="AB33" i="5" s="1"/>
  <c r="R17" i="5"/>
  <c r="Y17" i="5" s="1"/>
  <c r="Z17" i="5" s="1"/>
  <c r="AB17" i="5" s="1"/>
  <c r="R13" i="5"/>
  <c r="Y13" i="5" s="1"/>
  <c r="Z13" i="5" s="1"/>
  <c r="AB13" i="5" s="1"/>
  <c r="W91" i="6"/>
  <c r="X91" i="6" s="1"/>
  <c r="Y91" i="6" s="1"/>
  <c r="W92" i="6"/>
  <c r="X92" i="6" s="1"/>
  <c r="Y92" i="6" s="1"/>
  <c r="W87" i="6"/>
  <c r="X87" i="6" s="1"/>
  <c r="Y87" i="6" s="1"/>
  <c r="N15" i="8"/>
  <c r="N22" i="8"/>
  <c r="N23" i="8"/>
  <c r="N16" i="8"/>
  <c r="N17" i="8"/>
  <c r="N24" i="8"/>
  <c r="N25" i="8"/>
  <c r="N18" i="8"/>
  <c r="N19" i="8"/>
  <c r="N26" i="8"/>
  <c r="N27" i="8"/>
  <c r="N41" i="8"/>
  <c r="N43" i="8"/>
  <c r="N49" i="8"/>
  <c r="N57" i="8"/>
  <c r="N89" i="8"/>
  <c r="N97" i="8"/>
  <c r="N105" i="8"/>
  <c r="Q8" i="6"/>
  <c r="N51" i="8"/>
  <c r="N59" i="8"/>
  <c r="N67" i="8"/>
  <c r="N68" i="8"/>
  <c r="N75" i="8"/>
  <c r="N76" i="8"/>
  <c r="N83" i="8"/>
  <c r="N84" i="8"/>
  <c r="N91" i="8"/>
  <c r="N92" i="8"/>
  <c r="N99" i="8"/>
  <c r="N100" i="8"/>
  <c r="N107" i="8"/>
  <c r="N108" i="8"/>
  <c r="N29" i="8"/>
  <c r="N35" i="8"/>
  <c r="N37" i="8"/>
  <c r="N81" i="8"/>
  <c r="N7" i="8"/>
  <c r="N45" i="8"/>
  <c r="N53" i="8"/>
  <c r="N61" i="8"/>
  <c r="N69" i="8"/>
  <c r="N77" i="8"/>
  <c r="N85" i="8"/>
  <c r="N93" i="8"/>
  <c r="N101" i="8"/>
  <c r="N109" i="8"/>
  <c r="N31" i="8"/>
  <c r="N33" i="8"/>
  <c r="N39" i="8"/>
  <c r="N65" i="8"/>
  <c r="N73" i="8"/>
  <c r="N47" i="8"/>
  <c r="N55" i="8"/>
  <c r="N63" i="8"/>
  <c r="N71" i="8"/>
  <c r="N72" i="8"/>
  <c r="N79" i="8"/>
  <c r="N80" i="8"/>
  <c r="N87" i="8"/>
  <c r="N88" i="8"/>
  <c r="N95" i="8"/>
  <c r="N96" i="8"/>
  <c r="N103" i="8"/>
  <c r="N104" i="8"/>
  <c r="R14" i="5"/>
  <c r="Y14" i="5" s="1"/>
  <c r="Z14" i="5" s="1"/>
  <c r="AB14" i="5" s="1"/>
  <c r="R18" i="5"/>
  <c r="Y18" i="5" s="1"/>
  <c r="Z18" i="5" s="1"/>
  <c r="AB18" i="5" s="1"/>
  <c r="R22" i="5"/>
  <c r="Y22" i="5" s="1"/>
  <c r="Z22" i="5" s="1"/>
  <c r="AB22" i="5" s="1"/>
  <c r="R26" i="5"/>
  <c r="Y26" i="5" s="1"/>
  <c r="Z26" i="5" s="1"/>
  <c r="AB26" i="5" s="1"/>
  <c r="R30" i="5"/>
  <c r="Y30" i="5" s="1"/>
  <c r="Z30" i="5" s="1"/>
  <c r="AB30" i="5" s="1"/>
  <c r="N70" i="8"/>
  <c r="N74" i="8"/>
  <c r="N78" i="8"/>
  <c r="N82" i="8"/>
  <c r="N86" i="8"/>
  <c r="N90" i="8"/>
  <c r="N94" i="8"/>
  <c r="N98" i="8"/>
  <c r="N102" i="8"/>
  <c r="N106" i="8"/>
  <c r="N110" i="8"/>
  <c r="R11" i="5"/>
  <c r="Y11" i="5" s="1"/>
  <c r="Z11" i="5" s="1"/>
  <c r="AB11" i="5" s="1"/>
  <c r="R15" i="5"/>
  <c r="Y15" i="5" s="1"/>
  <c r="Z15" i="5" s="1"/>
  <c r="AB15" i="5" s="1"/>
  <c r="R19" i="5"/>
  <c r="Y19" i="5" s="1"/>
  <c r="Z19" i="5" s="1"/>
  <c r="AB19" i="5" s="1"/>
  <c r="R23" i="5"/>
  <c r="Y23" i="5" s="1"/>
  <c r="Z23" i="5" s="1"/>
  <c r="AB23" i="5" s="1"/>
  <c r="R27" i="5"/>
  <c r="Y27" i="5" s="1"/>
  <c r="Z27" i="5" s="1"/>
  <c r="AB27" i="5" s="1"/>
  <c r="Q14" i="6"/>
  <c r="Q24" i="6"/>
  <c r="Q38" i="6"/>
  <c r="Q22" i="6"/>
  <c r="Q34" i="6"/>
  <c r="N93" i="7"/>
  <c r="N94" i="7"/>
  <c r="N97" i="7"/>
  <c r="N98" i="7"/>
  <c r="N101" i="7"/>
  <c r="N103" i="7"/>
  <c r="N104" i="7"/>
  <c r="N105" i="7"/>
  <c r="N107" i="7"/>
  <c r="N108" i="7"/>
  <c r="N109" i="7"/>
  <c r="N11" i="7"/>
  <c r="N12" i="7"/>
  <c r="N15" i="7"/>
  <c r="N16" i="7"/>
  <c r="N19" i="7"/>
  <c r="N20" i="7"/>
  <c r="N23" i="7"/>
  <c r="N24" i="7"/>
  <c r="N27" i="7"/>
  <c r="N28" i="7"/>
  <c r="N31" i="7"/>
  <c r="N32" i="7"/>
  <c r="N35" i="7"/>
  <c r="N36" i="7"/>
  <c r="N39" i="7"/>
  <c r="N40" i="7"/>
  <c r="N43" i="7"/>
  <c r="N44" i="7"/>
  <c r="N47" i="7"/>
  <c r="N48" i="7"/>
  <c r="N51" i="7"/>
  <c r="N52" i="7"/>
  <c r="N55" i="7"/>
  <c r="N56" i="7"/>
  <c r="N59" i="7"/>
  <c r="N60" i="7"/>
  <c r="N63" i="7"/>
  <c r="N64" i="7"/>
  <c r="N67" i="7"/>
  <c r="N68" i="7"/>
  <c r="N71" i="7"/>
  <c r="N72" i="7"/>
  <c r="N75" i="7"/>
  <c r="N76" i="7"/>
  <c r="N79" i="7"/>
  <c r="N80" i="7"/>
  <c r="N83" i="7"/>
  <c r="N84" i="7"/>
  <c r="N87" i="7"/>
  <c r="N88" i="7"/>
  <c r="N91" i="7"/>
  <c r="N92" i="7"/>
  <c r="N95" i="7"/>
  <c r="N96" i="7"/>
  <c r="N99" i="7"/>
  <c r="N100" i="7"/>
  <c r="N6" i="7"/>
  <c r="N5" i="8"/>
  <c r="Q44" i="6"/>
  <c r="Q40" i="6"/>
  <c r="Q52" i="6"/>
  <c r="Q15" i="6"/>
  <c r="Q32" i="6"/>
  <c r="Q33" i="6"/>
  <c r="Q42" i="6"/>
  <c r="Q48" i="6"/>
  <c r="Q63" i="6"/>
  <c r="W63" i="6" s="1"/>
  <c r="X63" i="6" s="1"/>
  <c r="Y63" i="6" s="1"/>
  <c r="Q10" i="6"/>
  <c r="Q18" i="6"/>
  <c r="Q25" i="6"/>
  <c r="Q31" i="6"/>
  <c r="Q41" i="6"/>
  <c r="Q47" i="6"/>
  <c r="Q54" i="6"/>
  <c r="Q59" i="6"/>
  <c r="W59" i="6" s="1"/>
  <c r="X59" i="6" s="1"/>
  <c r="Y59" i="6" s="1"/>
  <c r="Q62" i="6"/>
  <c r="W62" i="6" s="1"/>
  <c r="X62" i="6" s="1"/>
  <c r="Y62" i="6" s="1"/>
  <c r="Q67" i="6"/>
  <c r="Q70" i="6"/>
  <c r="W70" i="6" s="1"/>
  <c r="X70" i="6" s="1"/>
  <c r="Y70" i="6" s="1"/>
  <c r="Q75" i="6"/>
  <c r="W75" i="6" s="1"/>
  <c r="X75" i="6" s="1"/>
  <c r="Y75" i="6" s="1"/>
  <c r="Q78" i="6"/>
  <c r="W78" i="6" s="1"/>
  <c r="X78" i="6" s="1"/>
  <c r="Y78" i="6" s="1"/>
  <c r="Q83" i="6"/>
  <c r="W83" i="6" s="1"/>
  <c r="X83" i="6" s="1"/>
  <c r="Y83" i="6" s="1"/>
  <c r="Q86" i="6"/>
  <c r="W86" i="6" s="1"/>
  <c r="X86" i="6" s="1"/>
  <c r="Y86" i="6" s="1"/>
  <c r="Q91" i="6"/>
  <c r="Q94" i="6"/>
  <c r="Q99" i="6"/>
  <c r="Q102" i="6"/>
  <c r="Q107" i="6"/>
  <c r="Q110" i="6"/>
  <c r="Q17" i="6"/>
  <c r="Q23" i="6"/>
  <c r="Q26" i="6"/>
  <c r="Q39" i="6"/>
  <c r="Q49" i="6"/>
  <c r="Q55" i="6"/>
  <c r="Q58" i="6"/>
  <c r="W58" i="6" s="1"/>
  <c r="X58" i="6" s="1"/>
  <c r="Y58" i="6" s="1"/>
  <c r="Q66" i="6"/>
  <c r="W66" i="6" s="1"/>
  <c r="X66" i="6" s="1"/>
  <c r="Y66" i="6" s="1"/>
  <c r="Q71" i="6"/>
  <c r="W71" i="6" s="1"/>
  <c r="X71" i="6" s="1"/>
  <c r="Y71" i="6" s="1"/>
  <c r="Q74" i="6"/>
  <c r="W74" i="6" s="1"/>
  <c r="X74" i="6" s="1"/>
  <c r="Y74" i="6" s="1"/>
  <c r="Q79" i="6"/>
  <c r="W79" i="6" s="1"/>
  <c r="X79" i="6" s="1"/>
  <c r="Y79" i="6" s="1"/>
  <c r="Q82" i="6"/>
  <c r="W82" i="6" s="1"/>
  <c r="X82" i="6" s="1"/>
  <c r="Y82" i="6" s="1"/>
  <c r="Q87" i="6"/>
  <c r="Q90" i="6"/>
  <c r="W90" i="6" s="1"/>
  <c r="X90" i="6" s="1"/>
  <c r="Y90" i="6" s="1"/>
  <c r="Q95" i="6"/>
  <c r="Q98" i="6"/>
  <c r="Q103" i="6"/>
  <c r="Q106" i="6"/>
  <c r="Q35" i="6"/>
  <c r="Q20" i="6"/>
  <c r="Q27" i="6"/>
  <c r="Q30" i="6"/>
  <c r="Q36" i="6"/>
  <c r="Q43" i="6"/>
  <c r="Q46" i="6"/>
  <c r="Q51" i="6"/>
  <c r="Q7" i="6"/>
  <c r="R65" i="5"/>
  <c r="Y65" i="5" s="1"/>
  <c r="Z65" i="5" s="1"/>
  <c r="AB65" i="5" s="1"/>
  <c r="R69" i="5"/>
  <c r="Y69" i="5" s="1"/>
  <c r="Z69" i="5" s="1"/>
  <c r="AB69" i="5" s="1"/>
  <c r="R73" i="5"/>
  <c r="Y73" i="5" s="1"/>
  <c r="Z73" i="5" s="1"/>
  <c r="AB73" i="5" s="1"/>
  <c r="R77" i="5"/>
  <c r="Y77" i="5" s="1"/>
  <c r="Z77" i="5" s="1"/>
  <c r="AB77" i="5" s="1"/>
  <c r="R10" i="5"/>
  <c r="Y10" i="5" s="1"/>
  <c r="Z10" i="5" s="1"/>
  <c r="AB10" i="5" s="1"/>
  <c r="R12" i="5"/>
  <c r="Y12" i="5" s="1"/>
  <c r="Z12" i="5" s="1"/>
  <c r="AB12" i="5" s="1"/>
  <c r="R20" i="5"/>
  <c r="Y20" i="5" s="1"/>
  <c r="Z20" i="5" s="1"/>
  <c r="AB20" i="5" s="1"/>
  <c r="R28" i="5"/>
  <c r="R84" i="5"/>
  <c r="Y84" i="5" s="1"/>
  <c r="Z84" i="5" s="1"/>
  <c r="AB84" i="5" s="1"/>
  <c r="R88" i="5"/>
  <c r="Y88" i="5" s="1"/>
  <c r="Z88" i="5" s="1"/>
  <c r="AB88" i="5" s="1"/>
  <c r="R92" i="5"/>
  <c r="Y92" i="5" s="1"/>
  <c r="Z92" i="5" s="1"/>
  <c r="AB92" i="5" s="1"/>
  <c r="R96" i="5"/>
  <c r="Y96" i="5" s="1"/>
  <c r="Z96" i="5" s="1"/>
  <c r="AB96" i="5" s="1"/>
  <c r="R100" i="5"/>
  <c r="Y100" i="5" s="1"/>
  <c r="Z100" i="5" s="1"/>
  <c r="AB100" i="5" s="1"/>
  <c r="R104" i="5"/>
  <c r="R108" i="5"/>
  <c r="R67" i="5"/>
  <c r="Y67" i="5" s="1"/>
  <c r="Z67" i="5" s="1"/>
  <c r="AB67" i="5" s="1"/>
  <c r="R75" i="5"/>
  <c r="Y75" i="5" s="1"/>
  <c r="Z75" i="5" s="1"/>
  <c r="AB75" i="5" s="1"/>
  <c r="R81" i="5"/>
  <c r="Y81" i="5" s="1"/>
  <c r="Z81" i="5" s="1"/>
  <c r="AB81" i="5" s="1"/>
  <c r="R9" i="5"/>
  <c r="Y9" i="5" s="1"/>
  <c r="Z9" i="5" s="1"/>
  <c r="AB9" i="5" s="1"/>
  <c r="R63" i="5"/>
  <c r="Y63" i="5" s="1"/>
  <c r="Z63" i="5" s="1"/>
  <c r="AB63" i="5" s="1"/>
  <c r="R71" i="5"/>
  <c r="Y71" i="5" s="1"/>
  <c r="Z71" i="5" s="1"/>
  <c r="AB71" i="5" s="1"/>
  <c r="R79" i="5"/>
  <c r="Y79" i="5" s="1"/>
  <c r="Z79" i="5" s="1"/>
  <c r="AB79" i="5" s="1"/>
  <c r="R8" i="5"/>
  <c r="Y8" i="5" s="1"/>
  <c r="Z8" i="5" s="1"/>
  <c r="AB8" i="5" s="1"/>
  <c r="R16" i="5"/>
  <c r="Y16" i="5" s="1"/>
  <c r="Z16" i="5" s="1"/>
  <c r="AB16" i="5" s="1"/>
  <c r="R24" i="5"/>
  <c r="Y24" i="5" s="1"/>
  <c r="Z24" i="5" s="1"/>
  <c r="AB24" i="5" s="1"/>
  <c r="R31" i="5"/>
  <c r="Y31" i="5" s="1"/>
  <c r="Z31" i="5" s="1"/>
  <c r="AB31" i="5" s="1"/>
  <c r="R32" i="5"/>
  <c r="Y32" i="5" s="1"/>
  <c r="Z32" i="5" s="1"/>
  <c r="AB32" i="5" s="1"/>
  <c r="R34" i="5"/>
  <c r="Y34" i="5" s="1"/>
  <c r="Z34" i="5" s="1"/>
  <c r="AB34" i="5" s="1"/>
  <c r="R35" i="5"/>
  <c r="Y35" i="5" s="1"/>
  <c r="Z35" i="5" s="1"/>
  <c r="AB35" i="5" s="1"/>
  <c r="R36" i="5"/>
  <c r="Y36" i="5" s="1"/>
  <c r="Z36" i="5" s="1"/>
  <c r="AB36" i="5" s="1"/>
  <c r="R37" i="5"/>
  <c r="Y37" i="5" s="1"/>
  <c r="Z37" i="5" s="1"/>
  <c r="AB37" i="5" s="1"/>
  <c r="R38" i="5"/>
  <c r="Y38" i="5" s="1"/>
  <c r="Z38" i="5" s="1"/>
  <c r="AB38" i="5" s="1"/>
  <c r="R39" i="5"/>
  <c r="Y39" i="5" s="1"/>
  <c r="Z39" i="5" s="1"/>
  <c r="AB39" i="5" s="1"/>
  <c r="R40" i="5"/>
  <c r="Y40" i="5" s="1"/>
  <c r="Z40" i="5" s="1"/>
  <c r="AB40" i="5" s="1"/>
  <c r="R41" i="5"/>
  <c r="Y41" i="5" s="1"/>
  <c r="Z41" i="5" s="1"/>
  <c r="AB41" i="5" s="1"/>
  <c r="R42" i="5"/>
  <c r="Y42" i="5" s="1"/>
  <c r="Z42" i="5" s="1"/>
  <c r="AB42" i="5" s="1"/>
  <c r="R43" i="5"/>
  <c r="Y43" i="5" s="1"/>
  <c r="Z43" i="5" s="1"/>
  <c r="AB43" i="5" s="1"/>
  <c r="R44" i="5"/>
  <c r="Y44" i="5" s="1"/>
  <c r="Z44" i="5" s="1"/>
  <c r="AB44" i="5" s="1"/>
  <c r="R45" i="5"/>
  <c r="Y45" i="5" s="1"/>
  <c r="Z45" i="5" s="1"/>
  <c r="AB45" i="5" s="1"/>
  <c r="R46" i="5"/>
  <c r="Y46" i="5" s="1"/>
  <c r="Z46" i="5" s="1"/>
  <c r="AB46" i="5" s="1"/>
  <c r="R47" i="5"/>
  <c r="Y47" i="5" s="1"/>
  <c r="Z47" i="5" s="1"/>
  <c r="AB47" i="5" s="1"/>
  <c r="R48" i="5"/>
  <c r="Y48" i="5" s="1"/>
  <c r="Z48" i="5" s="1"/>
  <c r="AB48" i="5" s="1"/>
  <c r="R7" i="5"/>
  <c r="Y7" i="5" s="1"/>
  <c r="Z7" i="5" s="1"/>
  <c r="AB7" i="5" s="1"/>
  <c r="Q5" i="6"/>
  <c r="R6" i="5"/>
  <c r="Y6" i="5" s="1"/>
  <c r="Z6" i="5" s="1"/>
  <c r="AB6" i="5" s="1"/>
  <c r="Q6" i="6"/>
  <c r="N8" i="8"/>
  <c r="N9" i="8"/>
  <c r="N10" i="8"/>
  <c r="N11" i="8"/>
  <c r="N12" i="8"/>
  <c r="N13" i="8"/>
  <c r="N14" i="8"/>
  <c r="R62" i="5"/>
  <c r="Y62" i="5" s="1"/>
  <c r="Z62" i="5" s="1"/>
  <c r="AB62" i="5" s="1"/>
  <c r="R64" i="5"/>
  <c r="Y64" i="5" s="1"/>
  <c r="Z64" i="5" s="1"/>
  <c r="AB64" i="5" s="1"/>
  <c r="R66" i="5"/>
  <c r="Y66" i="5" s="1"/>
  <c r="Z66" i="5" s="1"/>
  <c r="AB66" i="5" s="1"/>
  <c r="R68" i="5"/>
  <c r="Y68" i="5" s="1"/>
  <c r="Z68" i="5" s="1"/>
  <c r="AB68" i="5" s="1"/>
  <c r="R70" i="5"/>
  <c r="Y70" i="5" s="1"/>
  <c r="Z70" i="5" s="1"/>
  <c r="AB70" i="5" s="1"/>
  <c r="R72" i="5"/>
  <c r="Y72" i="5" s="1"/>
  <c r="Z72" i="5" s="1"/>
  <c r="AB72" i="5" s="1"/>
  <c r="R74" i="5"/>
  <c r="Y74" i="5" s="1"/>
  <c r="Z74" i="5" s="1"/>
  <c r="AB74" i="5" s="1"/>
  <c r="R76" i="5"/>
  <c r="Y76" i="5" s="1"/>
  <c r="Z76" i="5" s="1"/>
  <c r="AB76" i="5" s="1"/>
  <c r="R78" i="5"/>
  <c r="Y78" i="5" s="1"/>
  <c r="Z78" i="5" s="1"/>
  <c r="AB78" i="5" s="1"/>
  <c r="R80" i="5"/>
  <c r="Y80" i="5" s="1"/>
  <c r="Z80" i="5" s="1"/>
  <c r="AB80" i="5" s="1"/>
  <c r="R83" i="5"/>
  <c r="Y83" i="5" s="1"/>
  <c r="Z83" i="5" s="1"/>
  <c r="AB83" i="5" s="1"/>
  <c r="R86" i="5"/>
  <c r="Y86" i="5" s="1"/>
  <c r="Z86" i="5" s="1"/>
  <c r="AB86" i="5" s="1"/>
  <c r="R90" i="5"/>
  <c r="R94" i="5"/>
  <c r="Y94" i="5" s="1"/>
  <c r="Z94" i="5" s="1"/>
  <c r="AB94" i="5" s="1"/>
  <c r="R98" i="5"/>
  <c r="R102" i="5"/>
  <c r="Y102" i="5" s="1"/>
  <c r="Z102" i="5" s="1"/>
  <c r="AB102" i="5" s="1"/>
  <c r="R106" i="5"/>
  <c r="R110" i="5"/>
  <c r="Q16" i="6"/>
  <c r="R49" i="5"/>
  <c r="Y49" i="5" s="1"/>
  <c r="Z49" i="5" s="1"/>
  <c r="AB49" i="5" s="1"/>
  <c r="R50" i="5"/>
  <c r="Y50" i="5" s="1"/>
  <c r="Z50" i="5" s="1"/>
  <c r="AB50" i="5" s="1"/>
  <c r="R51" i="5"/>
  <c r="Y51" i="5" s="1"/>
  <c r="Z51" i="5" s="1"/>
  <c r="AB51" i="5" s="1"/>
  <c r="R52" i="5"/>
  <c r="Y52" i="5" s="1"/>
  <c r="Z52" i="5" s="1"/>
  <c r="AB52" i="5" s="1"/>
  <c r="R53" i="5"/>
  <c r="Y53" i="5" s="1"/>
  <c r="Z53" i="5" s="1"/>
  <c r="AB53" i="5" s="1"/>
  <c r="R54" i="5"/>
  <c r="Y54" i="5" s="1"/>
  <c r="Z54" i="5" s="1"/>
  <c r="AB54" i="5" s="1"/>
  <c r="R55" i="5"/>
  <c r="Y55" i="5" s="1"/>
  <c r="Z55" i="5" s="1"/>
  <c r="AB55" i="5" s="1"/>
  <c r="R56" i="5"/>
  <c r="Y56" i="5" s="1"/>
  <c r="Z56" i="5" s="1"/>
  <c r="AB56" i="5" s="1"/>
  <c r="R57" i="5"/>
  <c r="Y57" i="5" s="1"/>
  <c r="Z57" i="5" s="1"/>
  <c r="AB57" i="5" s="1"/>
  <c r="R58" i="5"/>
  <c r="Y58" i="5" s="1"/>
  <c r="Z58" i="5" s="1"/>
  <c r="AB58" i="5" s="1"/>
  <c r="R59" i="5"/>
  <c r="Y59" i="5" s="1"/>
  <c r="Z59" i="5" s="1"/>
  <c r="AB59" i="5" s="1"/>
  <c r="R60" i="5"/>
  <c r="Y60" i="5" s="1"/>
  <c r="Z60" i="5" s="1"/>
  <c r="AB60" i="5" s="1"/>
  <c r="R61" i="5"/>
  <c r="Y61" i="5" s="1"/>
  <c r="Z61" i="5" s="1"/>
  <c r="AB61" i="5" s="1"/>
  <c r="R82" i="5"/>
  <c r="Y82" i="5" s="1"/>
  <c r="Z82" i="5" s="1"/>
  <c r="AB82" i="5" s="1"/>
  <c r="Q29" i="6"/>
  <c r="Q45" i="6"/>
  <c r="Q50" i="6"/>
  <c r="Q53" i="6"/>
  <c r="Q60" i="6"/>
  <c r="W60" i="6" s="1"/>
  <c r="X60" i="6" s="1"/>
  <c r="Y60" i="6" s="1"/>
  <c r="Q61" i="6"/>
  <c r="W61" i="6" s="1"/>
  <c r="X61" i="6" s="1"/>
  <c r="Y61" i="6" s="1"/>
  <c r="Q68" i="6"/>
  <c r="W68" i="6" s="1"/>
  <c r="X68" i="6" s="1"/>
  <c r="Y68" i="6" s="1"/>
  <c r="Q69" i="6"/>
  <c r="W69" i="6" s="1"/>
  <c r="X69" i="6" s="1"/>
  <c r="Y69" i="6" s="1"/>
  <c r="Q76" i="6"/>
  <c r="W76" i="6" s="1"/>
  <c r="X76" i="6" s="1"/>
  <c r="Y76" i="6" s="1"/>
  <c r="Q77" i="6"/>
  <c r="W77" i="6" s="1"/>
  <c r="X77" i="6" s="1"/>
  <c r="Y77" i="6" s="1"/>
  <c r="Q84" i="6"/>
  <c r="W84" i="6" s="1"/>
  <c r="X84" i="6" s="1"/>
  <c r="Y84" i="6" s="1"/>
  <c r="Q85" i="6"/>
  <c r="W85" i="6" s="1"/>
  <c r="X85" i="6" s="1"/>
  <c r="Y85" i="6" s="1"/>
  <c r="Q92" i="6"/>
  <c r="Q93" i="6"/>
  <c r="Q100" i="6"/>
  <c r="Q101" i="6"/>
  <c r="Q108" i="6"/>
  <c r="Q109" i="6"/>
  <c r="R87" i="5"/>
  <c r="R91" i="5"/>
  <c r="Y91" i="5" s="1"/>
  <c r="Z91" i="5" s="1"/>
  <c r="AB91" i="5" s="1"/>
  <c r="R95" i="5"/>
  <c r="Y95" i="5" s="1"/>
  <c r="Z95" i="5" s="1"/>
  <c r="AB95" i="5" s="1"/>
  <c r="R99" i="5"/>
  <c r="R103" i="5"/>
  <c r="R107" i="5"/>
  <c r="Q13" i="6"/>
  <c r="Q21" i="6"/>
  <c r="Q37" i="6"/>
  <c r="Q56" i="6"/>
  <c r="Q57" i="6"/>
  <c r="Q64" i="6"/>
  <c r="W64" i="6" s="1"/>
  <c r="X64" i="6" s="1"/>
  <c r="Y64" i="6" s="1"/>
  <c r="Q65" i="6"/>
  <c r="W65" i="6" s="1"/>
  <c r="X65" i="6" s="1"/>
  <c r="Y65" i="6" s="1"/>
  <c r="Q72" i="6"/>
  <c r="W72" i="6" s="1"/>
  <c r="X72" i="6" s="1"/>
  <c r="Y72" i="6" s="1"/>
  <c r="Q73" i="6"/>
  <c r="W73" i="6" s="1"/>
  <c r="X73" i="6" s="1"/>
  <c r="Y73" i="6" s="1"/>
  <c r="Q80" i="6"/>
  <c r="W80" i="6" s="1"/>
  <c r="X80" i="6" s="1"/>
  <c r="Y80" i="6" s="1"/>
  <c r="Q81" i="6"/>
  <c r="W81" i="6" s="1"/>
  <c r="X81" i="6" s="1"/>
  <c r="Y81" i="6" s="1"/>
  <c r="Q88" i="6"/>
  <c r="W88" i="6" s="1"/>
  <c r="X88" i="6" s="1"/>
  <c r="Y88" i="6" s="1"/>
  <c r="Q89" i="6"/>
  <c r="W89" i="6" s="1"/>
  <c r="X89" i="6" s="1"/>
  <c r="Y89" i="6" s="1"/>
  <c r="Q96" i="6"/>
  <c r="Q97" i="6"/>
  <c r="Q104" i="6"/>
  <c r="Q105" i="6"/>
  <c r="N9" i="7"/>
  <c r="N10" i="7"/>
  <c r="N13" i="7"/>
  <c r="N14" i="7"/>
  <c r="N17" i="7"/>
  <c r="N18" i="7"/>
  <c r="N21" i="7"/>
  <c r="N22" i="7"/>
  <c r="N25" i="7"/>
  <c r="N26" i="7"/>
  <c r="N29" i="7"/>
  <c r="N30" i="7"/>
  <c r="N33" i="7"/>
  <c r="N34" i="7"/>
  <c r="N37" i="7"/>
  <c r="N38" i="7"/>
  <c r="N41" i="7"/>
  <c r="N42" i="7"/>
  <c r="N45" i="7"/>
  <c r="N46" i="7"/>
  <c r="N49" i="7"/>
  <c r="N50" i="7"/>
  <c r="N53" i="7"/>
  <c r="N54" i="7"/>
  <c r="N57" i="7"/>
  <c r="N58" i="7"/>
  <c r="N61" i="7"/>
  <c r="N62" i="7"/>
  <c r="N65" i="7"/>
  <c r="N66" i="7"/>
  <c r="N69" i="7"/>
  <c r="N70" i="7"/>
  <c r="N73" i="7"/>
  <c r="N74" i="7"/>
  <c r="R85" i="5"/>
  <c r="Y85" i="5" s="1"/>
  <c r="Z85" i="5" s="1"/>
  <c r="AB85" i="5" s="1"/>
  <c r="R89" i="5"/>
  <c r="Y89" i="5" s="1"/>
  <c r="Z89" i="5" s="1"/>
  <c r="AB89" i="5" s="1"/>
  <c r="R93" i="5"/>
  <c r="R97" i="5"/>
  <c r="Y97" i="5" s="1"/>
  <c r="Z97" i="5" s="1"/>
  <c r="AB97" i="5" s="1"/>
  <c r="R101" i="5"/>
  <c r="Y101" i="5" s="1"/>
  <c r="Z101" i="5" s="1"/>
  <c r="AB101" i="5" s="1"/>
  <c r="R105" i="5"/>
  <c r="R109" i="5"/>
  <c r="Q9" i="6"/>
  <c r="Q12" i="6"/>
  <c r="N102" i="7"/>
  <c r="N106" i="7"/>
  <c r="N110" i="7"/>
  <c r="X6" i="6" l="1"/>
</calcChain>
</file>

<file path=xl/comments1.xml><?xml version="1.0" encoding="utf-8"?>
<comments xmlns="http://schemas.openxmlformats.org/spreadsheetml/2006/main">
  <authors>
    <author>Marcos Felice</author>
  </authors>
  <commentList>
    <comment ref="F2" authorId="0">
      <text>
        <r>
          <rPr>
            <b/>
            <sz val="9"/>
            <color indexed="81"/>
            <rFont val="Tahoma"/>
            <family val="2"/>
          </rPr>
          <t>F=FACTURA
R=RECIBO
D=NOTA DEBITO
C=NOTA CREDITO
O=OTROS</t>
        </r>
      </text>
    </comment>
  </commentList>
</comments>
</file>

<file path=xl/comments2.xml><?xml version="1.0" encoding="utf-8"?>
<comments xmlns="http://schemas.openxmlformats.org/spreadsheetml/2006/main">
  <authors>
    <author>Marcos Felice</author>
  </authors>
  <commentList>
    <comment ref="F2" authorId="0">
      <text>
        <r>
          <rPr>
            <b/>
            <sz val="9"/>
            <color indexed="81"/>
            <rFont val="Tahoma"/>
            <family val="2"/>
          </rPr>
          <t>F=FACTURA
R=RECIBO
D=NOTA DEBITO
C=NOTA CREDITO
O=OTROS</t>
        </r>
      </text>
    </comment>
  </commentList>
</comments>
</file>

<file path=xl/comments3.xml><?xml version="1.0" encoding="utf-8"?>
<comments xmlns="http://schemas.openxmlformats.org/spreadsheetml/2006/main">
  <authors>
    <author>Marcos Felice</author>
  </authors>
  <commentList>
    <comment ref="E2" authorId="0">
      <text>
        <r>
          <rPr>
            <b/>
            <sz val="9"/>
            <color indexed="81"/>
            <rFont val="Tahoma"/>
            <family val="2"/>
          </rPr>
          <t xml:space="preserve">CA=CAJA DE AHORRO
CC=CUENTA CORRIENTE
OO=OTRAS
</t>
        </r>
      </text>
    </comment>
    <comment ref="F3" authorId="0">
      <text>
        <r>
          <rPr>
            <b/>
            <sz val="9"/>
            <color indexed="81"/>
            <rFont val="Tahoma"/>
            <family val="2"/>
          </rPr>
          <t xml:space="preserve">P=PESO
D=DÓLAR
E=EURO
O=OTRA
</t>
        </r>
      </text>
    </comment>
  </commentList>
</comments>
</file>

<file path=xl/sharedStrings.xml><?xml version="1.0" encoding="utf-8"?>
<sst xmlns="http://schemas.openxmlformats.org/spreadsheetml/2006/main" count="437" uniqueCount="165">
  <si>
    <t>JURISDICCION</t>
  </si>
  <si>
    <t>CUIT</t>
  </si>
  <si>
    <t>FECHA</t>
  </si>
  <si>
    <t>Nº SUC</t>
  </si>
  <si>
    <t>NUMERO</t>
  </si>
  <si>
    <t>BASE PARA LA RETENC</t>
  </si>
  <si>
    <t>Tº COMP</t>
  </si>
  <si>
    <t>LETRA</t>
  </si>
  <si>
    <t>COMPROBANTE RET</t>
  </si>
  <si>
    <t>MONTO</t>
  </si>
  <si>
    <t>RET</t>
  </si>
  <si>
    <t>COMPROBANTE</t>
  </si>
  <si>
    <t>TEXTO A COPIAR EN UN</t>
  </si>
  <si>
    <t>ARCHIVO *.TXT E IMPORTAR</t>
  </si>
  <si>
    <t>DIRECTAMENTE EN EL APLICATIVO</t>
  </si>
  <si>
    <t>PERIODO</t>
  </si>
  <si>
    <t>CBU</t>
  </si>
  <si>
    <t>DATOS BCO</t>
  </si>
  <si>
    <t>CUENTA</t>
  </si>
  <si>
    <t>MON</t>
  </si>
  <si>
    <t>P,E,O</t>
  </si>
  <si>
    <t>TEXTO A COPIAR EN UN ARCHIVO *,TXT</t>
  </si>
  <si>
    <t>IMPORTAR EN EL APLICATIVO</t>
  </si>
  <si>
    <t>OJO, TOMAR SOLO UN CBU RESUMIENDO SINO DA ERROR</t>
  </si>
  <si>
    <t>DESPACHO</t>
  </si>
  <si>
    <t>IMPORTACION</t>
  </si>
  <si>
    <t>901 - Ciudad de Buenos Aires</t>
  </si>
  <si>
    <t>902 - Provincia de Buenos Aires</t>
  </si>
  <si>
    <t>904 - Córdoba</t>
  </si>
  <si>
    <t>905 - Corrientes</t>
  </si>
  <si>
    <t>906 - Chaco</t>
  </si>
  <si>
    <t>907 - Chubut</t>
  </si>
  <si>
    <t>908 - Entre Ríos</t>
  </si>
  <si>
    <t>909 - Formosa</t>
  </si>
  <si>
    <t>910 - Jujuy</t>
  </si>
  <si>
    <t>911 - La Pampa</t>
  </si>
  <si>
    <t>912 - La Rioja</t>
  </si>
  <si>
    <t>913 - Mendoza</t>
  </si>
  <si>
    <t>914 - Misiones</t>
  </si>
  <si>
    <t>915 - Neuquén</t>
  </si>
  <si>
    <t>916 - Rí­o Negro</t>
  </si>
  <si>
    <t>917 - Salta</t>
  </si>
  <si>
    <t>918 - San Juan</t>
  </si>
  <si>
    <t>919 - San Luis</t>
  </si>
  <si>
    <t>920 - Santa Cruz</t>
  </si>
  <si>
    <t>921 - Santa Fe</t>
  </si>
  <si>
    <t>922 - Santiago del Estero</t>
  </si>
  <si>
    <t>923 - Tierra del Fuego</t>
  </si>
  <si>
    <t>903 - Catamarca</t>
  </si>
  <si>
    <t>924 - Tucumán</t>
  </si>
  <si>
    <t>F</t>
  </si>
  <si>
    <t>A</t>
  </si>
  <si>
    <t>00000024,75</t>
  </si>
  <si>
    <t>00000011,86</t>
  </si>
  <si>
    <t>00000035,59</t>
  </si>
  <si>
    <t>00000010,54</t>
  </si>
  <si>
    <t>00000009,09</t>
  </si>
  <si>
    <t>00000013,00</t>
  </si>
  <si>
    <t>00000012,73</t>
  </si>
  <si>
    <t>00003096,71</t>
  </si>
  <si>
    <t>00009938,00</t>
  </si>
  <si>
    <t>00010293,34</t>
  </si>
  <si>
    <t>00003370,98</t>
  </si>
  <si>
    <t>00001048,14</t>
  </si>
  <si>
    <t>00001444,63</t>
  </si>
  <si>
    <t>00002821,17</t>
  </si>
  <si>
    <t>00010005,19</t>
  </si>
  <si>
    <t>00030181,78</t>
  </si>
  <si>
    <t>00002053,55</t>
  </si>
  <si>
    <t>00000144,95</t>
  </si>
  <si>
    <t>00000018,02</t>
  </si>
  <si>
    <t>00000218,16</t>
  </si>
  <si>
    <t>00000019,01</t>
  </si>
  <si>
    <t>00000030,01</t>
  </si>
  <si>
    <t>00000015,35</t>
  </si>
  <si>
    <t>00000053,21</t>
  </si>
  <si>
    <t>00000039,60</t>
  </si>
  <si>
    <t>00000014,99</t>
  </si>
  <si>
    <t>00000027,23</t>
  </si>
  <si>
    <t>00000087,30</t>
  </si>
  <si>
    <t>00000170,96</t>
  </si>
  <si>
    <t>00000013,76</t>
  </si>
  <si>
    <t>00000065,25</t>
  </si>
  <si>
    <t>00000043,10</t>
  </si>
  <si>
    <t>00000225,80</t>
  </si>
  <si>
    <t>00000021,95</t>
  </si>
  <si>
    <t>00000062,86</t>
  </si>
  <si>
    <t>00000255,98</t>
  </si>
  <si>
    <t>00000130,40</t>
  </si>
  <si>
    <t>00000022,55</t>
  </si>
  <si>
    <t>00000288,42</t>
  </si>
  <si>
    <t>00000015,02</t>
  </si>
  <si>
    <t>00000022,79</t>
  </si>
  <si>
    <t>00000033,22</t>
  </si>
  <si>
    <t>00000262,04</t>
  </si>
  <si>
    <t>00000060,76</t>
  </si>
  <si>
    <t>00000021,12</t>
  </si>
  <si>
    <t>00000095,65</t>
  </si>
  <si>
    <t>00000070,26</t>
  </si>
  <si>
    <t>00000101,08</t>
  </si>
  <si>
    <t>00000086,53</t>
  </si>
  <si>
    <t>00000019,82</t>
  </si>
  <si>
    <t>00000101,56</t>
  </si>
  <si>
    <t>00000647,76</t>
  </si>
  <si>
    <t>00000017,34</t>
  </si>
  <si>
    <t>00000037,97</t>
  </si>
  <si>
    <t>00000139,53</t>
  </si>
  <si>
    <t>00000028,42</t>
  </si>
  <si>
    <t>00000049,55</t>
  </si>
  <si>
    <t>00000055,00</t>
  </si>
  <si>
    <t>00000022,30</t>
  </si>
  <si>
    <t>00000012,39</t>
  </si>
  <si>
    <t>00000096,01</t>
  </si>
  <si>
    <t>00000393,43</t>
  </si>
  <si>
    <t>00000069,31</t>
  </si>
  <si>
    <t>00000114,07</t>
  </si>
  <si>
    <t>00000026,14</t>
  </si>
  <si>
    <t>00000006,83</t>
  </si>
  <si>
    <t>00000040,88</t>
  </si>
  <si>
    <t>00000038,74</t>
  </si>
  <si>
    <t>00000030,89</t>
  </si>
  <si>
    <t>00000105,51</t>
  </si>
  <si>
    <t>00000119,31</t>
  </si>
  <si>
    <t>00000053,27</t>
  </si>
  <si>
    <t>00000067,49</t>
  </si>
  <si>
    <t>00000149,63</t>
  </si>
  <si>
    <t>00000054,26</t>
  </si>
  <si>
    <t>00000007,93</t>
  </si>
  <si>
    <t>00000028,12</t>
  </si>
  <si>
    <t>00000566,83</t>
  </si>
  <si>
    <t>00000029,94</t>
  </si>
  <si>
    <t>00000017,08</t>
  </si>
  <si>
    <t>00000011,89</t>
  </si>
  <si>
    <t>00000043,65</t>
  </si>
  <si>
    <t>00000042,06</t>
  </si>
  <si>
    <t>00000036,59</t>
  </si>
  <si>
    <t>00000104,27</t>
  </si>
  <si>
    <t>00000035,58</t>
  </si>
  <si>
    <t>00000008,67</t>
  </si>
  <si>
    <t>00000029,71</t>
  </si>
  <si>
    <t>00000009,89</t>
  </si>
  <si>
    <t>00000066,80</t>
  </si>
  <si>
    <t>00000180,21</t>
  </si>
  <si>
    <t>00000017,80</t>
  </si>
  <si>
    <t>00000115,70</t>
  </si>
  <si>
    <t>00000051,32</t>
  </si>
  <si>
    <t>00000045,00</t>
  </si>
  <si>
    <t>00000036,00</t>
  </si>
  <si>
    <t>00000050,02</t>
  </si>
  <si>
    <t>00000105,95</t>
  </si>
  <si>
    <t>00000012,15</t>
  </si>
  <si>
    <t>00000629,68</t>
  </si>
  <si>
    <t>00000021,42</t>
  </si>
  <si>
    <t>00000029,02</t>
  </si>
  <si>
    <t>00000080,79</t>
  </si>
  <si>
    <t>00000052,57</t>
  </si>
  <si>
    <t>00000032,84</t>
  </si>
  <si>
    <t>00000133,52</t>
  </si>
  <si>
    <t>00000051,35</t>
  </si>
  <si>
    <t>00000002,95</t>
  </si>
  <si>
    <t>00000029,36</t>
  </si>
  <si>
    <t>00000161,43</t>
  </si>
  <si>
    <t>00000005,94</t>
  </si>
  <si>
    <t>00000113,94</t>
  </si>
  <si>
    <t>00000047,40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</si>
</sst>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\-########\-#"/>
    <numFmt numFmtId="165" formatCode="yyyy/mm"/>
    <numFmt numFmtId="166" formatCode="00000"/>
  </numFmts>
  <fonts count="7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2" fontId="0" fillId="0" borderId="0" xfId="0" applyNumberFormat="1"/>
    <xf numFmtId="14" fontId="0" fillId="0" borderId="0" xfId="0" applyNumberFormat="1"/>
    <xf numFmtId="49" fontId="0" fillId="0" borderId="0" xfId="0" applyNumberForma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/>
    <xf numFmtId="0" fontId="0" fillId="0" borderId="0" xfId="0" applyNumberFormat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5" fillId="0" borderId="0" xfId="0" applyFont="1"/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/>
    </xf>
    <xf numFmtId="1" fontId="0" fillId="2" borderId="0" xfId="0" applyNumberFormat="1" applyFill="1" applyAlignment="1">
      <alignment horizontal="center"/>
    </xf>
    <xf numFmtId="164" fontId="3" fillId="2" borderId="0" xfId="0" applyNumberFormat="1" applyFont="1" applyFill="1"/>
    <xf numFmtId="14" fontId="0" fillId="2" borderId="0" xfId="0" applyNumberFormat="1" applyFill="1"/>
    <xf numFmtId="2" fontId="0" fillId="2" borderId="1" xfId="0" applyNumberFormat="1" applyFill="1" applyBorder="1"/>
    <xf numFmtId="2" fontId="0" fillId="2" borderId="0" xfId="0" applyNumberFormat="1" applyFill="1"/>
    <xf numFmtId="0" fontId="0" fillId="2" borderId="0" xfId="0" applyFill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0" fontId="0" fillId="2" borderId="0" xfId="0" applyNumberFormat="1" applyFill="1"/>
    <xf numFmtId="1" fontId="0" fillId="2" borderId="0" xfId="0" applyNumberFormat="1" applyFill="1"/>
    <xf numFmtId="0" fontId="1" fillId="0" borderId="0" xfId="0" applyFont="1" applyFill="1" applyAlignment="1">
      <alignment horizontal="center"/>
    </xf>
    <xf numFmtId="1" fontId="1" fillId="0" borderId="0" xfId="0" applyNumberFormat="1" applyFont="1" applyFill="1" applyAlignment="1">
      <alignment horizontal="center"/>
    </xf>
    <xf numFmtId="0" fontId="0" fillId="0" borderId="0" xfId="0" applyFill="1"/>
    <xf numFmtId="14" fontId="0" fillId="0" borderId="0" xfId="0" applyNumberFormat="1" applyAlignment="1">
      <alignment horizontal="center"/>
    </xf>
    <xf numFmtId="165" fontId="3" fillId="2" borderId="0" xfId="0" applyNumberFormat="1" applyFont="1" applyFill="1" applyAlignment="1">
      <alignment horizontal="center"/>
    </xf>
    <xf numFmtId="49" fontId="3" fillId="2" borderId="0" xfId="0" applyNumberFormat="1" applyFont="1" applyFill="1"/>
    <xf numFmtId="14" fontId="0" fillId="2" borderId="0" xfId="0" applyNumberFormat="1" applyFill="1" applyAlignment="1">
      <alignment horizontal="center"/>
    </xf>
    <xf numFmtId="0" fontId="0" fillId="3" borderId="0" xfId="0" applyFill="1"/>
    <xf numFmtId="164" fontId="0" fillId="0" borderId="0" xfId="0" applyNumberFormat="1"/>
    <xf numFmtId="1" fontId="0" fillId="0" borderId="0" xfId="0" applyNumberFormat="1" applyFill="1" applyAlignment="1">
      <alignment horizontal="center"/>
    </xf>
    <xf numFmtId="164" fontId="3" fillId="0" borderId="0" xfId="0" applyNumberFormat="1" applyFont="1" applyFill="1"/>
    <xf numFmtId="14" fontId="0" fillId="0" borderId="0" xfId="0" applyNumberFormat="1" applyFill="1"/>
    <xf numFmtId="49" fontId="3" fillId="0" borderId="0" xfId="0" applyNumberFormat="1" applyFont="1" applyFill="1" applyAlignment="1">
      <alignment horizontal="center"/>
    </xf>
    <xf numFmtId="49" fontId="3" fillId="0" borderId="1" xfId="0" applyNumberFormat="1" applyFont="1" applyFill="1" applyBorder="1" applyAlignment="1">
      <alignment horizontal="center"/>
    </xf>
    <xf numFmtId="2" fontId="0" fillId="0" borderId="0" xfId="0" applyNumberFormat="1" applyFill="1"/>
    <xf numFmtId="0" fontId="5" fillId="0" borderId="0" xfId="0" applyFont="1" applyFill="1"/>
    <xf numFmtId="49" fontId="3" fillId="0" borderId="0" xfId="0" applyNumberFormat="1" applyFont="1" applyFill="1" applyBorder="1" applyAlignment="1">
      <alignment horizontal="center"/>
    </xf>
    <xf numFmtId="166" fontId="0" fillId="0" borderId="0" xfId="0" applyNumberFormat="1"/>
    <xf numFmtId="0" fontId="0" fillId="4" borderId="0" xfId="0" applyFill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 vertical="distributed"/>
    </xf>
    <xf numFmtId="1" fontId="0" fillId="4" borderId="0" xfId="0" applyNumberFormat="1" applyFill="1" applyAlignment="1">
      <alignment horizontal="center"/>
    </xf>
    <xf numFmtId="166" fontId="3" fillId="4" borderId="0" xfId="0" applyNumberFormat="1" applyFont="1" applyFill="1"/>
    <xf numFmtId="14" fontId="0" fillId="4" borderId="0" xfId="0" applyNumberFormat="1" applyFill="1"/>
    <xf numFmtId="1" fontId="0" fillId="4" borderId="0" xfId="0" applyNumberFormat="1" applyFill="1" applyAlignment="1">
      <alignment horizontal="right"/>
    </xf>
    <xf numFmtId="49" fontId="3" fillId="4" borderId="0" xfId="0" applyNumberFormat="1" applyFont="1" applyFill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49" fontId="0" fillId="4" borderId="0" xfId="0" applyNumberFormat="1" applyFill="1" applyAlignment="1">
      <alignment horizontal="right"/>
    </xf>
    <xf numFmtId="2" fontId="0" fillId="4" borderId="0" xfId="0" applyNumberFormat="1" applyFill="1"/>
    <xf numFmtId="166" fontId="0" fillId="4" borderId="0" xfId="0" applyNumberFormat="1" applyFill="1" applyAlignment="1">
      <alignment horizontal="right"/>
    </xf>
    <xf numFmtId="49" fontId="0" fillId="4" borderId="0" xfId="0" applyNumberFormat="1" applyFill="1" applyAlignment="1">
      <alignment horizontal="center"/>
    </xf>
    <xf numFmtId="0" fontId="3" fillId="0" borderId="0" xfId="0" applyFont="1" applyAlignment="1">
      <alignment horizontal="right"/>
    </xf>
    <xf numFmtId="2" fontId="3" fillId="4" borderId="0" xfId="0" applyNumberFormat="1" applyFont="1" applyFill="1" applyAlignment="1">
      <alignment horizontal="right"/>
    </xf>
    <xf numFmtId="166" fontId="3" fillId="0" borderId="0" xfId="0" applyNumberFormat="1" applyFont="1" applyFill="1"/>
    <xf numFmtId="49" fontId="3" fillId="0" borderId="0" xfId="0" applyNumberFormat="1" applyFont="1" applyFill="1" applyBorder="1" applyAlignment="1">
      <alignment horizontal="right"/>
    </xf>
    <xf numFmtId="166" fontId="0" fillId="0" borderId="0" xfId="0" applyNumberFormat="1" applyAlignment="1">
      <alignment horizontal="right"/>
    </xf>
    <xf numFmtId="166" fontId="0" fillId="0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10"/>
  <sheetViews>
    <sheetView zoomScaleNormal="100" workbookViewId="0">
      <pane ySplit="5" topLeftCell="A79" activePane="bottomLeft" state="frozen"/>
      <selection activeCell="B16" sqref="B16:B18"/>
      <selection pane="bottomLeft" activeCell="H105" sqref="H105"/>
    </sheetView>
  </sheetViews>
  <sheetFormatPr baseColWidth="10" defaultRowHeight="12.75" x14ac:dyDescent="0.2"/>
  <cols>
    <col min="1" max="1" width="14.42578125" style="16" bestFit="1" customWidth="1"/>
    <col min="2" max="2" width="15.5703125" bestFit="1" customWidth="1"/>
    <col min="3" max="3" width="10.85546875" style="2" bestFit="1" customWidth="1"/>
    <col min="4" max="4" width="9" style="16" bestFit="1" customWidth="1"/>
    <col min="5" max="5" width="17.140625" style="16" bestFit="1" customWidth="1"/>
    <col min="6" max="6" width="10.28515625" style="17" bestFit="1" customWidth="1"/>
    <col min="7" max="7" width="7.42578125" style="17" bestFit="1" customWidth="1"/>
    <col min="8" max="8" width="17.140625" style="17" bestFit="1" customWidth="1"/>
    <col min="9" max="9" width="14.28515625" style="1" customWidth="1"/>
    <col min="10" max="10" width="11.5703125" style="1" hidden="1" customWidth="1"/>
    <col min="11" max="11" width="4.42578125" style="1" hidden="1" customWidth="1"/>
    <col min="12" max="12" width="5" style="1" hidden="1" customWidth="1"/>
    <col min="13" max="13" width="3.42578125" style="1" hidden="1" customWidth="1"/>
    <col min="14" max="14" width="5" style="1" hidden="1" customWidth="1"/>
    <col min="15" max="15" width="3.42578125" style="1" hidden="1" customWidth="1"/>
    <col min="16" max="16" width="8.140625" style="1" hidden="1" customWidth="1"/>
    <col min="17" max="17" width="5.5703125" style="1" hidden="1" customWidth="1"/>
    <col min="18" max="18" width="10.85546875" style="1" hidden="1" customWidth="1"/>
    <col min="19" max="19" width="5" hidden="1" customWidth="1"/>
    <col min="20" max="20" width="17.140625" hidden="1" customWidth="1"/>
    <col min="21" max="21" width="2.140625" hidden="1" customWidth="1"/>
    <col min="22" max="22" width="2.28515625" hidden="1" customWidth="1"/>
    <col min="23" max="24" width="21.28515625" hidden="1" customWidth="1"/>
    <col min="25" max="25" width="87" bestFit="1" customWidth="1"/>
    <col min="26" max="26" width="3.42578125" customWidth="1"/>
    <col min="27" max="27" width="11.42578125" style="15" hidden="1" customWidth="1"/>
  </cols>
  <sheetData>
    <row r="1" spans="1:28" s="4" customFormat="1" x14ac:dyDescent="0.2">
      <c r="A1" s="50" t="s">
        <v>0</v>
      </c>
      <c r="B1" s="50" t="s">
        <v>1</v>
      </c>
      <c r="C1" s="50" t="s">
        <v>2</v>
      </c>
      <c r="D1" s="49" t="s">
        <v>8</v>
      </c>
      <c r="E1" s="49"/>
      <c r="F1" s="48" t="s">
        <v>5</v>
      </c>
      <c r="G1" s="48"/>
      <c r="H1" s="48"/>
      <c r="I1" s="7" t="s">
        <v>9</v>
      </c>
      <c r="K1" s="7"/>
      <c r="L1" s="7"/>
      <c r="M1" s="7"/>
      <c r="N1" s="7"/>
      <c r="O1" s="7"/>
      <c r="P1" s="7"/>
      <c r="Q1" s="7"/>
      <c r="R1" s="7"/>
      <c r="Y1" s="4" t="s">
        <v>12</v>
      </c>
      <c r="AA1" s="13"/>
    </row>
    <row r="2" spans="1:28" s="4" customFormat="1" x14ac:dyDescent="0.2">
      <c r="A2" s="50"/>
      <c r="B2" s="50"/>
      <c r="C2" s="50"/>
      <c r="D2" s="8" t="s">
        <v>3</v>
      </c>
      <c r="E2" s="8" t="s">
        <v>4</v>
      </c>
      <c r="F2" s="6" t="s">
        <v>6</v>
      </c>
      <c r="G2" s="6" t="s">
        <v>7</v>
      </c>
      <c r="H2" s="6" t="s">
        <v>4</v>
      </c>
      <c r="I2" s="7" t="s">
        <v>10</v>
      </c>
      <c r="J2" s="7"/>
      <c r="K2" s="7"/>
      <c r="L2" s="7"/>
      <c r="M2" s="7"/>
      <c r="N2" s="7"/>
      <c r="O2" s="7"/>
      <c r="P2" s="7"/>
      <c r="Q2" s="7"/>
      <c r="R2" s="7"/>
      <c r="Y2" s="4" t="s">
        <v>13</v>
      </c>
      <c r="AA2" s="13"/>
    </row>
    <row r="3" spans="1:28" s="8" customFormat="1" x14ac:dyDescent="0.2">
      <c r="A3" s="8">
        <v>3</v>
      </c>
      <c r="B3" s="8">
        <v>13</v>
      </c>
      <c r="C3" s="8">
        <v>10</v>
      </c>
      <c r="D3" s="8">
        <v>4</v>
      </c>
      <c r="E3" s="8">
        <v>16</v>
      </c>
      <c r="F3" s="8">
        <v>1</v>
      </c>
      <c r="G3" s="8">
        <v>1</v>
      </c>
      <c r="H3" s="8">
        <v>20</v>
      </c>
      <c r="Y3" s="8" t="s">
        <v>14</v>
      </c>
      <c r="AA3" s="14"/>
    </row>
    <row r="4" spans="1:28" s="8" customFormat="1" x14ac:dyDescent="0.2">
      <c r="AA4" s="14"/>
    </row>
    <row r="5" spans="1:28" x14ac:dyDescent="0.2">
      <c r="B5" s="37"/>
      <c r="F5" s="18"/>
      <c r="G5" s="18"/>
      <c r="H5" s="18"/>
      <c r="Y5" s="31"/>
    </row>
    <row r="6" spans="1:28" s="31" customFormat="1" x14ac:dyDescent="0.2">
      <c r="A6" s="38">
        <v>901</v>
      </c>
      <c r="B6" s="46">
        <v>30500053522</v>
      </c>
      <c r="C6" s="2">
        <v>43857</v>
      </c>
      <c r="D6" s="38">
        <v>1</v>
      </c>
      <c r="E6">
        <v>700000044</v>
      </c>
      <c r="F6" s="41" t="s">
        <v>50</v>
      </c>
      <c r="G6" s="42" t="s">
        <v>51</v>
      </c>
      <c r="H6">
        <v>2020056464</v>
      </c>
      <c r="I6" s="61" t="s">
        <v>56</v>
      </c>
      <c r="J6" s="43" t="str">
        <f>TEXT(B6,"0000000000000")</f>
        <v>0030500053522</v>
      </c>
      <c r="K6" s="43" t="str">
        <f>TEXT(A6,"000")</f>
        <v>901</v>
      </c>
      <c r="L6" s="43">
        <f>DAY(C6)</f>
        <v>27</v>
      </c>
      <c r="M6" s="43" t="str">
        <f t="shared" ref="M6:M69" si="0">TEXT(L6,"00")</f>
        <v>27</v>
      </c>
      <c r="N6" s="43">
        <f>MONTH(C6)</f>
        <v>1</v>
      </c>
      <c r="O6" s="43" t="str">
        <f t="shared" ref="O6:O69" si="1">TEXT(N6,"00")</f>
        <v>01</v>
      </c>
      <c r="P6" s="43">
        <f>YEAR(C6)</f>
        <v>2020</v>
      </c>
      <c r="Q6" s="43" t="str">
        <f t="shared" ref="Q6:Q69" si="2">TEXT(P6,"0000")</f>
        <v>2020</v>
      </c>
      <c r="R6" s="43" t="str">
        <f>CONCATENATE(M6,"/",O6,"/",Q6)</f>
        <v>27/01/2020</v>
      </c>
      <c r="S6" s="31" t="str">
        <f>TEXT(D6,"0000")</f>
        <v>0001</v>
      </c>
      <c r="T6" s="31" t="str">
        <f>TEXT(E6,"0000000000000000")</f>
        <v>0000000700000044</v>
      </c>
      <c r="U6" s="31" t="str">
        <f t="shared" ref="U6:V8" si="3">TEXT(F6,"0")</f>
        <v>F</v>
      </c>
      <c r="V6" s="31" t="str">
        <f t="shared" si="3"/>
        <v>A</v>
      </c>
      <c r="W6" s="31" t="str">
        <f>TEXT(H6,"00000000000000000000")</f>
        <v>00000000002020056464</v>
      </c>
      <c r="X6" s="31" t="str">
        <f>TEXT(I6,"00000000,00")</f>
        <v>00000009,09</v>
      </c>
      <c r="Y6" s="31" t="str">
        <f>IF(A6="","",CONCATENATE(K6,J6,R6,S6,T6,U6,V6,W6,X6))</f>
        <v>901003050005352227/01/202000010000000700000044FA0000000000202005646400000009,09</v>
      </c>
      <c r="Z6" s="31">
        <f>IF(A6="","",LEN(Y6))</f>
        <v>79</v>
      </c>
      <c r="AA6" s="44">
        <v>901</v>
      </c>
      <c r="AB6" s="31" t="str">
        <f>IF(A6="","",IF(Z6=79,"OK","ERROR DE LONGITUD DEL TEXTO"))</f>
        <v>OK</v>
      </c>
    </row>
    <row r="7" spans="1:28" s="31" customFormat="1" x14ac:dyDescent="0.2">
      <c r="A7" s="38">
        <v>901</v>
      </c>
      <c r="B7" s="46">
        <v>30500053522</v>
      </c>
      <c r="C7" s="2">
        <v>43857</v>
      </c>
      <c r="D7" s="38">
        <v>1</v>
      </c>
      <c r="E7">
        <v>700000043</v>
      </c>
      <c r="F7" s="41" t="s">
        <v>50</v>
      </c>
      <c r="G7" s="42" t="s">
        <v>51</v>
      </c>
      <c r="H7">
        <v>2020056464</v>
      </c>
      <c r="I7" s="61" t="s">
        <v>56</v>
      </c>
      <c r="J7" s="43" t="str">
        <f>TEXT(B7,"0000000000000")</f>
        <v>0030500053522</v>
      </c>
      <c r="K7" s="43" t="str">
        <f>TEXT(A7,"000")</f>
        <v>901</v>
      </c>
      <c r="L7" s="43">
        <f>DAY(C7)</f>
        <v>27</v>
      </c>
      <c r="M7" s="43" t="str">
        <f t="shared" si="0"/>
        <v>27</v>
      </c>
      <c r="N7" s="43">
        <f>MONTH(C7)</f>
        <v>1</v>
      </c>
      <c r="O7" s="43" t="str">
        <f t="shared" si="1"/>
        <v>01</v>
      </c>
      <c r="P7" s="43">
        <f>YEAR(C7)</f>
        <v>2020</v>
      </c>
      <c r="Q7" s="43" t="str">
        <f t="shared" si="2"/>
        <v>2020</v>
      </c>
      <c r="R7" s="43" t="str">
        <f>CONCATENATE(M7,"/",O7,"/",Q7)</f>
        <v>27/01/2020</v>
      </c>
      <c r="S7" s="31" t="str">
        <f>TEXT(D7,"0000")</f>
        <v>0001</v>
      </c>
      <c r="T7" s="31" t="str">
        <f>TEXT(E7,"0000000000000000")</f>
        <v>0000000700000043</v>
      </c>
      <c r="U7" s="31" t="str">
        <f t="shared" si="3"/>
        <v>F</v>
      </c>
      <c r="V7" s="31" t="str">
        <f t="shared" si="3"/>
        <v>A</v>
      </c>
      <c r="W7" s="31" t="str">
        <f>TEXT(H7,"00000000000000000000")</f>
        <v>00000000002020056464</v>
      </c>
      <c r="X7" s="31" t="str">
        <f>TEXT(I7,"00000000,00")</f>
        <v>00000009,09</v>
      </c>
      <c r="Y7" s="31" t="str">
        <f t="shared" ref="Y7:Y70" si="4">IF(A7="","",CONCATENATE(K7,J7,R7,S7,T7,U7,V7,W7,X7))</f>
        <v>901003050005352227/01/202000010000000700000043FA0000000000202005646400000009,09</v>
      </c>
      <c r="Z7" s="31">
        <f t="shared" ref="Z7:Z70" si="5">IF(A7="","",LEN(Y7))</f>
        <v>79</v>
      </c>
      <c r="AA7" s="44">
        <v>902</v>
      </c>
      <c r="AB7" s="31" t="str">
        <f t="shared" ref="AB7:AB70" si="6">IF(A7="","",IF(Z7=79,"OK","ERROR DE LONGITUD DEL TEXTO"))</f>
        <v>OK</v>
      </c>
    </row>
    <row r="8" spans="1:28" s="31" customFormat="1" x14ac:dyDescent="0.2">
      <c r="A8" s="38">
        <v>901</v>
      </c>
      <c r="B8" s="46">
        <v>30500053522</v>
      </c>
      <c r="C8" s="2">
        <v>43857</v>
      </c>
      <c r="D8" s="38">
        <v>1</v>
      </c>
      <c r="E8">
        <v>700000041</v>
      </c>
      <c r="F8" s="41" t="s">
        <v>50</v>
      </c>
      <c r="G8" s="42" t="s">
        <v>51</v>
      </c>
      <c r="H8">
        <v>2020056464</v>
      </c>
      <c r="I8" s="61" t="s">
        <v>57</v>
      </c>
      <c r="J8" s="43" t="str">
        <f>TEXT(B8,"0000000000000")</f>
        <v>0030500053522</v>
      </c>
      <c r="K8" s="43" t="str">
        <f>TEXT(A8,"000")</f>
        <v>901</v>
      </c>
      <c r="L8" s="43">
        <f>DAY(C8)</f>
        <v>27</v>
      </c>
      <c r="M8" s="43" t="str">
        <f t="shared" si="0"/>
        <v>27</v>
      </c>
      <c r="N8" s="43">
        <f>MONTH(C8)</f>
        <v>1</v>
      </c>
      <c r="O8" s="43" t="str">
        <f t="shared" si="1"/>
        <v>01</v>
      </c>
      <c r="P8" s="43">
        <f>YEAR(C8)</f>
        <v>2020</v>
      </c>
      <c r="Q8" s="43" t="str">
        <f t="shared" si="2"/>
        <v>2020</v>
      </c>
      <c r="R8" s="43" t="str">
        <f>CONCATENATE(M8,"/",O8,"/",Q8)</f>
        <v>27/01/2020</v>
      </c>
      <c r="S8" s="31" t="str">
        <f>TEXT(D8,"0000")</f>
        <v>0001</v>
      </c>
      <c r="T8" s="31" t="str">
        <f>TEXT(E8,"0000000000000000")</f>
        <v>0000000700000041</v>
      </c>
      <c r="U8" s="31" t="str">
        <f t="shared" si="3"/>
        <v>F</v>
      </c>
      <c r="V8" s="31" t="str">
        <f t="shared" si="3"/>
        <v>A</v>
      </c>
      <c r="W8" s="31" t="str">
        <f>TEXT(H8,"00000000000000000000")</f>
        <v>00000000002020056464</v>
      </c>
      <c r="X8" s="31" t="str">
        <f>TEXT(I8,"00000000,00")</f>
        <v>00000013,00</v>
      </c>
      <c r="Y8" s="31" t="str">
        <f t="shared" si="4"/>
        <v>901003050005352227/01/202000010000000700000041FA0000000000202005646400000013,00</v>
      </c>
      <c r="Z8" s="31">
        <f t="shared" si="5"/>
        <v>79</v>
      </c>
      <c r="AA8" s="44">
        <v>903</v>
      </c>
      <c r="AB8" s="31" t="str">
        <f t="shared" si="6"/>
        <v>OK</v>
      </c>
    </row>
    <row r="9" spans="1:28" s="31" customFormat="1" x14ac:dyDescent="0.2">
      <c r="A9" s="38">
        <v>901</v>
      </c>
      <c r="B9" s="46">
        <v>30500053522</v>
      </c>
      <c r="C9" s="2">
        <v>43857</v>
      </c>
      <c r="D9" s="38">
        <v>1</v>
      </c>
      <c r="E9">
        <v>700000039</v>
      </c>
      <c r="F9" s="41" t="s">
        <v>50</v>
      </c>
      <c r="G9" s="42" t="s">
        <v>51</v>
      </c>
      <c r="H9">
        <v>2020056464</v>
      </c>
      <c r="I9" s="61" t="s">
        <v>58</v>
      </c>
      <c r="J9" s="43" t="str">
        <f t="shared" ref="J9:J72" si="7">TEXT(B9,"0000000000000")</f>
        <v>0030500053522</v>
      </c>
      <c r="K9" s="43" t="str">
        <f t="shared" ref="K9:K72" si="8">TEXT(A9,"000")</f>
        <v>901</v>
      </c>
      <c r="L9" s="43">
        <f t="shared" ref="L9:L72" si="9">DAY(C9)</f>
        <v>27</v>
      </c>
      <c r="M9" s="43" t="str">
        <f t="shared" si="0"/>
        <v>27</v>
      </c>
      <c r="N9" s="43">
        <f t="shared" ref="N9:N72" si="10">MONTH(C9)</f>
        <v>1</v>
      </c>
      <c r="O9" s="43" t="str">
        <f t="shared" si="1"/>
        <v>01</v>
      </c>
      <c r="P9" s="43">
        <f t="shared" ref="P9:P72" si="11">YEAR(C9)</f>
        <v>2020</v>
      </c>
      <c r="Q9" s="43" t="str">
        <f t="shared" si="2"/>
        <v>2020</v>
      </c>
      <c r="R9" s="43" t="str">
        <f t="shared" ref="R9:R72" si="12">CONCATENATE(M9,"/",O9,"/",Q9)</f>
        <v>27/01/2020</v>
      </c>
      <c r="S9" s="31" t="str">
        <f t="shared" ref="S9:S72" si="13">TEXT(D9,"0000")</f>
        <v>0001</v>
      </c>
      <c r="T9" s="31" t="str">
        <f t="shared" ref="T9:T72" si="14">TEXT(E9,"0000000000000000")</f>
        <v>0000000700000039</v>
      </c>
      <c r="U9" s="31" t="str">
        <f t="shared" ref="U9:U72" si="15">TEXT(F9,"0")</f>
        <v>F</v>
      </c>
      <c r="V9" s="31" t="str">
        <f t="shared" ref="V9:V72" si="16">TEXT(G9,"0")</f>
        <v>A</v>
      </c>
      <c r="W9" s="31" t="str">
        <f t="shared" ref="W9:W72" si="17">TEXT(H9,"00000000000000000000")</f>
        <v>00000000002020056464</v>
      </c>
      <c r="X9" s="31" t="str">
        <f t="shared" ref="X9:X72" si="18">TEXT(I9,"00000000,00")</f>
        <v>00000012,73</v>
      </c>
      <c r="Y9" s="31" t="str">
        <f t="shared" si="4"/>
        <v>901003050005352227/01/202000010000000700000039FA0000000000202005646400000012,73</v>
      </c>
      <c r="Z9" s="31">
        <f t="shared" si="5"/>
        <v>79</v>
      </c>
      <c r="AA9" s="44">
        <v>904</v>
      </c>
      <c r="AB9" s="31" t="str">
        <f t="shared" si="6"/>
        <v>OK</v>
      </c>
    </row>
    <row r="10" spans="1:28" s="31" customFormat="1" x14ac:dyDescent="0.2">
      <c r="A10" s="38">
        <v>901</v>
      </c>
      <c r="B10" s="46">
        <v>30522428163</v>
      </c>
      <c r="C10" s="2">
        <v>43836</v>
      </c>
      <c r="D10" s="38">
        <v>1</v>
      </c>
      <c r="E10">
        <v>3363867</v>
      </c>
      <c r="F10" s="41" t="s">
        <v>50</v>
      </c>
      <c r="G10" s="42" t="s">
        <v>51</v>
      </c>
      <c r="H10">
        <v>347918</v>
      </c>
      <c r="I10" s="61" t="s">
        <v>59</v>
      </c>
      <c r="J10" s="43" t="str">
        <f t="shared" si="7"/>
        <v>0030522428163</v>
      </c>
      <c r="K10" s="43" t="str">
        <f t="shared" si="8"/>
        <v>901</v>
      </c>
      <c r="L10" s="43">
        <f t="shared" si="9"/>
        <v>6</v>
      </c>
      <c r="M10" s="43" t="str">
        <f t="shared" si="0"/>
        <v>06</v>
      </c>
      <c r="N10" s="43">
        <f t="shared" si="10"/>
        <v>1</v>
      </c>
      <c r="O10" s="43" t="str">
        <f t="shared" si="1"/>
        <v>01</v>
      </c>
      <c r="P10" s="43">
        <f t="shared" si="11"/>
        <v>2020</v>
      </c>
      <c r="Q10" s="43" t="str">
        <f t="shared" si="2"/>
        <v>2020</v>
      </c>
      <c r="R10" s="43" t="str">
        <f t="shared" si="12"/>
        <v>06/01/2020</v>
      </c>
      <c r="S10" s="31" t="str">
        <f t="shared" si="13"/>
        <v>0001</v>
      </c>
      <c r="T10" s="31" t="str">
        <f t="shared" si="14"/>
        <v>0000000003363867</v>
      </c>
      <c r="U10" s="31" t="str">
        <f t="shared" si="15"/>
        <v>F</v>
      </c>
      <c r="V10" s="31" t="str">
        <f t="shared" si="16"/>
        <v>A</v>
      </c>
      <c r="W10" s="31" t="str">
        <f t="shared" si="17"/>
        <v>00000000000000347918</v>
      </c>
      <c r="X10" s="31" t="str">
        <f t="shared" si="18"/>
        <v>00003096,71</v>
      </c>
      <c r="Y10" s="31" t="str">
        <f t="shared" si="4"/>
        <v>901003052242816306/01/202000010000000003363867FA0000000000000034791800003096,71</v>
      </c>
      <c r="Z10" s="31">
        <f t="shared" si="5"/>
        <v>79</v>
      </c>
      <c r="AA10" s="44">
        <v>905</v>
      </c>
      <c r="AB10" s="31" t="str">
        <f t="shared" si="6"/>
        <v>OK</v>
      </c>
    </row>
    <row r="11" spans="1:28" s="31" customFormat="1" x14ac:dyDescent="0.2">
      <c r="A11" s="38">
        <v>901</v>
      </c>
      <c r="B11" s="46">
        <v>30522428163</v>
      </c>
      <c r="C11" s="2">
        <v>43836</v>
      </c>
      <c r="D11" s="38">
        <v>1</v>
      </c>
      <c r="E11">
        <v>3363865</v>
      </c>
      <c r="F11" s="41" t="s">
        <v>50</v>
      </c>
      <c r="G11" s="42" t="s">
        <v>51</v>
      </c>
      <c r="H11">
        <v>347917</v>
      </c>
      <c r="I11" s="61" t="s">
        <v>60</v>
      </c>
      <c r="J11" s="43" t="str">
        <f t="shared" si="7"/>
        <v>0030522428163</v>
      </c>
      <c r="K11" s="43" t="str">
        <f t="shared" si="8"/>
        <v>901</v>
      </c>
      <c r="L11" s="43">
        <f t="shared" si="9"/>
        <v>6</v>
      </c>
      <c r="M11" s="43" t="str">
        <f t="shared" si="0"/>
        <v>06</v>
      </c>
      <c r="N11" s="43">
        <f t="shared" si="10"/>
        <v>1</v>
      </c>
      <c r="O11" s="43" t="str">
        <f t="shared" si="1"/>
        <v>01</v>
      </c>
      <c r="P11" s="43">
        <f t="shared" si="11"/>
        <v>2020</v>
      </c>
      <c r="Q11" s="43" t="str">
        <f t="shared" si="2"/>
        <v>2020</v>
      </c>
      <c r="R11" s="43" t="str">
        <f t="shared" si="12"/>
        <v>06/01/2020</v>
      </c>
      <c r="S11" s="31" t="str">
        <f t="shared" si="13"/>
        <v>0001</v>
      </c>
      <c r="T11" s="31" t="str">
        <f t="shared" si="14"/>
        <v>0000000003363865</v>
      </c>
      <c r="U11" s="31" t="str">
        <f t="shared" si="15"/>
        <v>F</v>
      </c>
      <c r="V11" s="31" t="str">
        <f t="shared" si="16"/>
        <v>A</v>
      </c>
      <c r="W11" s="31" t="str">
        <f t="shared" si="17"/>
        <v>00000000000000347917</v>
      </c>
      <c r="X11" s="31" t="str">
        <f t="shared" si="18"/>
        <v>00009938,00</v>
      </c>
      <c r="Y11" s="31" t="str">
        <f t="shared" si="4"/>
        <v>901003052242816306/01/202000010000000003363865FA0000000000000034791700009938,00</v>
      </c>
      <c r="Z11" s="31">
        <f t="shared" si="5"/>
        <v>79</v>
      </c>
      <c r="AA11" s="44">
        <v>906</v>
      </c>
      <c r="AB11" s="31" t="str">
        <f t="shared" si="6"/>
        <v>OK</v>
      </c>
    </row>
    <row r="12" spans="1:28" s="31" customFormat="1" x14ac:dyDescent="0.2">
      <c r="A12" s="38">
        <v>901</v>
      </c>
      <c r="B12" s="46">
        <v>30522428163</v>
      </c>
      <c r="C12" s="2">
        <v>43839</v>
      </c>
      <c r="D12" s="38">
        <v>1</v>
      </c>
      <c r="E12">
        <v>3365554</v>
      </c>
      <c r="F12" s="41" t="s">
        <v>50</v>
      </c>
      <c r="G12" s="42" t="s">
        <v>51</v>
      </c>
      <c r="H12">
        <v>348161</v>
      </c>
      <c r="I12" s="61" t="s">
        <v>61</v>
      </c>
      <c r="J12" s="43" t="str">
        <f t="shared" si="7"/>
        <v>0030522428163</v>
      </c>
      <c r="K12" s="43" t="str">
        <f t="shared" si="8"/>
        <v>901</v>
      </c>
      <c r="L12" s="43">
        <f t="shared" si="9"/>
        <v>9</v>
      </c>
      <c r="M12" s="43" t="str">
        <f t="shared" si="0"/>
        <v>09</v>
      </c>
      <c r="N12" s="43">
        <f t="shared" si="10"/>
        <v>1</v>
      </c>
      <c r="O12" s="43" t="str">
        <f t="shared" si="1"/>
        <v>01</v>
      </c>
      <c r="P12" s="43">
        <f t="shared" si="11"/>
        <v>2020</v>
      </c>
      <c r="Q12" s="43" t="str">
        <f t="shared" si="2"/>
        <v>2020</v>
      </c>
      <c r="R12" s="43" t="str">
        <f t="shared" si="12"/>
        <v>09/01/2020</v>
      </c>
      <c r="S12" s="31" t="str">
        <f t="shared" si="13"/>
        <v>0001</v>
      </c>
      <c r="T12" s="31" t="str">
        <f t="shared" si="14"/>
        <v>0000000003365554</v>
      </c>
      <c r="U12" s="31" t="str">
        <f t="shared" si="15"/>
        <v>F</v>
      </c>
      <c r="V12" s="31" t="str">
        <f t="shared" si="16"/>
        <v>A</v>
      </c>
      <c r="W12" s="31" t="str">
        <f t="shared" si="17"/>
        <v>00000000000000348161</v>
      </c>
      <c r="X12" s="31" t="str">
        <f t="shared" si="18"/>
        <v>00010293,34</v>
      </c>
      <c r="Y12" s="31" t="str">
        <f t="shared" si="4"/>
        <v>901003052242816309/01/202000010000000003365554FA0000000000000034816100010293,34</v>
      </c>
      <c r="Z12" s="31">
        <f t="shared" si="5"/>
        <v>79</v>
      </c>
      <c r="AA12" s="44">
        <v>907</v>
      </c>
      <c r="AB12" s="31" t="str">
        <f t="shared" si="6"/>
        <v>OK</v>
      </c>
    </row>
    <row r="13" spans="1:28" s="31" customFormat="1" x14ac:dyDescent="0.2">
      <c r="A13" s="38">
        <v>901</v>
      </c>
      <c r="B13" s="46">
        <v>30522428163</v>
      </c>
      <c r="C13" s="2">
        <v>43846</v>
      </c>
      <c r="D13" s="38">
        <v>1</v>
      </c>
      <c r="E13">
        <v>3373559</v>
      </c>
      <c r="F13" s="41" t="s">
        <v>50</v>
      </c>
      <c r="G13" s="42" t="s">
        <v>51</v>
      </c>
      <c r="H13">
        <v>348883</v>
      </c>
      <c r="I13" s="61" t="s">
        <v>62</v>
      </c>
      <c r="J13" s="43" t="str">
        <f t="shared" si="7"/>
        <v>0030522428163</v>
      </c>
      <c r="K13" s="43" t="str">
        <f t="shared" si="8"/>
        <v>901</v>
      </c>
      <c r="L13" s="43">
        <f t="shared" si="9"/>
        <v>16</v>
      </c>
      <c r="M13" s="43" t="str">
        <f t="shared" si="0"/>
        <v>16</v>
      </c>
      <c r="N13" s="43">
        <f t="shared" si="10"/>
        <v>1</v>
      </c>
      <c r="O13" s="43" t="str">
        <f t="shared" si="1"/>
        <v>01</v>
      </c>
      <c r="P13" s="43">
        <f t="shared" si="11"/>
        <v>2020</v>
      </c>
      <c r="Q13" s="43" t="str">
        <f t="shared" si="2"/>
        <v>2020</v>
      </c>
      <c r="R13" s="43" t="str">
        <f t="shared" si="12"/>
        <v>16/01/2020</v>
      </c>
      <c r="S13" s="31" t="str">
        <f t="shared" si="13"/>
        <v>0001</v>
      </c>
      <c r="T13" s="31" t="str">
        <f t="shared" si="14"/>
        <v>0000000003373559</v>
      </c>
      <c r="U13" s="31" t="str">
        <f t="shared" si="15"/>
        <v>F</v>
      </c>
      <c r="V13" s="31" t="str">
        <f t="shared" si="16"/>
        <v>A</v>
      </c>
      <c r="W13" s="31" t="str">
        <f t="shared" si="17"/>
        <v>00000000000000348883</v>
      </c>
      <c r="X13" s="31" t="str">
        <f t="shared" si="18"/>
        <v>00003370,98</v>
      </c>
      <c r="Y13" s="31" t="str">
        <f t="shared" si="4"/>
        <v>901003052242816316/01/202000010000000003373559FA0000000000000034888300003370,98</v>
      </c>
      <c r="Z13" s="31">
        <f t="shared" si="5"/>
        <v>79</v>
      </c>
      <c r="AA13" s="44">
        <v>908</v>
      </c>
      <c r="AB13" s="31" t="str">
        <f t="shared" si="6"/>
        <v>OK</v>
      </c>
    </row>
    <row r="14" spans="1:28" s="31" customFormat="1" x14ac:dyDescent="0.2">
      <c r="A14" s="38">
        <v>901</v>
      </c>
      <c r="B14" s="46">
        <v>30522428163</v>
      </c>
      <c r="C14" s="2">
        <v>43851</v>
      </c>
      <c r="D14" s="38">
        <v>1</v>
      </c>
      <c r="E14">
        <v>3374572</v>
      </c>
      <c r="F14" s="41" t="s">
        <v>50</v>
      </c>
      <c r="G14" s="42" t="s">
        <v>51</v>
      </c>
      <c r="H14">
        <v>349031</v>
      </c>
      <c r="I14" s="61" t="s">
        <v>63</v>
      </c>
      <c r="J14" s="43" t="str">
        <f t="shared" si="7"/>
        <v>0030522428163</v>
      </c>
      <c r="K14" s="43" t="str">
        <f t="shared" si="8"/>
        <v>901</v>
      </c>
      <c r="L14" s="43">
        <f t="shared" si="9"/>
        <v>21</v>
      </c>
      <c r="M14" s="43" t="str">
        <f t="shared" si="0"/>
        <v>21</v>
      </c>
      <c r="N14" s="43">
        <f t="shared" si="10"/>
        <v>1</v>
      </c>
      <c r="O14" s="43" t="str">
        <f t="shared" si="1"/>
        <v>01</v>
      </c>
      <c r="P14" s="43">
        <f t="shared" si="11"/>
        <v>2020</v>
      </c>
      <c r="Q14" s="43" t="str">
        <f t="shared" si="2"/>
        <v>2020</v>
      </c>
      <c r="R14" s="43" t="str">
        <f t="shared" si="12"/>
        <v>21/01/2020</v>
      </c>
      <c r="S14" s="31" t="str">
        <f t="shared" si="13"/>
        <v>0001</v>
      </c>
      <c r="T14" s="31" t="str">
        <f t="shared" si="14"/>
        <v>0000000003374572</v>
      </c>
      <c r="U14" s="31" t="str">
        <f t="shared" si="15"/>
        <v>F</v>
      </c>
      <c r="V14" s="31" t="str">
        <f t="shared" si="16"/>
        <v>A</v>
      </c>
      <c r="W14" s="31" t="str">
        <f t="shared" si="17"/>
        <v>00000000000000349031</v>
      </c>
      <c r="X14" s="31" t="str">
        <f t="shared" si="18"/>
        <v>00001048,14</v>
      </c>
      <c r="Y14" s="31" t="str">
        <f t="shared" si="4"/>
        <v>901003052242816321/01/202000010000000003374572FA0000000000000034903100001048,14</v>
      </c>
      <c r="Z14" s="31">
        <f t="shared" si="5"/>
        <v>79</v>
      </c>
      <c r="AA14" s="44">
        <v>909</v>
      </c>
      <c r="AB14" s="31" t="str">
        <f t="shared" si="6"/>
        <v>OK</v>
      </c>
    </row>
    <row r="15" spans="1:28" s="31" customFormat="1" x14ac:dyDescent="0.2">
      <c r="A15" s="38">
        <v>901</v>
      </c>
      <c r="B15" s="46">
        <v>30522428163</v>
      </c>
      <c r="C15" s="2">
        <v>43851</v>
      </c>
      <c r="D15" s="38">
        <v>1</v>
      </c>
      <c r="E15">
        <v>3374571</v>
      </c>
      <c r="F15" s="41" t="s">
        <v>50</v>
      </c>
      <c r="G15" s="42" t="s">
        <v>51</v>
      </c>
      <c r="H15">
        <v>349030</v>
      </c>
      <c r="I15" s="61" t="s">
        <v>64</v>
      </c>
      <c r="J15" s="43" t="str">
        <f t="shared" si="7"/>
        <v>0030522428163</v>
      </c>
      <c r="K15" s="43" t="str">
        <f t="shared" si="8"/>
        <v>901</v>
      </c>
      <c r="L15" s="43">
        <f t="shared" si="9"/>
        <v>21</v>
      </c>
      <c r="M15" s="43" t="str">
        <f t="shared" si="0"/>
        <v>21</v>
      </c>
      <c r="N15" s="43">
        <f t="shared" si="10"/>
        <v>1</v>
      </c>
      <c r="O15" s="43" t="str">
        <f t="shared" si="1"/>
        <v>01</v>
      </c>
      <c r="P15" s="43">
        <f t="shared" si="11"/>
        <v>2020</v>
      </c>
      <c r="Q15" s="43" t="str">
        <f t="shared" si="2"/>
        <v>2020</v>
      </c>
      <c r="R15" s="43" t="str">
        <f t="shared" si="12"/>
        <v>21/01/2020</v>
      </c>
      <c r="S15" s="31" t="str">
        <f t="shared" si="13"/>
        <v>0001</v>
      </c>
      <c r="T15" s="31" t="str">
        <f t="shared" si="14"/>
        <v>0000000003374571</v>
      </c>
      <c r="U15" s="31" t="str">
        <f t="shared" si="15"/>
        <v>F</v>
      </c>
      <c r="V15" s="31" t="str">
        <f t="shared" si="16"/>
        <v>A</v>
      </c>
      <c r="W15" s="31" t="str">
        <f t="shared" si="17"/>
        <v>00000000000000349030</v>
      </c>
      <c r="X15" s="31" t="str">
        <f t="shared" si="18"/>
        <v>00001444,63</v>
      </c>
      <c r="Y15" s="31" t="str">
        <f t="shared" si="4"/>
        <v>901003052242816321/01/202000010000000003374571FA0000000000000034903000001444,63</v>
      </c>
      <c r="Z15" s="31">
        <f t="shared" si="5"/>
        <v>79</v>
      </c>
      <c r="AA15" s="44">
        <v>910</v>
      </c>
      <c r="AB15" s="31" t="str">
        <f t="shared" si="6"/>
        <v>OK</v>
      </c>
    </row>
    <row r="16" spans="1:28" s="31" customFormat="1" x14ac:dyDescent="0.2">
      <c r="A16" s="38">
        <v>901</v>
      </c>
      <c r="B16" s="46">
        <v>30522428163</v>
      </c>
      <c r="C16" s="2">
        <v>43853</v>
      </c>
      <c r="D16" s="38">
        <v>1</v>
      </c>
      <c r="E16">
        <v>3375669</v>
      </c>
      <c r="F16" s="41" t="s">
        <v>50</v>
      </c>
      <c r="G16" s="42" t="s">
        <v>51</v>
      </c>
      <c r="H16">
        <v>349163</v>
      </c>
      <c r="I16" s="61" t="s">
        <v>65</v>
      </c>
      <c r="J16" s="43" t="str">
        <f t="shared" si="7"/>
        <v>0030522428163</v>
      </c>
      <c r="K16" s="43" t="str">
        <f t="shared" si="8"/>
        <v>901</v>
      </c>
      <c r="L16" s="43">
        <f t="shared" si="9"/>
        <v>23</v>
      </c>
      <c r="M16" s="43" t="str">
        <f t="shared" si="0"/>
        <v>23</v>
      </c>
      <c r="N16" s="43">
        <f t="shared" si="10"/>
        <v>1</v>
      </c>
      <c r="O16" s="43" t="str">
        <f t="shared" si="1"/>
        <v>01</v>
      </c>
      <c r="P16" s="43">
        <f t="shared" si="11"/>
        <v>2020</v>
      </c>
      <c r="Q16" s="43" t="str">
        <f t="shared" si="2"/>
        <v>2020</v>
      </c>
      <c r="R16" s="43" t="str">
        <f t="shared" si="12"/>
        <v>23/01/2020</v>
      </c>
      <c r="S16" s="31" t="str">
        <f t="shared" si="13"/>
        <v>0001</v>
      </c>
      <c r="T16" s="31" t="str">
        <f t="shared" si="14"/>
        <v>0000000003375669</v>
      </c>
      <c r="U16" s="31" t="str">
        <f t="shared" si="15"/>
        <v>F</v>
      </c>
      <c r="V16" s="31" t="str">
        <f t="shared" si="16"/>
        <v>A</v>
      </c>
      <c r="W16" s="31" t="str">
        <f t="shared" si="17"/>
        <v>00000000000000349163</v>
      </c>
      <c r="X16" s="31" t="str">
        <f t="shared" si="18"/>
        <v>00002821,17</v>
      </c>
      <c r="Y16" s="31" t="str">
        <f t="shared" si="4"/>
        <v>901003052242816323/01/202000010000000003375669FA0000000000000034916300002821,17</v>
      </c>
      <c r="Z16" s="31">
        <f t="shared" si="5"/>
        <v>79</v>
      </c>
      <c r="AA16" s="44">
        <v>911</v>
      </c>
      <c r="AB16" s="31" t="str">
        <f t="shared" si="6"/>
        <v>OK</v>
      </c>
    </row>
    <row r="17" spans="1:28" s="31" customFormat="1" x14ac:dyDescent="0.2">
      <c r="A17" s="38">
        <v>901</v>
      </c>
      <c r="B17" s="46">
        <v>30522428163</v>
      </c>
      <c r="C17" s="2">
        <v>43857</v>
      </c>
      <c r="D17" s="38">
        <v>1</v>
      </c>
      <c r="E17">
        <v>3376478</v>
      </c>
      <c r="F17" s="41" t="s">
        <v>50</v>
      </c>
      <c r="G17" s="42" t="s">
        <v>51</v>
      </c>
      <c r="H17">
        <v>349249</v>
      </c>
      <c r="I17" s="61" t="s">
        <v>66</v>
      </c>
      <c r="J17" s="43" t="str">
        <f t="shared" si="7"/>
        <v>0030522428163</v>
      </c>
      <c r="K17" s="43" t="str">
        <f t="shared" si="8"/>
        <v>901</v>
      </c>
      <c r="L17" s="43">
        <f t="shared" si="9"/>
        <v>27</v>
      </c>
      <c r="M17" s="43" t="str">
        <f t="shared" si="0"/>
        <v>27</v>
      </c>
      <c r="N17" s="43">
        <f t="shared" si="10"/>
        <v>1</v>
      </c>
      <c r="O17" s="43" t="str">
        <f t="shared" si="1"/>
        <v>01</v>
      </c>
      <c r="P17" s="43">
        <f t="shared" si="11"/>
        <v>2020</v>
      </c>
      <c r="Q17" s="43" t="str">
        <f t="shared" si="2"/>
        <v>2020</v>
      </c>
      <c r="R17" s="43" t="str">
        <f t="shared" si="12"/>
        <v>27/01/2020</v>
      </c>
      <c r="S17" s="31" t="str">
        <f t="shared" si="13"/>
        <v>0001</v>
      </c>
      <c r="T17" s="31" t="str">
        <f t="shared" si="14"/>
        <v>0000000003376478</v>
      </c>
      <c r="U17" s="31" t="str">
        <f t="shared" si="15"/>
        <v>F</v>
      </c>
      <c r="V17" s="31" t="str">
        <f t="shared" si="16"/>
        <v>A</v>
      </c>
      <c r="W17" s="31" t="str">
        <f t="shared" si="17"/>
        <v>00000000000000349249</v>
      </c>
      <c r="X17" s="31" t="str">
        <f t="shared" si="18"/>
        <v>00010005,19</v>
      </c>
      <c r="Y17" s="31" t="str">
        <f t="shared" si="4"/>
        <v>901003052242816327/01/202000010000000003376478FA0000000000000034924900010005,19</v>
      </c>
      <c r="Z17" s="31">
        <f t="shared" si="5"/>
        <v>79</v>
      </c>
      <c r="AA17" s="44">
        <v>912</v>
      </c>
      <c r="AB17" s="31" t="str">
        <f t="shared" si="6"/>
        <v>OK</v>
      </c>
    </row>
    <row r="18" spans="1:28" s="31" customFormat="1" x14ac:dyDescent="0.2">
      <c r="A18" s="38">
        <v>901</v>
      </c>
      <c r="B18" s="46">
        <v>30522428163</v>
      </c>
      <c r="C18" s="2">
        <v>43861</v>
      </c>
      <c r="D18" s="38">
        <v>1</v>
      </c>
      <c r="E18">
        <v>3380601</v>
      </c>
      <c r="F18" s="41" t="s">
        <v>50</v>
      </c>
      <c r="G18" s="42" t="s">
        <v>51</v>
      </c>
      <c r="H18">
        <v>349490</v>
      </c>
      <c r="I18" s="61" t="s">
        <v>67</v>
      </c>
      <c r="J18" s="43" t="str">
        <f t="shared" si="7"/>
        <v>0030522428163</v>
      </c>
      <c r="K18" s="43" t="str">
        <f t="shared" si="8"/>
        <v>901</v>
      </c>
      <c r="L18" s="43">
        <f t="shared" si="9"/>
        <v>31</v>
      </c>
      <c r="M18" s="43" t="str">
        <f t="shared" si="0"/>
        <v>31</v>
      </c>
      <c r="N18" s="43">
        <f t="shared" si="10"/>
        <v>1</v>
      </c>
      <c r="O18" s="43" t="str">
        <f t="shared" si="1"/>
        <v>01</v>
      </c>
      <c r="P18" s="43">
        <f t="shared" si="11"/>
        <v>2020</v>
      </c>
      <c r="Q18" s="43" t="str">
        <f t="shared" si="2"/>
        <v>2020</v>
      </c>
      <c r="R18" s="43" t="str">
        <f t="shared" si="12"/>
        <v>31/01/2020</v>
      </c>
      <c r="S18" s="31" t="str">
        <f t="shared" si="13"/>
        <v>0001</v>
      </c>
      <c r="T18" s="31" t="str">
        <f t="shared" si="14"/>
        <v>0000000003380601</v>
      </c>
      <c r="U18" s="31" t="str">
        <f t="shared" si="15"/>
        <v>F</v>
      </c>
      <c r="V18" s="31" t="str">
        <f t="shared" si="16"/>
        <v>A</v>
      </c>
      <c r="W18" s="31" t="str">
        <f t="shared" si="17"/>
        <v>00000000000000349490</v>
      </c>
      <c r="X18" s="31" t="str">
        <f t="shared" si="18"/>
        <v>00030181,78</v>
      </c>
      <c r="Y18" s="31" t="str">
        <f t="shared" si="4"/>
        <v>901003052242816331/01/202000010000000003380601FA0000000000000034949000030181,78</v>
      </c>
      <c r="Z18" s="31">
        <f t="shared" si="5"/>
        <v>79</v>
      </c>
      <c r="AA18" s="44">
        <v>913</v>
      </c>
      <c r="AB18" s="31" t="str">
        <f t="shared" si="6"/>
        <v>OK</v>
      </c>
    </row>
    <row r="19" spans="1:28" s="31" customFormat="1" x14ac:dyDescent="0.2">
      <c r="A19" s="38">
        <v>901</v>
      </c>
      <c r="B19" s="46">
        <v>30546771314</v>
      </c>
      <c r="C19" s="2">
        <v>43833</v>
      </c>
      <c r="D19" s="38">
        <v>1</v>
      </c>
      <c r="E19">
        <v>2020152100</v>
      </c>
      <c r="F19" s="41" t="s">
        <v>50</v>
      </c>
      <c r="G19" s="42" t="s">
        <v>51</v>
      </c>
      <c r="H19" s="46">
        <v>152100</v>
      </c>
      <c r="I19" s="61" t="s">
        <v>68</v>
      </c>
      <c r="J19" s="43" t="str">
        <f t="shared" si="7"/>
        <v>0030546771314</v>
      </c>
      <c r="K19" s="43" t="str">
        <f t="shared" si="8"/>
        <v>901</v>
      </c>
      <c r="L19" s="43">
        <f t="shared" si="9"/>
        <v>3</v>
      </c>
      <c r="M19" s="43" t="str">
        <f t="shared" si="0"/>
        <v>03</v>
      </c>
      <c r="N19" s="43">
        <f t="shared" si="10"/>
        <v>1</v>
      </c>
      <c r="O19" s="43" t="str">
        <f t="shared" si="1"/>
        <v>01</v>
      </c>
      <c r="P19" s="43">
        <f t="shared" si="11"/>
        <v>2020</v>
      </c>
      <c r="Q19" s="43" t="str">
        <f t="shared" si="2"/>
        <v>2020</v>
      </c>
      <c r="R19" s="43" t="str">
        <f t="shared" si="12"/>
        <v>03/01/2020</v>
      </c>
      <c r="S19" s="31" t="str">
        <f t="shared" si="13"/>
        <v>0001</v>
      </c>
      <c r="T19" s="31" t="str">
        <f t="shared" si="14"/>
        <v>0000002020152100</v>
      </c>
      <c r="U19" s="31" t="str">
        <f t="shared" si="15"/>
        <v>F</v>
      </c>
      <c r="V19" s="31" t="str">
        <f t="shared" si="16"/>
        <v>A</v>
      </c>
      <c r="W19" s="31" t="str">
        <f t="shared" si="17"/>
        <v>00000000000000152100</v>
      </c>
      <c r="X19" s="31" t="str">
        <f t="shared" si="18"/>
        <v>00002053,55</v>
      </c>
      <c r="Y19" s="31" t="str">
        <f t="shared" si="4"/>
        <v>901003054677131403/01/202000010000002020152100FA0000000000000015210000002053,55</v>
      </c>
      <c r="Z19" s="31">
        <f t="shared" si="5"/>
        <v>79</v>
      </c>
      <c r="AA19" s="44">
        <v>914</v>
      </c>
      <c r="AB19" s="31" t="str">
        <f t="shared" si="6"/>
        <v>OK</v>
      </c>
    </row>
    <row r="20" spans="1:28" s="31" customFormat="1" x14ac:dyDescent="0.2">
      <c r="A20" s="38">
        <v>901</v>
      </c>
      <c r="B20" s="46">
        <v>30571421352</v>
      </c>
      <c r="C20" s="2">
        <v>43861</v>
      </c>
      <c r="D20" s="38">
        <v>1</v>
      </c>
      <c r="E20">
        <v>2601307461</v>
      </c>
      <c r="F20" s="41" t="s">
        <v>50</v>
      </c>
      <c r="G20" s="42" t="s">
        <v>51</v>
      </c>
      <c r="H20">
        <v>1307461</v>
      </c>
      <c r="I20" s="61" t="s">
        <v>69</v>
      </c>
      <c r="J20" s="43" t="str">
        <f t="shared" si="7"/>
        <v>0030571421352</v>
      </c>
      <c r="K20" s="43" t="str">
        <f t="shared" si="8"/>
        <v>901</v>
      </c>
      <c r="L20" s="43">
        <f t="shared" si="9"/>
        <v>31</v>
      </c>
      <c r="M20" s="43" t="str">
        <f t="shared" si="0"/>
        <v>31</v>
      </c>
      <c r="N20" s="43">
        <f t="shared" si="10"/>
        <v>1</v>
      </c>
      <c r="O20" s="43" t="str">
        <f t="shared" si="1"/>
        <v>01</v>
      </c>
      <c r="P20" s="43">
        <f t="shared" si="11"/>
        <v>2020</v>
      </c>
      <c r="Q20" s="43" t="str">
        <f t="shared" si="2"/>
        <v>2020</v>
      </c>
      <c r="R20" s="43" t="str">
        <f t="shared" si="12"/>
        <v>31/01/2020</v>
      </c>
      <c r="S20" s="31" t="str">
        <f t="shared" si="13"/>
        <v>0001</v>
      </c>
      <c r="T20" s="31" t="str">
        <f t="shared" si="14"/>
        <v>0000002601307461</v>
      </c>
      <c r="U20" s="31" t="str">
        <f t="shared" si="15"/>
        <v>F</v>
      </c>
      <c r="V20" s="31" t="str">
        <f t="shared" si="16"/>
        <v>A</v>
      </c>
      <c r="W20" s="31" t="str">
        <f t="shared" si="17"/>
        <v>00000000000001307461</v>
      </c>
      <c r="X20" s="31" t="str">
        <f t="shared" si="18"/>
        <v>00000144,95</v>
      </c>
      <c r="Y20" s="31" t="str">
        <f t="shared" si="4"/>
        <v>901003057142135231/01/202000010000002601307461FA0000000000000130746100000144,95</v>
      </c>
      <c r="Z20" s="31">
        <f t="shared" si="5"/>
        <v>79</v>
      </c>
      <c r="AA20" s="44">
        <v>915</v>
      </c>
      <c r="AB20" s="31" t="str">
        <f t="shared" si="6"/>
        <v>OK</v>
      </c>
    </row>
    <row r="21" spans="1:28" s="31" customFormat="1" x14ac:dyDescent="0.2">
      <c r="A21" s="38">
        <v>901</v>
      </c>
      <c r="B21" s="46">
        <v>30571421352</v>
      </c>
      <c r="C21" s="2">
        <v>43861</v>
      </c>
      <c r="D21" s="38">
        <v>1</v>
      </c>
      <c r="E21">
        <v>2601307404</v>
      </c>
      <c r="F21" s="41" t="s">
        <v>50</v>
      </c>
      <c r="G21" s="42" t="s">
        <v>51</v>
      </c>
      <c r="H21">
        <v>1307404</v>
      </c>
      <c r="I21" s="61" t="s">
        <v>70</v>
      </c>
      <c r="J21" s="43" t="str">
        <f t="shared" si="7"/>
        <v>0030571421352</v>
      </c>
      <c r="K21" s="43" t="str">
        <f t="shared" si="8"/>
        <v>901</v>
      </c>
      <c r="L21" s="43">
        <f t="shared" si="9"/>
        <v>31</v>
      </c>
      <c r="M21" s="43" t="str">
        <f t="shared" si="0"/>
        <v>31</v>
      </c>
      <c r="N21" s="43">
        <f t="shared" si="10"/>
        <v>1</v>
      </c>
      <c r="O21" s="43" t="str">
        <f t="shared" si="1"/>
        <v>01</v>
      </c>
      <c r="P21" s="43">
        <f t="shared" si="11"/>
        <v>2020</v>
      </c>
      <c r="Q21" s="43" t="str">
        <f t="shared" si="2"/>
        <v>2020</v>
      </c>
      <c r="R21" s="43" t="str">
        <f t="shared" si="12"/>
        <v>31/01/2020</v>
      </c>
      <c r="S21" s="31" t="str">
        <f t="shared" si="13"/>
        <v>0001</v>
      </c>
      <c r="T21" s="31" t="str">
        <f t="shared" si="14"/>
        <v>0000002601307404</v>
      </c>
      <c r="U21" s="31" t="str">
        <f t="shared" si="15"/>
        <v>F</v>
      </c>
      <c r="V21" s="31" t="str">
        <f t="shared" si="16"/>
        <v>A</v>
      </c>
      <c r="W21" s="31" t="str">
        <f t="shared" si="17"/>
        <v>00000000000001307404</v>
      </c>
      <c r="X21" s="31" t="str">
        <f t="shared" si="18"/>
        <v>00000018,02</v>
      </c>
      <c r="Y21" s="31" t="str">
        <f t="shared" si="4"/>
        <v>901003057142135231/01/202000010000002601307404FA0000000000000130740400000018,02</v>
      </c>
      <c r="Z21" s="31">
        <f t="shared" si="5"/>
        <v>79</v>
      </c>
      <c r="AA21" s="44">
        <v>916</v>
      </c>
      <c r="AB21" s="31" t="str">
        <f t="shared" si="6"/>
        <v>OK</v>
      </c>
    </row>
    <row r="22" spans="1:28" s="31" customFormat="1" x14ac:dyDescent="0.2">
      <c r="A22" s="38">
        <v>901</v>
      </c>
      <c r="B22" s="46">
        <v>30571421352</v>
      </c>
      <c r="C22" s="2">
        <v>43861</v>
      </c>
      <c r="D22" s="38">
        <v>1</v>
      </c>
      <c r="E22">
        <v>2601305402</v>
      </c>
      <c r="F22" s="41" t="s">
        <v>50</v>
      </c>
      <c r="G22" s="42" t="s">
        <v>51</v>
      </c>
      <c r="H22">
        <v>1305402</v>
      </c>
      <c r="I22" s="61" t="s">
        <v>71</v>
      </c>
      <c r="J22" s="43" t="str">
        <f t="shared" si="7"/>
        <v>0030571421352</v>
      </c>
      <c r="K22" s="43" t="str">
        <f t="shared" si="8"/>
        <v>901</v>
      </c>
      <c r="L22" s="43">
        <f t="shared" si="9"/>
        <v>31</v>
      </c>
      <c r="M22" s="43" t="str">
        <f t="shared" si="0"/>
        <v>31</v>
      </c>
      <c r="N22" s="43">
        <f t="shared" si="10"/>
        <v>1</v>
      </c>
      <c r="O22" s="43" t="str">
        <f t="shared" si="1"/>
        <v>01</v>
      </c>
      <c r="P22" s="43">
        <f t="shared" si="11"/>
        <v>2020</v>
      </c>
      <c r="Q22" s="43" t="str">
        <f t="shared" si="2"/>
        <v>2020</v>
      </c>
      <c r="R22" s="43" t="str">
        <f t="shared" si="12"/>
        <v>31/01/2020</v>
      </c>
      <c r="S22" s="31" t="str">
        <f t="shared" si="13"/>
        <v>0001</v>
      </c>
      <c r="T22" s="31" t="str">
        <f t="shared" si="14"/>
        <v>0000002601305402</v>
      </c>
      <c r="U22" s="31" t="str">
        <f t="shared" si="15"/>
        <v>F</v>
      </c>
      <c r="V22" s="31" t="str">
        <f t="shared" si="16"/>
        <v>A</v>
      </c>
      <c r="W22" s="31" t="str">
        <f t="shared" si="17"/>
        <v>00000000000001305402</v>
      </c>
      <c r="X22" s="31" t="str">
        <f t="shared" si="18"/>
        <v>00000218,16</v>
      </c>
      <c r="Y22" s="31" t="str">
        <f t="shared" si="4"/>
        <v>901003057142135231/01/202000010000002601305402FA0000000000000130540200000218,16</v>
      </c>
      <c r="Z22" s="31">
        <f t="shared" si="5"/>
        <v>79</v>
      </c>
      <c r="AA22" s="44">
        <v>917</v>
      </c>
      <c r="AB22" s="31" t="str">
        <f t="shared" si="6"/>
        <v>OK</v>
      </c>
    </row>
    <row r="23" spans="1:28" s="31" customFormat="1" x14ac:dyDescent="0.2">
      <c r="A23" s="38">
        <v>901</v>
      </c>
      <c r="B23" s="46">
        <v>30571421352</v>
      </c>
      <c r="C23" s="2">
        <v>43861</v>
      </c>
      <c r="D23" s="38">
        <v>1</v>
      </c>
      <c r="E23">
        <v>2601305356</v>
      </c>
      <c r="F23" s="41" t="s">
        <v>50</v>
      </c>
      <c r="G23" s="42" t="s">
        <v>51</v>
      </c>
      <c r="H23">
        <v>1305356</v>
      </c>
      <c r="I23" s="61" t="s">
        <v>72</v>
      </c>
      <c r="J23" s="43" t="str">
        <f t="shared" si="7"/>
        <v>0030571421352</v>
      </c>
      <c r="K23" s="43" t="str">
        <f t="shared" si="8"/>
        <v>901</v>
      </c>
      <c r="L23" s="43">
        <f t="shared" si="9"/>
        <v>31</v>
      </c>
      <c r="M23" s="43" t="str">
        <f t="shared" si="0"/>
        <v>31</v>
      </c>
      <c r="N23" s="43">
        <f t="shared" si="10"/>
        <v>1</v>
      </c>
      <c r="O23" s="43" t="str">
        <f t="shared" si="1"/>
        <v>01</v>
      </c>
      <c r="P23" s="43">
        <f t="shared" si="11"/>
        <v>2020</v>
      </c>
      <c r="Q23" s="43" t="str">
        <f t="shared" si="2"/>
        <v>2020</v>
      </c>
      <c r="R23" s="43" t="str">
        <f t="shared" si="12"/>
        <v>31/01/2020</v>
      </c>
      <c r="S23" s="31" t="str">
        <f t="shared" si="13"/>
        <v>0001</v>
      </c>
      <c r="T23" s="31" t="str">
        <f t="shared" si="14"/>
        <v>0000002601305356</v>
      </c>
      <c r="U23" s="31" t="str">
        <f t="shared" si="15"/>
        <v>F</v>
      </c>
      <c r="V23" s="31" t="str">
        <f t="shared" si="16"/>
        <v>A</v>
      </c>
      <c r="W23" s="31" t="str">
        <f t="shared" si="17"/>
        <v>00000000000001305356</v>
      </c>
      <c r="X23" s="31" t="str">
        <f t="shared" si="18"/>
        <v>00000019,01</v>
      </c>
      <c r="Y23" s="31" t="str">
        <f t="shared" si="4"/>
        <v>901003057142135231/01/202000010000002601305356FA0000000000000130535600000019,01</v>
      </c>
      <c r="Z23" s="31">
        <f t="shared" si="5"/>
        <v>79</v>
      </c>
      <c r="AA23" s="44">
        <v>918</v>
      </c>
      <c r="AB23" s="31" t="str">
        <f t="shared" si="6"/>
        <v>OK</v>
      </c>
    </row>
    <row r="24" spans="1:28" s="31" customFormat="1" x14ac:dyDescent="0.2">
      <c r="A24" s="38">
        <v>901</v>
      </c>
      <c r="B24" s="46">
        <v>30571421352</v>
      </c>
      <c r="C24" s="2">
        <v>43861</v>
      </c>
      <c r="D24" s="38">
        <v>1</v>
      </c>
      <c r="E24">
        <v>297224</v>
      </c>
      <c r="F24" s="41" t="s">
        <v>50</v>
      </c>
      <c r="G24" s="42" t="s">
        <v>51</v>
      </c>
      <c r="H24">
        <v>297224</v>
      </c>
      <c r="I24" s="61" t="s">
        <v>73</v>
      </c>
      <c r="J24" s="43" t="str">
        <f t="shared" si="7"/>
        <v>0030571421352</v>
      </c>
      <c r="K24" s="43" t="str">
        <f t="shared" si="8"/>
        <v>901</v>
      </c>
      <c r="L24" s="43">
        <f t="shared" si="9"/>
        <v>31</v>
      </c>
      <c r="M24" s="43" t="str">
        <f t="shared" si="0"/>
        <v>31</v>
      </c>
      <c r="N24" s="43">
        <f t="shared" si="10"/>
        <v>1</v>
      </c>
      <c r="O24" s="43" t="str">
        <f t="shared" si="1"/>
        <v>01</v>
      </c>
      <c r="P24" s="43">
        <f t="shared" si="11"/>
        <v>2020</v>
      </c>
      <c r="Q24" s="43" t="str">
        <f t="shared" si="2"/>
        <v>2020</v>
      </c>
      <c r="R24" s="43" t="str">
        <f t="shared" si="12"/>
        <v>31/01/2020</v>
      </c>
      <c r="S24" s="31" t="str">
        <f t="shared" si="13"/>
        <v>0001</v>
      </c>
      <c r="T24" s="31" t="str">
        <f t="shared" si="14"/>
        <v>0000000000297224</v>
      </c>
      <c r="U24" s="31" t="str">
        <f t="shared" si="15"/>
        <v>F</v>
      </c>
      <c r="V24" s="31" t="str">
        <f t="shared" si="16"/>
        <v>A</v>
      </c>
      <c r="W24" s="31" t="str">
        <f t="shared" si="17"/>
        <v>00000000000000297224</v>
      </c>
      <c r="X24" s="31" t="str">
        <f t="shared" si="18"/>
        <v>00000030,01</v>
      </c>
      <c r="Y24" s="31" t="str">
        <f t="shared" si="4"/>
        <v>901003057142135231/01/202000010000000000297224FA0000000000000029722400000030,01</v>
      </c>
      <c r="Z24" s="31">
        <f t="shared" si="5"/>
        <v>79</v>
      </c>
      <c r="AA24" s="44">
        <v>919</v>
      </c>
      <c r="AB24" s="31" t="str">
        <f t="shared" si="6"/>
        <v>OK</v>
      </c>
    </row>
    <row r="25" spans="1:28" s="31" customFormat="1" x14ac:dyDescent="0.2">
      <c r="A25" s="38">
        <v>901</v>
      </c>
      <c r="B25" s="46">
        <v>30571421352</v>
      </c>
      <c r="C25" s="2">
        <v>43832</v>
      </c>
      <c r="D25" s="38">
        <v>1</v>
      </c>
      <c r="E25">
        <v>2601302173</v>
      </c>
      <c r="F25" s="41" t="s">
        <v>50</v>
      </c>
      <c r="G25" s="42" t="s">
        <v>51</v>
      </c>
      <c r="H25">
        <v>1302173</v>
      </c>
      <c r="I25" s="61" t="s">
        <v>74</v>
      </c>
      <c r="J25" s="43" t="str">
        <f t="shared" si="7"/>
        <v>0030571421352</v>
      </c>
      <c r="K25" s="43" t="str">
        <f t="shared" si="8"/>
        <v>901</v>
      </c>
      <c r="L25" s="43">
        <f t="shared" si="9"/>
        <v>2</v>
      </c>
      <c r="M25" s="43" t="str">
        <f t="shared" si="0"/>
        <v>02</v>
      </c>
      <c r="N25" s="43">
        <f t="shared" si="10"/>
        <v>1</v>
      </c>
      <c r="O25" s="43" t="str">
        <f t="shared" si="1"/>
        <v>01</v>
      </c>
      <c r="P25" s="43">
        <f t="shared" si="11"/>
        <v>2020</v>
      </c>
      <c r="Q25" s="43" t="str">
        <f t="shared" si="2"/>
        <v>2020</v>
      </c>
      <c r="R25" s="43" t="str">
        <f t="shared" si="12"/>
        <v>02/01/2020</v>
      </c>
      <c r="S25" s="31" t="str">
        <f t="shared" si="13"/>
        <v>0001</v>
      </c>
      <c r="T25" s="31" t="str">
        <f t="shared" si="14"/>
        <v>0000002601302173</v>
      </c>
      <c r="U25" s="31" t="str">
        <f t="shared" si="15"/>
        <v>F</v>
      </c>
      <c r="V25" s="31" t="str">
        <f t="shared" si="16"/>
        <v>A</v>
      </c>
      <c r="W25" s="31" t="str">
        <f t="shared" si="17"/>
        <v>00000000000001302173</v>
      </c>
      <c r="X25" s="31" t="str">
        <f t="shared" si="18"/>
        <v>00000015,35</v>
      </c>
      <c r="Y25" s="31" t="str">
        <f t="shared" si="4"/>
        <v>901003057142135202/01/202000010000002601302173FA0000000000000130217300000015,35</v>
      </c>
      <c r="Z25" s="31">
        <f t="shared" si="5"/>
        <v>79</v>
      </c>
      <c r="AA25" s="44">
        <v>920</v>
      </c>
      <c r="AB25" s="31" t="str">
        <f t="shared" si="6"/>
        <v>OK</v>
      </c>
    </row>
    <row r="26" spans="1:28" s="31" customFormat="1" x14ac:dyDescent="0.2">
      <c r="A26" s="38">
        <v>901</v>
      </c>
      <c r="B26" s="46">
        <v>30571421352</v>
      </c>
      <c r="C26" s="2">
        <v>43832</v>
      </c>
      <c r="D26" s="38">
        <v>1</v>
      </c>
      <c r="E26">
        <v>2601302004</v>
      </c>
      <c r="F26" s="41" t="s">
        <v>50</v>
      </c>
      <c r="G26" s="42" t="s">
        <v>51</v>
      </c>
      <c r="H26">
        <v>1302004</v>
      </c>
      <c r="I26" s="61" t="s">
        <v>75</v>
      </c>
      <c r="J26" s="43" t="str">
        <f t="shared" si="7"/>
        <v>0030571421352</v>
      </c>
      <c r="K26" s="43" t="str">
        <f t="shared" si="8"/>
        <v>901</v>
      </c>
      <c r="L26" s="43">
        <f t="shared" si="9"/>
        <v>2</v>
      </c>
      <c r="M26" s="43" t="str">
        <f t="shared" si="0"/>
        <v>02</v>
      </c>
      <c r="N26" s="43">
        <f t="shared" si="10"/>
        <v>1</v>
      </c>
      <c r="O26" s="43" t="str">
        <f t="shared" si="1"/>
        <v>01</v>
      </c>
      <c r="P26" s="43">
        <f t="shared" si="11"/>
        <v>2020</v>
      </c>
      <c r="Q26" s="43" t="str">
        <f t="shared" si="2"/>
        <v>2020</v>
      </c>
      <c r="R26" s="43" t="str">
        <f t="shared" si="12"/>
        <v>02/01/2020</v>
      </c>
      <c r="S26" s="31" t="str">
        <f t="shared" si="13"/>
        <v>0001</v>
      </c>
      <c r="T26" s="31" t="str">
        <f t="shared" si="14"/>
        <v>0000002601302004</v>
      </c>
      <c r="U26" s="31" t="str">
        <f t="shared" si="15"/>
        <v>F</v>
      </c>
      <c r="V26" s="31" t="str">
        <f t="shared" si="16"/>
        <v>A</v>
      </c>
      <c r="W26" s="31" t="str">
        <f t="shared" si="17"/>
        <v>00000000000001302004</v>
      </c>
      <c r="X26" s="31" t="str">
        <f t="shared" si="18"/>
        <v>00000053,21</v>
      </c>
      <c r="Y26" s="31" t="str">
        <f t="shared" si="4"/>
        <v>901003057142135202/01/202000010000002601302004FA0000000000000130200400000053,21</v>
      </c>
      <c r="Z26" s="31">
        <f t="shared" si="5"/>
        <v>79</v>
      </c>
      <c r="AA26" s="44">
        <v>921</v>
      </c>
      <c r="AB26" s="31" t="str">
        <f t="shared" si="6"/>
        <v>OK</v>
      </c>
    </row>
    <row r="27" spans="1:28" s="31" customFormat="1" x14ac:dyDescent="0.2">
      <c r="A27" s="38">
        <v>901</v>
      </c>
      <c r="B27" s="46">
        <v>30571421352</v>
      </c>
      <c r="C27" s="2">
        <v>43832</v>
      </c>
      <c r="D27" s="38">
        <v>1</v>
      </c>
      <c r="E27">
        <v>2601301873</v>
      </c>
      <c r="F27" s="41" t="s">
        <v>50</v>
      </c>
      <c r="G27" s="42" t="s">
        <v>51</v>
      </c>
      <c r="H27">
        <v>1301873</v>
      </c>
      <c r="I27" s="61" t="s">
        <v>76</v>
      </c>
      <c r="J27" s="43" t="str">
        <f t="shared" si="7"/>
        <v>0030571421352</v>
      </c>
      <c r="K27" s="43" t="str">
        <f t="shared" si="8"/>
        <v>901</v>
      </c>
      <c r="L27" s="43">
        <f t="shared" si="9"/>
        <v>2</v>
      </c>
      <c r="M27" s="43" t="str">
        <f t="shared" si="0"/>
        <v>02</v>
      </c>
      <c r="N27" s="43">
        <f t="shared" si="10"/>
        <v>1</v>
      </c>
      <c r="O27" s="43" t="str">
        <f t="shared" si="1"/>
        <v>01</v>
      </c>
      <c r="P27" s="43">
        <f t="shared" si="11"/>
        <v>2020</v>
      </c>
      <c r="Q27" s="43" t="str">
        <f t="shared" si="2"/>
        <v>2020</v>
      </c>
      <c r="R27" s="43" t="str">
        <f t="shared" si="12"/>
        <v>02/01/2020</v>
      </c>
      <c r="S27" s="31" t="str">
        <f t="shared" si="13"/>
        <v>0001</v>
      </c>
      <c r="T27" s="31" t="str">
        <f t="shared" si="14"/>
        <v>0000002601301873</v>
      </c>
      <c r="U27" s="31" t="str">
        <f t="shared" si="15"/>
        <v>F</v>
      </c>
      <c r="V27" s="31" t="str">
        <f t="shared" si="16"/>
        <v>A</v>
      </c>
      <c r="W27" s="31" t="str">
        <f t="shared" si="17"/>
        <v>00000000000001301873</v>
      </c>
      <c r="X27" s="31" t="str">
        <f t="shared" si="18"/>
        <v>00000039,60</v>
      </c>
      <c r="Y27" s="31" t="str">
        <f t="shared" si="4"/>
        <v>901003057142135202/01/202000010000002601301873FA0000000000000130187300000039,60</v>
      </c>
      <c r="Z27" s="31">
        <f t="shared" si="5"/>
        <v>79</v>
      </c>
      <c r="AA27" s="44">
        <v>922</v>
      </c>
      <c r="AB27" s="31" t="str">
        <f t="shared" si="6"/>
        <v>OK</v>
      </c>
    </row>
    <row r="28" spans="1:28" s="31" customFormat="1" x14ac:dyDescent="0.2">
      <c r="A28" s="38">
        <v>901</v>
      </c>
      <c r="B28" s="46">
        <v>30571421352</v>
      </c>
      <c r="C28" s="2">
        <v>43832</v>
      </c>
      <c r="D28" s="38">
        <v>1</v>
      </c>
      <c r="E28">
        <v>2601301818</v>
      </c>
      <c r="F28" s="41" t="s">
        <v>50</v>
      </c>
      <c r="G28" s="42" t="s">
        <v>51</v>
      </c>
      <c r="H28">
        <v>1301818</v>
      </c>
      <c r="I28" s="61" t="s">
        <v>77</v>
      </c>
      <c r="J28" s="43" t="str">
        <f t="shared" si="7"/>
        <v>0030571421352</v>
      </c>
      <c r="K28" s="43" t="str">
        <f t="shared" si="8"/>
        <v>901</v>
      </c>
      <c r="L28" s="43">
        <f t="shared" si="9"/>
        <v>2</v>
      </c>
      <c r="M28" s="43" t="str">
        <f t="shared" si="0"/>
        <v>02</v>
      </c>
      <c r="N28" s="43">
        <f t="shared" si="10"/>
        <v>1</v>
      </c>
      <c r="O28" s="43" t="str">
        <f t="shared" si="1"/>
        <v>01</v>
      </c>
      <c r="P28" s="43">
        <f t="shared" si="11"/>
        <v>2020</v>
      </c>
      <c r="Q28" s="43" t="str">
        <f t="shared" si="2"/>
        <v>2020</v>
      </c>
      <c r="R28" s="43" t="str">
        <f t="shared" si="12"/>
        <v>02/01/2020</v>
      </c>
      <c r="S28" s="31" t="str">
        <f t="shared" si="13"/>
        <v>0001</v>
      </c>
      <c r="T28" s="31" t="str">
        <f t="shared" si="14"/>
        <v>0000002601301818</v>
      </c>
      <c r="U28" s="31" t="str">
        <f t="shared" si="15"/>
        <v>F</v>
      </c>
      <c r="V28" s="31" t="str">
        <f t="shared" si="16"/>
        <v>A</v>
      </c>
      <c r="W28" s="31" t="str">
        <f t="shared" si="17"/>
        <v>00000000000001301818</v>
      </c>
      <c r="X28" s="31" t="str">
        <f t="shared" si="18"/>
        <v>00000014,99</v>
      </c>
      <c r="Y28" s="31" t="str">
        <f t="shared" si="4"/>
        <v>901003057142135202/01/202000010000002601301818FA0000000000000130181800000014,99</v>
      </c>
      <c r="Z28" s="31">
        <f t="shared" si="5"/>
        <v>79</v>
      </c>
      <c r="AA28" s="44">
        <v>923</v>
      </c>
      <c r="AB28" s="31" t="str">
        <f t="shared" si="6"/>
        <v>OK</v>
      </c>
    </row>
    <row r="29" spans="1:28" s="31" customFormat="1" x14ac:dyDescent="0.2">
      <c r="A29" s="38">
        <v>901</v>
      </c>
      <c r="B29" s="46">
        <v>30571421352</v>
      </c>
      <c r="C29" s="2">
        <v>43832</v>
      </c>
      <c r="D29" s="38">
        <v>1</v>
      </c>
      <c r="E29">
        <v>2601301746</v>
      </c>
      <c r="F29" s="41" t="s">
        <v>50</v>
      </c>
      <c r="G29" s="42" t="s">
        <v>51</v>
      </c>
      <c r="H29">
        <v>1301746</v>
      </c>
      <c r="I29" s="61" t="s">
        <v>78</v>
      </c>
      <c r="J29" s="43" t="str">
        <f t="shared" si="7"/>
        <v>0030571421352</v>
      </c>
      <c r="K29" s="43" t="str">
        <f t="shared" si="8"/>
        <v>901</v>
      </c>
      <c r="L29" s="43">
        <f t="shared" si="9"/>
        <v>2</v>
      </c>
      <c r="M29" s="43" t="str">
        <f t="shared" si="0"/>
        <v>02</v>
      </c>
      <c r="N29" s="43">
        <f t="shared" si="10"/>
        <v>1</v>
      </c>
      <c r="O29" s="43" t="str">
        <f t="shared" si="1"/>
        <v>01</v>
      </c>
      <c r="P29" s="43">
        <f t="shared" si="11"/>
        <v>2020</v>
      </c>
      <c r="Q29" s="43" t="str">
        <f t="shared" si="2"/>
        <v>2020</v>
      </c>
      <c r="R29" s="43" t="str">
        <f t="shared" si="12"/>
        <v>02/01/2020</v>
      </c>
      <c r="S29" s="31" t="str">
        <f t="shared" si="13"/>
        <v>0001</v>
      </c>
      <c r="T29" s="31" t="str">
        <f t="shared" si="14"/>
        <v>0000002601301746</v>
      </c>
      <c r="U29" s="31" t="str">
        <f t="shared" si="15"/>
        <v>F</v>
      </c>
      <c r="V29" s="31" t="str">
        <f t="shared" si="16"/>
        <v>A</v>
      </c>
      <c r="W29" s="31" t="str">
        <f t="shared" si="17"/>
        <v>00000000000001301746</v>
      </c>
      <c r="X29" s="31" t="str">
        <f t="shared" si="18"/>
        <v>00000027,23</v>
      </c>
      <c r="Y29" s="31" t="str">
        <f t="shared" si="4"/>
        <v>901003057142135202/01/202000010000002601301746FA0000000000000130174600000027,23</v>
      </c>
      <c r="Z29" s="31">
        <f t="shared" si="5"/>
        <v>79</v>
      </c>
      <c r="AA29" s="44">
        <v>924</v>
      </c>
      <c r="AB29" s="31" t="str">
        <f t="shared" si="6"/>
        <v>OK</v>
      </c>
    </row>
    <row r="30" spans="1:28" s="31" customFormat="1" x14ac:dyDescent="0.2">
      <c r="A30" s="38">
        <v>901</v>
      </c>
      <c r="B30" s="46">
        <v>30571421352</v>
      </c>
      <c r="C30" s="2">
        <v>43832</v>
      </c>
      <c r="D30" s="38">
        <v>1</v>
      </c>
      <c r="E30">
        <v>2601299812</v>
      </c>
      <c r="F30" s="41" t="s">
        <v>50</v>
      </c>
      <c r="G30" s="42" t="s">
        <v>51</v>
      </c>
      <c r="H30">
        <v>1299812</v>
      </c>
      <c r="I30" s="61" t="s">
        <v>79</v>
      </c>
      <c r="J30" s="43" t="str">
        <f t="shared" si="7"/>
        <v>0030571421352</v>
      </c>
      <c r="K30" s="43" t="str">
        <f t="shared" si="8"/>
        <v>901</v>
      </c>
      <c r="L30" s="43">
        <f t="shared" si="9"/>
        <v>2</v>
      </c>
      <c r="M30" s="43" t="str">
        <f t="shared" si="0"/>
        <v>02</v>
      </c>
      <c r="N30" s="43">
        <f t="shared" si="10"/>
        <v>1</v>
      </c>
      <c r="O30" s="43" t="str">
        <f t="shared" si="1"/>
        <v>01</v>
      </c>
      <c r="P30" s="43">
        <f t="shared" si="11"/>
        <v>2020</v>
      </c>
      <c r="Q30" s="43" t="str">
        <f t="shared" si="2"/>
        <v>2020</v>
      </c>
      <c r="R30" s="43" t="str">
        <f t="shared" si="12"/>
        <v>02/01/2020</v>
      </c>
      <c r="S30" s="31" t="str">
        <f t="shared" si="13"/>
        <v>0001</v>
      </c>
      <c r="T30" s="31" t="str">
        <f t="shared" si="14"/>
        <v>0000002601299812</v>
      </c>
      <c r="U30" s="31" t="str">
        <f t="shared" si="15"/>
        <v>F</v>
      </c>
      <c r="V30" s="31" t="str">
        <f t="shared" si="16"/>
        <v>A</v>
      </c>
      <c r="W30" s="31" t="str">
        <f t="shared" si="17"/>
        <v>00000000000001299812</v>
      </c>
      <c r="X30" s="31" t="str">
        <f t="shared" si="18"/>
        <v>00000087,30</v>
      </c>
      <c r="Y30" s="31" t="str">
        <f t="shared" si="4"/>
        <v>901003057142135202/01/202000010000002601299812FA0000000000000129981200000087,30</v>
      </c>
      <c r="Z30" s="31">
        <f t="shared" si="5"/>
        <v>79</v>
      </c>
      <c r="AA30" s="44">
        <v>925</v>
      </c>
      <c r="AB30" s="31" t="str">
        <f t="shared" si="6"/>
        <v>OK</v>
      </c>
    </row>
    <row r="31" spans="1:28" s="31" customFormat="1" x14ac:dyDescent="0.2">
      <c r="A31" s="38">
        <v>901</v>
      </c>
      <c r="B31" s="46">
        <v>30571421352</v>
      </c>
      <c r="C31" s="2">
        <v>43832</v>
      </c>
      <c r="D31" s="38">
        <v>1</v>
      </c>
      <c r="E31">
        <v>2601299530</v>
      </c>
      <c r="F31" s="41" t="s">
        <v>50</v>
      </c>
      <c r="G31" s="42" t="s">
        <v>51</v>
      </c>
      <c r="H31">
        <v>1299530</v>
      </c>
      <c r="I31" s="61" t="s">
        <v>80</v>
      </c>
      <c r="J31" s="43" t="str">
        <f t="shared" si="7"/>
        <v>0030571421352</v>
      </c>
      <c r="K31" s="43" t="str">
        <f t="shared" si="8"/>
        <v>901</v>
      </c>
      <c r="L31" s="43">
        <f t="shared" si="9"/>
        <v>2</v>
      </c>
      <c r="M31" s="43" t="str">
        <f t="shared" si="0"/>
        <v>02</v>
      </c>
      <c r="N31" s="43">
        <f t="shared" si="10"/>
        <v>1</v>
      </c>
      <c r="O31" s="43" t="str">
        <f t="shared" si="1"/>
        <v>01</v>
      </c>
      <c r="P31" s="43">
        <f t="shared" si="11"/>
        <v>2020</v>
      </c>
      <c r="Q31" s="43" t="str">
        <f t="shared" si="2"/>
        <v>2020</v>
      </c>
      <c r="R31" s="43" t="str">
        <f t="shared" si="12"/>
        <v>02/01/2020</v>
      </c>
      <c r="S31" s="31" t="str">
        <f t="shared" si="13"/>
        <v>0001</v>
      </c>
      <c r="T31" s="31" t="str">
        <f t="shared" si="14"/>
        <v>0000002601299530</v>
      </c>
      <c r="U31" s="31" t="str">
        <f t="shared" si="15"/>
        <v>F</v>
      </c>
      <c r="V31" s="31" t="str">
        <f t="shared" si="16"/>
        <v>A</v>
      </c>
      <c r="W31" s="31" t="str">
        <f t="shared" si="17"/>
        <v>00000000000001299530</v>
      </c>
      <c r="X31" s="31" t="str">
        <f t="shared" si="18"/>
        <v>00000170,96</v>
      </c>
      <c r="Y31" s="31" t="str">
        <f t="shared" si="4"/>
        <v>901003057142135202/01/202000010000002601299530FA0000000000000129953000000170,96</v>
      </c>
      <c r="Z31" s="31">
        <f t="shared" si="5"/>
        <v>79</v>
      </c>
      <c r="AA31" s="44">
        <v>926</v>
      </c>
      <c r="AB31" s="31" t="str">
        <f t="shared" si="6"/>
        <v>OK</v>
      </c>
    </row>
    <row r="32" spans="1:28" s="31" customFormat="1" x14ac:dyDescent="0.2">
      <c r="A32" s="38">
        <v>901</v>
      </c>
      <c r="B32" s="46">
        <v>30571421352</v>
      </c>
      <c r="C32" s="2">
        <v>43832</v>
      </c>
      <c r="D32" s="38">
        <v>1</v>
      </c>
      <c r="E32">
        <v>2601297165</v>
      </c>
      <c r="F32" s="41" t="s">
        <v>50</v>
      </c>
      <c r="G32" s="42" t="s">
        <v>51</v>
      </c>
      <c r="H32">
        <v>1297165</v>
      </c>
      <c r="I32" s="61" t="s">
        <v>81</v>
      </c>
      <c r="J32" s="43" t="str">
        <f t="shared" si="7"/>
        <v>0030571421352</v>
      </c>
      <c r="K32" s="43" t="str">
        <f t="shared" si="8"/>
        <v>901</v>
      </c>
      <c r="L32" s="43">
        <f t="shared" si="9"/>
        <v>2</v>
      </c>
      <c r="M32" s="43" t="str">
        <f t="shared" si="0"/>
        <v>02</v>
      </c>
      <c r="N32" s="43">
        <f t="shared" si="10"/>
        <v>1</v>
      </c>
      <c r="O32" s="43" t="str">
        <f t="shared" si="1"/>
        <v>01</v>
      </c>
      <c r="P32" s="43">
        <f t="shared" si="11"/>
        <v>2020</v>
      </c>
      <c r="Q32" s="43" t="str">
        <f t="shared" si="2"/>
        <v>2020</v>
      </c>
      <c r="R32" s="43" t="str">
        <f t="shared" si="12"/>
        <v>02/01/2020</v>
      </c>
      <c r="S32" s="31" t="str">
        <f t="shared" si="13"/>
        <v>0001</v>
      </c>
      <c r="T32" s="31" t="str">
        <f t="shared" si="14"/>
        <v>0000002601297165</v>
      </c>
      <c r="U32" s="31" t="str">
        <f t="shared" si="15"/>
        <v>F</v>
      </c>
      <c r="V32" s="31" t="str">
        <f t="shared" si="16"/>
        <v>A</v>
      </c>
      <c r="W32" s="31" t="str">
        <f t="shared" si="17"/>
        <v>00000000000001297165</v>
      </c>
      <c r="X32" s="31" t="str">
        <f t="shared" si="18"/>
        <v>00000013,76</v>
      </c>
      <c r="Y32" s="31" t="str">
        <f t="shared" si="4"/>
        <v>901003057142135202/01/202000010000002601297165FA0000000000000129716500000013,76</v>
      </c>
      <c r="Z32" s="31">
        <f t="shared" si="5"/>
        <v>79</v>
      </c>
      <c r="AA32" s="44">
        <v>927</v>
      </c>
      <c r="AB32" s="31" t="str">
        <f t="shared" si="6"/>
        <v>OK</v>
      </c>
    </row>
    <row r="33" spans="1:28" s="31" customFormat="1" x14ac:dyDescent="0.2">
      <c r="A33" s="38">
        <v>901</v>
      </c>
      <c r="B33" s="46">
        <v>30571421352</v>
      </c>
      <c r="C33" s="2">
        <v>43833</v>
      </c>
      <c r="D33" s="38">
        <v>1</v>
      </c>
      <c r="E33">
        <v>2601302377</v>
      </c>
      <c r="F33" s="41" t="s">
        <v>50</v>
      </c>
      <c r="G33" s="42" t="s">
        <v>51</v>
      </c>
      <c r="H33">
        <v>1302377</v>
      </c>
      <c r="I33" s="61" t="s">
        <v>52</v>
      </c>
      <c r="J33" s="43" t="str">
        <f t="shared" si="7"/>
        <v>0030571421352</v>
      </c>
      <c r="K33" s="43" t="str">
        <f t="shared" si="8"/>
        <v>901</v>
      </c>
      <c r="L33" s="43">
        <f t="shared" si="9"/>
        <v>3</v>
      </c>
      <c r="M33" s="43" t="str">
        <f t="shared" si="0"/>
        <v>03</v>
      </c>
      <c r="N33" s="43">
        <f t="shared" si="10"/>
        <v>1</v>
      </c>
      <c r="O33" s="43" t="str">
        <f t="shared" si="1"/>
        <v>01</v>
      </c>
      <c r="P33" s="43">
        <f t="shared" si="11"/>
        <v>2020</v>
      </c>
      <c r="Q33" s="43" t="str">
        <f t="shared" si="2"/>
        <v>2020</v>
      </c>
      <c r="R33" s="43" t="str">
        <f t="shared" si="12"/>
        <v>03/01/2020</v>
      </c>
      <c r="S33" s="31" t="str">
        <f t="shared" si="13"/>
        <v>0001</v>
      </c>
      <c r="T33" s="31" t="str">
        <f t="shared" si="14"/>
        <v>0000002601302377</v>
      </c>
      <c r="U33" s="31" t="str">
        <f t="shared" si="15"/>
        <v>F</v>
      </c>
      <c r="V33" s="31" t="str">
        <f t="shared" si="16"/>
        <v>A</v>
      </c>
      <c r="W33" s="31" t="str">
        <f t="shared" si="17"/>
        <v>00000000000001302377</v>
      </c>
      <c r="X33" s="31" t="str">
        <f t="shared" si="18"/>
        <v>00000024,75</v>
      </c>
      <c r="Y33" s="31" t="str">
        <f t="shared" si="4"/>
        <v>901003057142135203/01/202000010000002601302377FA0000000000000130237700000024,75</v>
      </c>
      <c r="Z33" s="31">
        <f t="shared" si="5"/>
        <v>79</v>
      </c>
      <c r="AA33" s="44">
        <v>928</v>
      </c>
      <c r="AB33" s="31" t="str">
        <f t="shared" si="6"/>
        <v>OK</v>
      </c>
    </row>
    <row r="34" spans="1:28" s="31" customFormat="1" x14ac:dyDescent="0.2">
      <c r="A34" s="38">
        <v>901</v>
      </c>
      <c r="B34" s="46">
        <v>30571421352</v>
      </c>
      <c r="C34" s="2">
        <v>43833</v>
      </c>
      <c r="D34" s="38">
        <v>1</v>
      </c>
      <c r="E34">
        <v>2601300093</v>
      </c>
      <c r="F34" s="41" t="s">
        <v>50</v>
      </c>
      <c r="G34" s="42" t="s">
        <v>51</v>
      </c>
      <c r="H34">
        <v>1300093</v>
      </c>
      <c r="I34" s="61" t="s">
        <v>82</v>
      </c>
      <c r="J34" s="43" t="str">
        <f t="shared" si="7"/>
        <v>0030571421352</v>
      </c>
      <c r="K34" s="43" t="str">
        <f t="shared" si="8"/>
        <v>901</v>
      </c>
      <c r="L34" s="43">
        <f t="shared" si="9"/>
        <v>3</v>
      </c>
      <c r="M34" s="43" t="str">
        <f t="shared" si="0"/>
        <v>03</v>
      </c>
      <c r="N34" s="43">
        <f t="shared" si="10"/>
        <v>1</v>
      </c>
      <c r="O34" s="43" t="str">
        <f t="shared" si="1"/>
        <v>01</v>
      </c>
      <c r="P34" s="43">
        <f t="shared" si="11"/>
        <v>2020</v>
      </c>
      <c r="Q34" s="43" t="str">
        <f t="shared" si="2"/>
        <v>2020</v>
      </c>
      <c r="R34" s="43" t="str">
        <f t="shared" si="12"/>
        <v>03/01/2020</v>
      </c>
      <c r="S34" s="31" t="str">
        <f t="shared" si="13"/>
        <v>0001</v>
      </c>
      <c r="T34" s="31" t="str">
        <f t="shared" si="14"/>
        <v>0000002601300093</v>
      </c>
      <c r="U34" s="31" t="str">
        <f t="shared" si="15"/>
        <v>F</v>
      </c>
      <c r="V34" s="31" t="str">
        <f t="shared" si="16"/>
        <v>A</v>
      </c>
      <c r="W34" s="31" t="str">
        <f t="shared" si="17"/>
        <v>00000000000001300093</v>
      </c>
      <c r="X34" s="31" t="str">
        <f t="shared" si="18"/>
        <v>00000065,25</v>
      </c>
      <c r="Y34" s="31" t="str">
        <f t="shared" si="4"/>
        <v>901003057142135203/01/202000010000002601300093FA0000000000000130009300000065,25</v>
      </c>
      <c r="Z34" s="31">
        <f t="shared" si="5"/>
        <v>79</v>
      </c>
      <c r="AA34" s="44">
        <v>929</v>
      </c>
      <c r="AB34" s="31" t="str">
        <f t="shared" si="6"/>
        <v>OK</v>
      </c>
    </row>
    <row r="35" spans="1:28" s="31" customFormat="1" x14ac:dyDescent="0.2">
      <c r="A35" s="38">
        <v>901</v>
      </c>
      <c r="B35" s="46">
        <v>30571421352</v>
      </c>
      <c r="C35" s="2">
        <v>43833</v>
      </c>
      <c r="D35" s="38">
        <v>1</v>
      </c>
      <c r="E35">
        <v>386287</v>
      </c>
      <c r="F35" s="41" t="s">
        <v>50</v>
      </c>
      <c r="G35" s="42" t="s">
        <v>51</v>
      </c>
      <c r="H35">
        <v>386287</v>
      </c>
      <c r="I35" s="61" t="s">
        <v>83</v>
      </c>
      <c r="J35" s="43" t="str">
        <f t="shared" si="7"/>
        <v>0030571421352</v>
      </c>
      <c r="K35" s="43" t="str">
        <f t="shared" si="8"/>
        <v>901</v>
      </c>
      <c r="L35" s="43">
        <f t="shared" si="9"/>
        <v>3</v>
      </c>
      <c r="M35" s="43" t="str">
        <f t="shared" si="0"/>
        <v>03</v>
      </c>
      <c r="N35" s="43">
        <f t="shared" si="10"/>
        <v>1</v>
      </c>
      <c r="O35" s="43" t="str">
        <f t="shared" si="1"/>
        <v>01</v>
      </c>
      <c r="P35" s="43">
        <f t="shared" si="11"/>
        <v>2020</v>
      </c>
      <c r="Q35" s="43" t="str">
        <f t="shared" si="2"/>
        <v>2020</v>
      </c>
      <c r="R35" s="43" t="str">
        <f t="shared" si="12"/>
        <v>03/01/2020</v>
      </c>
      <c r="S35" s="31" t="str">
        <f t="shared" si="13"/>
        <v>0001</v>
      </c>
      <c r="T35" s="31" t="str">
        <f t="shared" si="14"/>
        <v>0000000000386287</v>
      </c>
      <c r="U35" s="31" t="str">
        <f t="shared" si="15"/>
        <v>F</v>
      </c>
      <c r="V35" s="31" t="str">
        <f t="shared" si="16"/>
        <v>A</v>
      </c>
      <c r="W35" s="31" t="str">
        <f t="shared" si="17"/>
        <v>00000000000000386287</v>
      </c>
      <c r="X35" s="31" t="str">
        <f t="shared" si="18"/>
        <v>00000043,10</v>
      </c>
      <c r="Y35" s="31" t="str">
        <f t="shared" si="4"/>
        <v>901003057142135203/01/202000010000000000386287FA0000000000000038628700000043,10</v>
      </c>
      <c r="Z35" s="31">
        <f t="shared" si="5"/>
        <v>79</v>
      </c>
      <c r="AA35" s="44">
        <v>930</v>
      </c>
      <c r="AB35" s="31" t="str">
        <f t="shared" si="6"/>
        <v>OK</v>
      </c>
    </row>
    <row r="36" spans="1:28" s="31" customFormat="1" x14ac:dyDescent="0.2">
      <c r="A36" s="38">
        <v>901</v>
      </c>
      <c r="B36" s="46">
        <v>30571421352</v>
      </c>
      <c r="C36" s="2">
        <v>43836</v>
      </c>
      <c r="D36" s="38">
        <v>1</v>
      </c>
      <c r="E36">
        <v>2601302618</v>
      </c>
      <c r="F36" s="41" t="s">
        <v>50</v>
      </c>
      <c r="G36" s="42" t="s">
        <v>51</v>
      </c>
      <c r="H36">
        <v>1302618</v>
      </c>
      <c r="I36" s="61" t="s">
        <v>84</v>
      </c>
      <c r="J36" s="43" t="str">
        <f t="shared" si="7"/>
        <v>0030571421352</v>
      </c>
      <c r="K36" s="43" t="str">
        <f t="shared" si="8"/>
        <v>901</v>
      </c>
      <c r="L36" s="43">
        <f t="shared" si="9"/>
        <v>6</v>
      </c>
      <c r="M36" s="43" t="str">
        <f t="shared" si="0"/>
        <v>06</v>
      </c>
      <c r="N36" s="43">
        <f t="shared" si="10"/>
        <v>1</v>
      </c>
      <c r="O36" s="43" t="str">
        <f t="shared" si="1"/>
        <v>01</v>
      </c>
      <c r="P36" s="43">
        <f t="shared" si="11"/>
        <v>2020</v>
      </c>
      <c r="Q36" s="43" t="str">
        <f t="shared" si="2"/>
        <v>2020</v>
      </c>
      <c r="R36" s="43" t="str">
        <f t="shared" si="12"/>
        <v>06/01/2020</v>
      </c>
      <c r="S36" s="31" t="str">
        <f t="shared" si="13"/>
        <v>0001</v>
      </c>
      <c r="T36" s="31" t="str">
        <f t="shared" si="14"/>
        <v>0000002601302618</v>
      </c>
      <c r="U36" s="31" t="str">
        <f t="shared" si="15"/>
        <v>F</v>
      </c>
      <c r="V36" s="31" t="str">
        <f t="shared" si="16"/>
        <v>A</v>
      </c>
      <c r="W36" s="31" t="str">
        <f t="shared" si="17"/>
        <v>00000000000001302618</v>
      </c>
      <c r="X36" s="31" t="str">
        <f t="shared" si="18"/>
        <v>00000225,80</v>
      </c>
      <c r="Y36" s="31" t="str">
        <f t="shared" si="4"/>
        <v>901003057142135206/01/202000010000002601302618FA0000000000000130261800000225,80</v>
      </c>
      <c r="Z36" s="31">
        <f t="shared" si="5"/>
        <v>79</v>
      </c>
      <c r="AA36" s="44">
        <v>931</v>
      </c>
      <c r="AB36" s="31" t="str">
        <f t="shared" si="6"/>
        <v>OK</v>
      </c>
    </row>
    <row r="37" spans="1:28" s="31" customFormat="1" x14ac:dyDescent="0.2">
      <c r="A37" s="38">
        <v>901</v>
      </c>
      <c r="B37" s="46">
        <v>30571421352</v>
      </c>
      <c r="C37" s="2">
        <v>43836</v>
      </c>
      <c r="D37" s="38">
        <v>1</v>
      </c>
      <c r="E37">
        <v>2601302557</v>
      </c>
      <c r="F37" s="41" t="s">
        <v>50</v>
      </c>
      <c r="G37" s="42" t="s">
        <v>51</v>
      </c>
      <c r="H37">
        <v>1302557</v>
      </c>
      <c r="I37" s="61" t="s">
        <v>85</v>
      </c>
      <c r="J37" s="43" t="str">
        <f t="shared" si="7"/>
        <v>0030571421352</v>
      </c>
      <c r="K37" s="43" t="str">
        <f t="shared" si="8"/>
        <v>901</v>
      </c>
      <c r="L37" s="43">
        <f t="shared" si="9"/>
        <v>6</v>
      </c>
      <c r="M37" s="43" t="str">
        <f t="shared" si="0"/>
        <v>06</v>
      </c>
      <c r="N37" s="43">
        <f t="shared" si="10"/>
        <v>1</v>
      </c>
      <c r="O37" s="43" t="str">
        <f t="shared" si="1"/>
        <v>01</v>
      </c>
      <c r="P37" s="43">
        <f t="shared" si="11"/>
        <v>2020</v>
      </c>
      <c r="Q37" s="43" t="str">
        <f t="shared" si="2"/>
        <v>2020</v>
      </c>
      <c r="R37" s="43" t="str">
        <f t="shared" si="12"/>
        <v>06/01/2020</v>
      </c>
      <c r="S37" s="31" t="str">
        <f t="shared" si="13"/>
        <v>0001</v>
      </c>
      <c r="T37" s="31" t="str">
        <f t="shared" si="14"/>
        <v>0000002601302557</v>
      </c>
      <c r="U37" s="31" t="str">
        <f t="shared" si="15"/>
        <v>F</v>
      </c>
      <c r="V37" s="31" t="str">
        <f t="shared" si="16"/>
        <v>A</v>
      </c>
      <c r="W37" s="31" t="str">
        <f t="shared" si="17"/>
        <v>00000000000001302557</v>
      </c>
      <c r="X37" s="31" t="str">
        <f t="shared" si="18"/>
        <v>00000021,95</v>
      </c>
      <c r="Y37" s="31" t="str">
        <f t="shared" si="4"/>
        <v>901003057142135206/01/202000010000002601302557FA0000000000000130255700000021,95</v>
      </c>
      <c r="Z37" s="31">
        <f t="shared" si="5"/>
        <v>79</v>
      </c>
      <c r="AA37" s="44">
        <v>932</v>
      </c>
      <c r="AB37" s="31" t="str">
        <f t="shared" si="6"/>
        <v>OK</v>
      </c>
    </row>
    <row r="38" spans="1:28" s="31" customFormat="1" x14ac:dyDescent="0.2">
      <c r="A38" s="38">
        <v>901</v>
      </c>
      <c r="B38" s="46">
        <v>30571421352</v>
      </c>
      <c r="C38" s="2">
        <v>43836</v>
      </c>
      <c r="D38" s="38">
        <v>1</v>
      </c>
      <c r="E38">
        <v>2601302486</v>
      </c>
      <c r="F38" s="41" t="s">
        <v>50</v>
      </c>
      <c r="G38" s="42" t="s">
        <v>51</v>
      </c>
      <c r="H38">
        <v>1302486</v>
      </c>
      <c r="I38" s="61" t="s">
        <v>86</v>
      </c>
      <c r="J38" s="43" t="str">
        <f t="shared" si="7"/>
        <v>0030571421352</v>
      </c>
      <c r="K38" s="43" t="str">
        <f t="shared" si="8"/>
        <v>901</v>
      </c>
      <c r="L38" s="43">
        <f t="shared" si="9"/>
        <v>6</v>
      </c>
      <c r="M38" s="43" t="str">
        <f t="shared" si="0"/>
        <v>06</v>
      </c>
      <c r="N38" s="43">
        <f t="shared" si="10"/>
        <v>1</v>
      </c>
      <c r="O38" s="43" t="str">
        <f t="shared" si="1"/>
        <v>01</v>
      </c>
      <c r="P38" s="43">
        <f t="shared" si="11"/>
        <v>2020</v>
      </c>
      <c r="Q38" s="43" t="str">
        <f t="shared" si="2"/>
        <v>2020</v>
      </c>
      <c r="R38" s="43" t="str">
        <f t="shared" si="12"/>
        <v>06/01/2020</v>
      </c>
      <c r="S38" s="31" t="str">
        <f t="shared" si="13"/>
        <v>0001</v>
      </c>
      <c r="T38" s="31" t="str">
        <f t="shared" si="14"/>
        <v>0000002601302486</v>
      </c>
      <c r="U38" s="31" t="str">
        <f t="shared" si="15"/>
        <v>F</v>
      </c>
      <c r="V38" s="31" t="str">
        <f t="shared" si="16"/>
        <v>A</v>
      </c>
      <c r="W38" s="31" t="str">
        <f t="shared" si="17"/>
        <v>00000000000001302486</v>
      </c>
      <c r="X38" s="31" t="str">
        <f t="shared" si="18"/>
        <v>00000062,86</v>
      </c>
      <c r="Y38" s="31" t="str">
        <f t="shared" si="4"/>
        <v>901003057142135206/01/202000010000002601302486FA0000000000000130248600000062,86</v>
      </c>
      <c r="Z38" s="31">
        <f t="shared" si="5"/>
        <v>79</v>
      </c>
      <c r="AA38" s="44">
        <v>933</v>
      </c>
      <c r="AB38" s="31" t="str">
        <f t="shared" si="6"/>
        <v>OK</v>
      </c>
    </row>
    <row r="39" spans="1:28" s="31" customFormat="1" x14ac:dyDescent="0.2">
      <c r="A39" s="38">
        <v>901</v>
      </c>
      <c r="B39" s="46">
        <v>30571421352</v>
      </c>
      <c r="C39" s="2">
        <v>43836</v>
      </c>
      <c r="D39" s="38">
        <v>1</v>
      </c>
      <c r="E39">
        <v>2601300385</v>
      </c>
      <c r="F39" s="41" t="s">
        <v>50</v>
      </c>
      <c r="G39" s="42" t="s">
        <v>51</v>
      </c>
      <c r="H39">
        <v>1300385</v>
      </c>
      <c r="I39" s="61" t="s">
        <v>87</v>
      </c>
      <c r="J39" s="43" t="str">
        <f t="shared" si="7"/>
        <v>0030571421352</v>
      </c>
      <c r="K39" s="43" t="str">
        <f t="shared" si="8"/>
        <v>901</v>
      </c>
      <c r="L39" s="43">
        <f t="shared" si="9"/>
        <v>6</v>
      </c>
      <c r="M39" s="43" t="str">
        <f t="shared" si="0"/>
        <v>06</v>
      </c>
      <c r="N39" s="43">
        <f t="shared" si="10"/>
        <v>1</v>
      </c>
      <c r="O39" s="43" t="str">
        <f t="shared" si="1"/>
        <v>01</v>
      </c>
      <c r="P39" s="43">
        <f t="shared" si="11"/>
        <v>2020</v>
      </c>
      <c r="Q39" s="43" t="str">
        <f t="shared" si="2"/>
        <v>2020</v>
      </c>
      <c r="R39" s="43" t="str">
        <f t="shared" si="12"/>
        <v>06/01/2020</v>
      </c>
      <c r="S39" s="31" t="str">
        <f t="shared" si="13"/>
        <v>0001</v>
      </c>
      <c r="T39" s="31" t="str">
        <f t="shared" si="14"/>
        <v>0000002601300385</v>
      </c>
      <c r="U39" s="31" t="str">
        <f t="shared" si="15"/>
        <v>F</v>
      </c>
      <c r="V39" s="31" t="str">
        <f t="shared" si="16"/>
        <v>A</v>
      </c>
      <c r="W39" s="31" t="str">
        <f t="shared" si="17"/>
        <v>00000000000001300385</v>
      </c>
      <c r="X39" s="31" t="str">
        <f t="shared" si="18"/>
        <v>00000255,98</v>
      </c>
      <c r="Y39" s="31" t="str">
        <f t="shared" si="4"/>
        <v>901003057142135206/01/202000010000002601300385FA0000000000000130038500000255,98</v>
      </c>
      <c r="Z39" s="31">
        <f t="shared" si="5"/>
        <v>79</v>
      </c>
      <c r="AA39" s="44">
        <v>934</v>
      </c>
      <c r="AB39" s="31" t="str">
        <f t="shared" si="6"/>
        <v>OK</v>
      </c>
    </row>
    <row r="40" spans="1:28" s="31" customFormat="1" x14ac:dyDescent="0.2">
      <c r="A40" s="38">
        <v>901</v>
      </c>
      <c r="B40" s="46">
        <v>30571421352</v>
      </c>
      <c r="C40" s="2">
        <v>43837</v>
      </c>
      <c r="D40" s="38">
        <v>1</v>
      </c>
      <c r="E40">
        <v>2601302884</v>
      </c>
      <c r="F40" s="41" t="s">
        <v>50</v>
      </c>
      <c r="G40" s="42" t="s">
        <v>51</v>
      </c>
      <c r="H40">
        <v>1302884</v>
      </c>
      <c r="I40" s="61" t="s">
        <v>88</v>
      </c>
      <c r="J40" s="43" t="str">
        <f t="shared" si="7"/>
        <v>0030571421352</v>
      </c>
      <c r="K40" s="43" t="str">
        <f t="shared" si="8"/>
        <v>901</v>
      </c>
      <c r="L40" s="43">
        <f t="shared" si="9"/>
        <v>7</v>
      </c>
      <c r="M40" s="43" t="str">
        <f t="shared" si="0"/>
        <v>07</v>
      </c>
      <c r="N40" s="43">
        <f t="shared" si="10"/>
        <v>1</v>
      </c>
      <c r="O40" s="43" t="str">
        <f t="shared" si="1"/>
        <v>01</v>
      </c>
      <c r="P40" s="43">
        <f t="shared" si="11"/>
        <v>2020</v>
      </c>
      <c r="Q40" s="43" t="str">
        <f t="shared" si="2"/>
        <v>2020</v>
      </c>
      <c r="R40" s="43" t="str">
        <f t="shared" si="12"/>
        <v>07/01/2020</v>
      </c>
      <c r="S40" s="31" t="str">
        <f t="shared" si="13"/>
        <v>0001</v>
      </c>
      <c r="T40" s="31" t="str">
        <f t="shared" si="14"/>
        <v>0000002601302884</v>
      </c>
      <c r="U40" s="31" t="str">
        <f t="shared" si="15"/>
        <v>F</v>
      </c>
      <c r="V40" s="31" t="str">
        <f t="shared" si="16"/>
        <v>A</v>
      </c>
      <c r="W40" s="31" t="str">
        <f t="shared" si="17"/>
        <v>00000000000001302884</v>
      </c>
      <c r="X40" s="31" t="str">
        <f t="shared" si="18"/>
        <v>00000130,40</v>
      </c>
      <c r="Y40" s="31" t="str">
        <f t="shared" si="4"/>
        <v>901003057142135207/01/202000010000002601302884FA0000000000000130288400000130,40</v>
      </c>
      <c r="Z40" s="31">
        <f t="shared" si="5"/>
        <v>79</v>
      </c>
      <c r="AA40" s="44">
        <v>935</v>
      </c>
      <c r="AB40" s="31" t="str">
        <f t="shared" si="6"/>
        <v>OK</v>
      </c>
    </row>
    <row r="41" spans="1:28" s="31" customFormat="1" x14ac:dyDescent="0.2">
      <c r="A41" s="38">
        <v>901</v>
      </c>
      <c r="B41" s="46">
        <v>30571421352</v>
      </c>
      <c r="C41" s="2">
        <v>43837</v>
      </c>
      <c r="D41" s="38">
        <v>1</v>
      </c>
      <c r="E41">
        <v>2601302746</v>
      </c>
      <c r="F41" s="41" t="s">
        <v>50</v>
      </c>
      <c r="G41" s="42" t="s">
        <v>51</v>
      </c>
      <c r="H41">
        <v>1302746</v>
      </c>
      <c r="I41" s="61" t="s">
        <v>89</v>
      </c>
      <c r="J41" s="43" t="str">
        <f t="shared" si="7"/>
        <v>0030571421352</v>
      </c>
      <c r="K41" s="43" t="str">
        <f t="shared" si="8"/>
        <v>901</v>
      </c>
      <c r="L41" s="43">
        <f t="shared" si="9"/>
        <v>7</v>
      </c>
      <c r="M41" s="43" t="str">
        <f t="shared" si="0"/>
        <v>07</v>
      </c>
      <c r="N41" s="43">
        <f t="shared" si="10"/>
        <v>1</v>
      </c>
      <c r="O41" s="43" t="str">
        <f t="shared" si="1"/>
        <v>01</v>
      </c>
      <c r="P41" s="43">
        <f t="shared" si="11"/>
        <v>2020</v>
      </c>
      <c r="Q41" s="43" t="str">
        <f t="shared" si="2"/>
        <v>2020</v>
      </c>
      <c r="R41" s="43" t="str">
        <f t="shared" si="12"/>
        <v>07/01/2020</v>
      </c>
      <c r="S41" s="31" t="str">
        <f t="shared" si="13"/>
        <v>0001</v>
      </c>
      <c r="T41" s="31" t="str">
        <f t="shared" si="14"/>
        <v>0000002601302746</v>
      </c>
      <c r="U41" s="31" t="str">
        <f t="shared" si="15"/>
        <v>F</v>
      </c>
      <c r="V41" s="31" t="str">
        <f t="shared" si="16"/>
        <v>A</v>
      </c>
      <c r="W41" s="31" t="str">
        <f t="shared" si="17"/>
        <v>00000000000001302746</v>
      </c>
      <c r="X41" s="31" t="str">
        <f t="shared" si="18"/>
        <v>00000022,55</v>
      </c>
      <c r="Y41" s="31" t="str">
        <f t="shared" si="4"/>
        <v>901003057142135207/01/202000010000002601302746FA0000000000000130274600000022,55</v>
      </c>
      <c r="Z41" s="31">
        <f t="shared" si="5"/>
        <v>79</v>
      </c>
      <c r="AA41" s="44">
        <v>936</v>
      </c>
      <c r="AB41" s="31" t="str">
        <f t="shared" si="6"/>
        <v>OK</v>
      </c>
    </row>
    <row r="42" spans="1:28" s="31" customFormat="1" x14ac:dyDescent="0.2">
      <c r="A42" s="38">
        <v>901</v>
      </c>
      <c r="B42" s="46">
        <v>30571421352</v>
      </c>
      <c r="C42" s="2">
        <v>43837</v>
      </c>
      <c r="D42" s="38">
        <v>1</v>
      </c>
      <c r="E42">
        <v>2601300678</v>
      </c>
      <c r="F42" s="41" t="s">
        <v>50</v>
      </c>
      <c r="G42" s="42" t="s">
        <v>51</v>
      </c>
      <c r="H42">
        <v>1300678</v>
      </c>
      <c r="I42" s="61" t="s">
        <v>53</v>
      </c>
      <c r="J42" s="43" t="str">
        <f t="shared" si="7"/>
        <v>0030571421352</v>
      </c>
      <c r="K42" s="43" t="str">
        <f t="shared" si="8"/>
        <v>901</v>
      </c>
      <c r="L42" s="43">
        <f t="shared" si="9"/>
        <v>7</v>
      </c>
      <c r="M42" s="43" t="str">
        <f t="shared" si="0"/>
        <v>07</v>
      </c>
      <c r="N42" s="43">
        <f t="shared" si="10"/>
        <v>1</v>
      </c>
      <c r="O42" s="43" t="str">
        <f t="shared" si="1"/>
        <v>01</v>
      </c>
      <c r="P42" s="43">
        <f t="shared" si="11"/>
        <v>2020</v>
      </c>
      <c r="Q42" s="43" t="str">
        <f t="shared" si="2"/>
        <v>2020</v>
      </c>
      <c r="R42" s="43" t="str">
        <f t="shared" si="12"/>
        <v>07/01/2020</v>
      </c>
      <c r="S42" s="31" t="str">
        <f t="shared" si="13"/>
        <v>0001</v>
      </c>
      <c r="T42" s="31" t="str">
        <f t="shared" si="14"/>
        <v>0000002601300678</v>
      </c>
      <c r="U42" s="31" t="str">
        <f t="shared" si="15"/>
        <v>F</v>
      </c>
      <c r="V42" s="31" t="str">
        <f t="shared" si="16"/>
        <v>A</v>
      </c>
      <c r="W42" s="31" t="str">
        <f t="shared" si="17"/>
        <v>00000000000001300678</v>
      </c>
      <c r="X42" s="31" t="str">
        <f t="shared" si="18"/>
        <v>00000011,86</v>
      </c>
      <c r="Y42" s="31" t="str">
        <f t="shared" si="4"/>
        <v>901003057142135207/01/202000010000002601300678FA0000000000000130067800000011,86</v>
      </c>
      <c r="Z42" s="31">
        <f t="shared" si="5"/>
        <v>79</v>
      </c>
      <c r="AA42" s="44">
        <v>937</v>
      </c>
      <c r="AB42" s="31" t="str">
        <f t="shared" si="6"/>
        <v>OK</v>
      </c>
    </row>
    <row r="43" spans="1:28" s="31" customFormat="1" x14ac:dyDescent="0.2">
      <c r="A43" s="38">
        <v>901</v>
      </c>
      <c r="B43" s="46">
        <v>30571421352</v>
      </c>
      <c r="C43" s="2">
        <v>43838</v>
      </c>
      <c r="D43" s="38">
        <v>1</v>
      </c>
      <c r="E43">
        <v>2601303171</v>
      </c>
      <c r="F43" s="41" t="s">
        <v>50</v>
      </c>
      <c r="G43" s="42" t="s">
        <v>51</v>
      </c>
      <c r="H43">
        <v>1303171</v>
      </c>
      <c r="I43" s="61" t="s">
        <v>90</v>
      </c>
      <c r="J43" s="43" t="str">
        <f t="shared" si="7"/>
        <v>0030571421352</v>
      </c>
      <c r="K43" s="43" t="str">
        <f t="shared" si="8"/>
        <v>901</v>
      </c>
      <c r="L43" s="43">
        <f t="shared" si="9"/>
        <v>8</v>
      </c>
      <c r="M43" s="43" t="str">
        <f t="shared" si="0"/>
        <v>08</v>
      </c>
      <c r="N43" s="43">
        <f t="shared" si="10"/>
        <v>1</v>
      </c>
      <c r="O43" s="43" t="str">
        <f t="shared" si="1"/>
        <v>01</v>
      </c>
      <c r="P43" s="43">
        <f t="shared" si="11"/>
        <v>2020</v>
      </c>
      <c r="Q43" s="43" t="str">
        <f t="shared" si="2"/>
        <v>2020</v>
      </c>
      <c r="R43" s="43" t="str">
        <f t="shared" si="12"/>
        <v>08/01/2020</v>
      </c>
      <c r="S43" s="31" t="str">
        <f t="shared" si="13"/>
        <v>0001</v>
      </c>
      <c r="T43" s="31" t="str">
        <f t="shared" si="14"/>
        <v>0000002601303171</v>
      </c>
      <c r="U43" s="31" t="str">
        <f t="shared" si="15"/>
        <v>F</v>
      </c>
      <c r="V43" s="31" t="str">
        <f t="shared" si="16"/>
        <v>A</v>
      </c>
      <c r="W43" s="31" t="str">
        <f t="shared" si="17"/>
        <v>00000000000001303171</v>
      </c>
      <c r="X43" s="31" t="str">
        <f t="shared" si="18"/>
        <v>00000288,42</v>
      </c>
      <c r="Y43" s="31" t="str">
        <f t="shared" si="4"/>
        <v>901003057142135208/01/202000010000002601303171FA0000000000000130317100000288,42</v>
      </c>
      <c r="Z43" s="31">
        <f t="shared" si="5"/>
        <v>79</v>
      </c>
      <c r="AA43" s="44">
        <v>938</v>
      </c>
      <c r="AB43" s="31" t="str">
        <f t="shared" si="6"/>
        <v>OK</v>
      </c>
    </row>
    <row r="44" spans="1:28" s="31" customFormat="1" x14ac:dyDescent="0.2">
      <c r="A44" s="38">
        <v>901</v>
      </c>
      <c r="B44" s="46">
        <v>30571421352</v>
      </c>
      <c r="C44" s="2">
        <v>43838</v>
      </c>
      <c r="D44" s="38">
        <v>1</v>
      </c>
      <c r="E44">
        <v>2601303103</v>
      </c>
      <c r="F44" s="41" t="s">
        <v>50</v>
      </c>
      <c r="G44" s="42" t="s">
        <v>51</v>
      </c>
      <c r="H44">
        <v>1303103</v>
      </c>
      <c r="I44" s="61" t="s">
        <v>91</v>
      </c>
      <c r="J44" s="43" t="str">
        <f t="shared" si="7"/>
        <v>0030571421352</v>
      </c>
      <c r="K44" s="43" t="str">
        <f t="shared" si="8"/>
        <v>901</v>
      </c>
      <c r="L44" s="43">
        <f t="shared" si="9"/>
        <v>8</v>
      </c>
      <c r="M44" s="43" t="str">
        <f t="shared" si="0"/>
        <v>08</v>
      </c>
      <c r="N44" s="43">
        <f t="shared" si="10"/>
        <v>1</v>
      </c>
      <c r="O44" s="43" t="str">
        <f t="shared" si="1"/>
        <v>01</v>
      </c>
      <c r="P44" s="43">
        <f t="shared" si="11"/>
        <v>2020</v>
      </c>
      <c r="Q44" s="43" t="str">
        <f t="shared" si="2"/>
        <v>2020</v>
      </c>
      <c r="R44" s="43" t="str">
        <f t="shared" si="12"/>
        <v>08/01/2020</v>
      </c>
      <c r="S44" s="31" t="str">
        <f t="shared" si="13"/>
        <v>0001</v>
      </c>
      <c r="T44" s="31" t="str">
        <f t="shared" si="14"/>
        <v>0000002601303103</v>
      </c>
      <c r="U44" s="31" t="str">
        <f t="shared" si="15"/>
        <v>F</v>
      </c>
      <c r="V44" s="31" t="str">
        <f t="shared" si="16"/>
        <v>A</v>
      </c>
      <c r="W44" s="31" t="str">
        <f t="shared" si="17"/>
        <v>00000000000001303103</v>
      </c>
      <c r="X44" s="31" t="str">
        <f t="shared" si="18"/>
        <v>00000015,02</v>
      </c>
      <c r="Y44" s="31" t="str">
        <f t="shared" si="4"/>
        <v>901003057142135208/01/202000010000002601303103FA0000000000000130310300000015,02</v>
      </c>
      <c r="Z44" s="31">
        <f t="shared" si="5"/>
        <v>79</v>
      </c>
      <c r="AA44" s="44">
        <v>939</v>
      </c>
      <c r="AB44" s="31" t="str">
        <f t="shared" si="6"/>
        <v>OK</v>
      </c>
    </row>
    <row r="45" spans="1:28" s="31" customFormat="1" x14ac:dyDescent="0.2">
      <c r="A45" s="38">
        <v>901</v>
      </c>
      <c r="B45" s="46">
        <v>30571421352</v>
      </c>
      <c r="C45" s="2">
        <v>43838</v>
      </c>
      <c r="D45" s="38">
        <v>1</v>
      </c>
      <c r="E45">
        <v>2601302997</v>
      </c>
      <c r="F45" s="41" t="s">
        <v>50</v>
      </c>
      <c r="G45" s="42" t="s">
        <v>51</v>
      </c>
      <c r="H45">
        <v>1302997</v>
      </c>
      <c r="I45" s="61" t="s">
        <v>92</v>
      </c>
      <c r="J45" s="43" t="str">
        <f t="shared" si="7"/>
        <v>0030571421352</v>
      </c>
      <c r="K45" s="43" t="str">
        <f t="shared" si="8"/>
        <v>901</v>
      </c>
      <c r="L45" s="43">
        <f t="shared" si="9"/>
        <v>8</v>
      </c>
      <c r="M45" s="43" t="str">
        <f t="shared" si="0"/>
        <v>08</v>
      </c>
      <c r="N45" s="43">
        <f t="shared" si="10"/>
        <v>1</v>
      </c>
      <c r="O45" s="43" t="str">
        <f t="shared" si="1"/>
        <v>01</v>
      </c>
      <c r="P45" s="43">
        <f t="shared" si="11"/>
        <v>2020</v>
      </c>
      <c r="Q45" s="43" t="str">
        <f t="shared" si="2"/>
        <v>2020</v>
      </c>
      <c r="R45" s="43" t="str">
        <f t="shared" si="12"/>
        <v>08/01/2020</v>
      </c>
      <c r="S45" s="31" t="str">
        <f t="shared" si="13"/>
        <v>0001</v>
      </c>
      <c r="T45" s="31" t="str">
        <f t="shared" si="14"/>
        <v>0000002601302997</v>
      </c>
      <c r="U45" s="31" t="str">
        <f t="shared" si="15"/>
        <v>F</v>
      </c>
      <c r="V45" s="31" t="str">
        <f t="shared" si="16"/>
        <v>A</v>
      </c>
      <c r="W45" s="31" t="str">
        <f t="shared" si="17"/>
        <v>00000000000001302997</v>
      </c>
      <c r="X45" s="31" t="str">
        <f t="shared" si="18"/>
        <v>00000022,79</v>
      </c>
      <c r="Y45" s="31" t="str">
        <f t="shared" si="4"/>
        <v>901003057142135208/01/202000010000002601302997FA0000000000000130299700000022,79</v>
      </c>
      <c r="Z45" s="31">
        <f t="shared" si="5"/>
        <v>79</v>
      </c>
      <c r="AA45" s="44">
        <v>940</v>
      </c>
      <c r="AB45" s="31" t="str">
        <f t="shared" si="6"/>
        <v>OK</v>
      </c>
    </row>
    <row r="46" spans="1:28" s="31" customFormat="1" x14ac:dyDescent="0.2">
      <c r="A46" s="38">
        <v>901</v>
      </c>
      <c r="B46" s="46">
        <v>30571421352</v>
      </c>
      <c r="C46" s="2">
        <v>43838</v>
      </c>
      <c r="D46" s="38">
        <v>1</v>
      </c>
      <c r="E46">
        <v>2601300944</v>
      </c>
      <c r="F46" s="41" t="s">
        <v>50</v>
      </c>
      <c r="G46" s="42" t="s">
        <v>51</v>
      </c>
      <c r="H46">
        <v>1300944</v>
      </c>
      <c r="I46" s="61" t="s">
        <v>93</v>
      </c>
      <c r="J46" s="43" t="str">
        <f t="shared" si="7"/>
        <v>0030571421352</v>
      </c>
      <c r="K46" s="43" t="str">
        <f t="shared" si="8"/>
        <v>901</v>
      </c>
      <c r="L46" s="43">
        <f t="shared" si="9"/>
        <v>8</v>
      </c>
      <c r="M46" s="43" t="str">
        <f t="shared" si="0"/>
        <v>08</v>
      </c>
      <c r="N46" s="43">
        <f t="shared" si="10"/>
        <v>1</v>
      </c>
      <c r="O46" s="43" t="str">
        <f t="shared" si="1"/>
        <v>01</v>
      </c>
      <c r="P46" s="43">
        <f t="shared" si="11"/>
        <v>2020</v>
      </c>
      <c r="Q46" s="43" t="str">
        <f t="shared" si="2"/>
        <v>2020</v>
      </c>
      <c r="R46" s="43" t="str">
        <f t="shared" si="12"/>
        <v>08/01/2020</v>
      </c>
      <c r="S46" s="31" t="str">
        <f t="shared" si="13"/>
        <v>0001</v>
      </c>
      <c r="T46" s="31" t="str">
        <f t="shared" si="14"/>
        <v>0000002601300944</v>
      </c>
      <c r="U46" s="31" t="str">
        <f t="shared" si="15"/>
        <v>F</v>
      </c>
      <c r="V46" s="31" t="str">
        <f t="shared" si="16"/>
        <v>A</v>
      </c>
      <c r="W46" s="31" t="str">
        <f t="shared" si="17"/>
        <v>00000000000001300944</v>
      </c>
      <c r="X46" s="31" t="str">
        <f t="shared" si="18"/>
        <v>00000033,22</v>
      </c>
      <c r="Y46" s="31" t="str">
        <f t="shared" si="4"/>
        <v>901003057142135208/01/202000010000002601300944FA0000000000000130094400000033,22</v>
      </c>
      <c r="Z46" s="31">
        <f t="shared" si="5"/>
        <v>79</v>
      </c>
      <c r="AA46" s="44">
        <v>941</v>
      </c>
      <c r="AB46" s="31" t="str">
        <f t="shared" si="6"/>
        <v>OK</v>
      </c>
    </row>
    <row r="47" spans="1:28" s="31" customFormat="1" x14ac:dyDescent="0.2">
      <c r="A47" s="38">
        <v>901</v>
      </c>
      <c r="B47" s="46">
        <v>30571421352</v>
      </c>
      <c r="C47" s="2">
        <v>43839</v>
      </c>
      <c r="D47" s="38">
        <v>1</v>
      </c>
      <c r="E47">
        <v>2601303436</v>
      </c>
      <c r="F47" s="41" t="s">
        <v>50</v>
      </c>
      <c r="G47" s="42" t="s">
        <v>51</v>
      </c>
      <c r="H47">
        <v>1303436</v>
      </c>
      <c r="I47" s="61" t="s">
        <v>94</v>
      </c>
      <c r="J47" s="43" t="str">
        <f t="shared" si="7"/>
        <v>0030571421352</v>
      </c>
      <c r="K47" s="43" t="str">
        <f t="shared" si="8"/>
        <v>901</v>
      </c>
      <c r="L47" s="43">
        <f t="shared" si="9"/>
        <v>9</v>
      </c>
      <c r="M47" s="43" t="str">
        <f t="shared" si="0"/>
        <v>09</v>
      </c>
      <c r="N47" s="43">
        <f t="shared" si="10"/>
        <v>1</v>
      </c>
      <c r="O47" s="43" t="str">
        <f t="shared" si="1"/>
        <v>01</v>
      </c>
      <c r="P47" s="43">
        <f t="shared" si="11"/>
        <v>2020</v>
      </c>
      <c r="Q47" s="43" t="str">
        <f t="shared" si="2"/>
        <v>2020</v>
      </c>
      <c r="R47" s="43" t="str">
        <f t="shared" si="12"/>
        <v>09/01/2020</v>
      </c>
      <c r="S47" s="31" t="str">
        <f t="shared" si="13"/>
        <v>0001</v>
      </c>
      <c r="T47" s="31" t="str">
        <f t="shared" si="14"/>
        <v>0000002601303436</v>
      </c>
      <c r="U47" s="31" t="str">
        <f t="shared" si="15"/>
        <v>F</v>
      </c>
      <c r="V47" s="31" t="str">
        <f t="shared" si="16"/>
        <v>A</v>
      </c>
      <c r="W47" s="31" t="str">
        <f t="shared" si="17"/>
        <v>00000000000001303436</v>
      </c>
      <c r="X47" s="31" t="str">
        <f t="shared" si="18"/>
        <v>00000262,04</v>
      </c>
      <c r="Y47" s="31" t="str">
        <f t="shared" si="4"/>
        <v>901003057142135209/01/202000010000002601303436FA0000000000000130343600000262,04</v>
      </c>
      <c r="Z47" s="31">
        <f t="shared" si="5"/>
        <v>79</v>
      </c>
      <c r="AA47" s="44">
        <v>942</v>
      </c>
      <c r="AB47" s="31" t="str">
        <f t="shared" si="6"/>
        <v>OK</v>
      </c>
    </row>
    <row r="48" spans="1:28" s="31" customFormat="1" x14ac:dyDescent="0.2">
      <c r="A48" s="38">
        <v>901</v>
      </c>
      <c r="B48" s="46">
        <v>30571421352</v>
      </c>
      <c r="C48" s="2">
        <v>43839</v>
      </c>
      <c r="D48" s="38">
        <v>1</v>
      </c>
      <c r="E48">
        <v>2601303378</v>
      </c>
      <c r="F48" s="41" t="s">
        <v>50</v>
      </c>
      <c r="G48" s="42" t="s">
        <v>51</v>
      </c>
      <c r="H48">
        <v>1303378</v>
      </c>
      <c r="I48" s="61" t="s">
        <v>95</v>
      </c>
      <c r="J48" s="43" t="str">
        <f t="shared" si="7"/>
        <v>0030571421352</v>
      </c>
      <c r="K48" s="43" t="str">
        <f t="shared" si="8"/>
        <v>901</v>
      </c>
      <c r="L48" s="43">
        <f t="shared" si="9"/>
        <v>9</v>
      </c>
      <c r="M48" s="43" t="str">
        <f t="shared" si="0"/>
        <v>09</v>
      </c>
      <c r="N48" s="43">
        <f t="shared" si="10"/>
        <v>1</v>
      </c>
      <c r="O48" s="43" t="str">
        <f t="shared" si="1"/>
        <v>01</v>
      </c>
      <c r="P48" s="43">
        <f t="shared" si="11"/>
        <v>2020</v>
      </c>
      <c r="Q48" s="43" t="str">
        <f t="shared" si="2"/>
        <v>2020</v>
      </c>
      <c r="R48" s="43" t="str">
        <f t="shared" si="12"/>
        <v>09/01/2020</v>
      </c>
      <c r="S48" s="31" t="str">
        <f t="shared" si="13"/>
        <v>0001</v>
      </c>
      <c r="T48" s="31" t="str">
        <f t="shared" si="14"/>
        <v>0000002601303378</v>
      </c>
      <c r="U48" s="31" t="str">
        <f t="shared" si="15"/>
        <v>F</v>
      </c>
      <c r="V48" s="31" t="str">
        <f t="shared" si="16"/>
        <v>A</v>
      </c>
      <c r="W48" s="31" t="str">
        <f t="shared" si="17"/>
        <v>00000000000001303378</v>
      </c>
      <c r="X48" s="31" t="str">
        <f t="shared" si="18"/>
        <v>00000060,76</v>
      </c>
      <c r="Y48" s="31" t="str">
        <f t="shared" si="4"/>
        <v>901003057142135209/01/202000010000002601303378FA0000000000000130337800000060,76</v>
      </c>
      <c r="Z48" s="31">
        <f t="shared" si="5"/>
        <v>79</v>
      </c>
      <c r="AA48" s="44">
        <v>943</v>
      </c>
      <c r="AB48" s="31" t="str">
        <f t="shared" si="6"/>
        <v>OK</v>
      </c>
    </row>
    <row r="49" spans="1:28" s="31" customFormat="1" x14ac:dyDescent="0.2">
      <c r="A49" s="38">
        <v>901</v>
      </c>
      <c r="B49" s="46">
        <v>30571421352</v>
      </c>
      <c r="C49" s="2">
        <v>43839</v>
      </c>
      <c r="D49" s="38">
        <v>1</v>
      </c>
      <c r="E49">
        <v>2601298880</v>
      </c>
      <c r="F49" s="41" t="s">
        <v>50</v>
      </c>
      <c r="G49" s="42" t="s">
        <v>51</v>
      </c>
      <c r="H49">
        <v>1298880</v>
      </c>
      <c r="I49" s="61" t="s">
        <v>96</v>
      </c>
      <c r="J49" s="43" t="str">
        <f t="shared" si="7"/>
        <v>0030571421352</v>
      </c>
      <c r="K49" s="43" t="str">
        <f t="shared" si="8"/>
        <v>901</v>
      </c>
      <c r="L49" s="43">
        <f t="shared" si="9"/>
        <v>9</v>
      </c>
      <c r="M49" s="43" t="str">
        <f t="shared" si="0"/>
        <v>09</v>
      </c>
      <c r="N49" s="43">
        <f t="shared" si="10"/>
        <v>1</v>
      </c>
      <c r="O49" s="43" t="str">
        <f t="shared" si="1"/>
        <v>01</v>
      </c>
      <c r="P49" s="43">
        <f t="shared" si="11"/>
        <v>2020</v>
      </c>
      <c r="Q49" s="43" t="str">
        <f t="shared" si="2"/>
        <v>2020</v>
      </c>
      <c r="R49" s="43" t="str">
        <f t="shared" si="12"/>
        <v>09/01/2020</v>
      </c>
      <c r="S49" s="31" t="str">
        <f t="shared" si="13"/>
        <v>0001</v>
      </c>
      <c r="T49" s="31" t="str">
        <f t="shared" si="14"/>
        <v>0000002601298880</v>
      </c>
      <c r="U49" s="31" t="str">
        <f t="shared" si="15"/>
        <v>F</v>
      </c>
      <c r="V49" s="31" t="str">
        <f t="shared" si="16"/>
        <v>A</v>
      </c>
      <c r="W49" s="31" t="str">
        <f t="shared" si="17"/>
        <v>00000000000001298880</v>
      </c>
      <c r="X49" s="31" t="str">
        <f t="shared" si="18"/>
        <v>00000021,12</v>
      </c>
      <c r="Y49" s="31" t="str">
        <f t="shared" si="4"/>
        <v>901003057142135209/01/202000010000002601298880FA0000000000000129888000000021,12</v>
      </c>
      <c r="Z49" s="31">
        <f t="shared" si="5"/>
        <v>79</v>
      </c>
      <c r="AA49" s="44">
        <v>944</v>
      </c>
      <c r="AB49" s="31" t="str">
        <f t="shared" si="6"/>
        <v>OK</v>
      </c>
    </row>
    <row r="50" spans="1:28" s="31" customFormat="1" x14ac:dyDescent="0.2">
      <c r="A50" s="38">
        <v>901</v>
      </c>
      <c r="B50" s="46">
        <v>30571421352</v>
      </c>
      <c r="C50" s="2">
        <v>43840</v>
      </c>
      <c r="D50" s="38">
        <v>1</v>
      </c>
      <c r="E50">
        <v>2601303694</v>
      </c>
      <c r="F50" s="41" t="s">
        <v>50</v>
      </c>
      <c r="G50" s="42" t="s">
        <v>51</v>
      </c>
      <c r="H50">
        <v>1303694</v>
      </c>
      <c r="I50" s="61" t="s">
        <v>97</v>
      </c>
      <c r="J50" s="43" t="str">
        <f t="shared" si="7"/>
        <v>0030571421352</v>
      </c>
      <c r="K50" s="43" t="str">
        <f t="shared" si="8"/>
        <v>901</v>
      </c>
      <c r="L50" s="43">
        <f t="shared" si="9"/>
        <v>10</v>
      </c>
      <c r="M50" s="43" t="str">
        <f t="shared" si="0"/>
        <v>10</v>
      </c>
      <c r="N50" s="43">
        <f t="shared" si="10"/>
        <v>1</v>
      </c>
      <c r="O50" s="43" t="str">
        <f t="shared" si="1"/>
        <v>01</v>
      </c>
      <c r="P50" s="43">
        <f t="shared" si="11"/>
        <v>2020</v>
      </c>
      <c r="Q50" s="43" t="str">
        <f t="shared" si="2"/>
        <v>2020</v>
      </c>
      <c r="R50" s="43" t="str">
        <f t="shared" si="12"/>
        <v>10/01/2020</v>
      </c>
      <c r="S50" s="31" t="str">
        <f t="shared" si="13"/>
        <v>0001</v>
      </c>
      <c r="T50" s="31" t="str">
        <f t="shared" si="14"/>
        <v>0000002601303694</v>
      </c>
      <c r="U50" s="31" t="str">
        <f t="shared" si="15"/>
        <v>F</v>
      </c>
      <c r="V50" s="31" t="str">
        <f t="shared" si="16"/>
        <v>A</v>
      </c>
      <c r="W50" s="31" t="str">
        <f t="shared" si="17"/>
        <v>00000000000001303694</v>
      </c>
      <c r="X50" s="31" t="str">
        <f t="shared" si="18"/>
        <v>00000095,65</v>
      </c>
      <c r="Y50" s="31" t="str">
        <f t="shared" si="4"/>
        <v>901003057142135210/01/202000010000002601303694FA0000000000000130369400000095,65</v>
      </c>
      <c r="Z50" s="31">
        <f t="shared" si="5"/>
        <v>79</v>
      </c>
      <c r="AA50" s="44">
        <v>945</v>
      </c>
      <c r="AB50" s="31" t="str">
        <f t="shared" si="6"/>
        <v>OK</v>
      </c>
    </row>
    <row r="51" spans="1:28" s="31" customFormat="1" x14ac:dyDescent="0.2">
      <c r="A51" s="38">
        <v>901</v>
      </c>
      <c r="B51" s="46">
        <v>30571421352</v>
      </c>
      <c r="C51" s="2">
        <v>43840</v>
      </c>
      <c r="D51" s="38">
        <v>1</v>
      </c>
      <c r="E51">
        <v>2601303568</v>
      </c>
      <c r="F51" s="41" t="s">
        <v>50</v>
      </c>
      <c r="G51" s="42" t="s">
        <v>51</v>
      </c>
      <c r="H51">
        <v>1303568</v>
      </c>
      <c r="I51" s="61" t="s">
        <v>98</v>
      </c>
      <c r="J51" s="43" t="str">
        <f t="shared" si="7"/>
        <v>0030571421352</v>
      </c>
      <c r="K51" s="43" t="str">
        <f t="shared" si="8"/>
        <v>901</v>
      </c>
      <c r="L51" s="43">
        <f t="shared" si="9"/>
        <v>10</v>
      </c>
      <c r="M51" s="43" t="str">
        <f t="shared" si="0"/>
        <v>10</v>
      </c>
      <c r="N51" s="43">
        <f t="shared" si="10"/>
        <v>1</v>
      </c>
      <c r="O51" s="43" t="str">
        <f t="shared" si="1"/>
        <v>01</v>
      </c>
      <c r="P51" s="43">
        <f t="shared" si="11"/>
        <v>2020</v>
      </c>
      <c r="Q51" s="43" t="str">
        <f t="shared" si="2"/>
        <v>2020</v>
      </c>
      <c r="R51" s="43" t="str">
        <f t="shared" si="12"/>
        <v>10/01/2020</v>
      </c>
      <c r="S51" s="31" t="str">
        <f t="shared" si="13"/>
        <v>0001</v>
      </c>
      <c r="T51" s="31" t="str">
        <f t="shared" si="14"/>
        <v>0000002601303568</v>
      </c>
      <c r="U51" s="31" t="str">
        <f t="shared" si="15"/>
        <v>F</v>
      </c>
      <c r="V51" s="31" t="str">
        <f t="shared" si="16"/>
        <v>A</v>
      </c>
      <c r="W51" s="31" t="str">
        <f t="shared" si="17"/>
        <v>00000000000001303568</v>
      </c>
      <c r="X51" s="31" t="str">
        <f t="shared" si="18"/>
        <v>00000070,26</v>
      </c>
      <c r="Y51" s="31" t="str">
        <f t="shared" si="4"/>
        <v>901003057142135210/01/202000010000002601303568FA0000000000000130356800000070,26</v>
      </c>
      <c r="Z51" s="31">
        <f t="shared" si="5"/>
        <v>79</v>
      </c>
      <c r="AA51" s="44">
        <v>946</v>
      </c>
      <c r="AB51" s="31" t="str">
        <f t="shared" si="6"/>
        <v>OK</v>
      </c>
    </row>
    <row r="52" spans="1:28" s="31" customFormat="1" x14ac:dyDescent="0.2">
      <c r="A52" s="38">
        <v>901</v>
      </c>
      <c r="B52" s="46">
        <v>30571421352</v>
      </c>
      <c r="C52" s="2">
        <v>43840</v>
      </c>
      <c r="D52" s="38">
        <v>1</v>
      </c>
      <c r="E52">
        <v>2601301555</v>
      </c>
      <c r="F52" s="41" t="s">
        <v>50</v>
      </c>
      <c r="G52" s="42" t="s">
        <v>51</v>
      </c>
      <c r="H52">
        <v>1301555</v>
      </c>
      <c r="I52" s="61" t="s">
        <v>99</v>
      </c>
      <c r="J52" s="43" t="str">
        <f t="shared" si="7"/>
        <v>0030571421352</v>
      </c>
      <c r="K52" s="43" t="str">
        <f t="shared" si="8"/>
        <v>901</v>
      </c>
      <c r="L52" s="43">
        <f t="shared" si="9"/>
        <v>10</v>
      </c>
      <c r="M52" s="43" t="str">
        <f t="shared" si="0"/>
        <v>10</v>
      </c>
      <c r="N52" s="43">
        <f t="shared" si="10"/>
        <v>1</v>
      </c>
      <c r="O52" s="43" t="str">
        <f t="shared" si="1"/>
        <v>01</v>
      </c>
      <c r="P52" s="43">
        <f t="shared" si="11"/>
        <v>2020</v>
      </c>
      <c r="Q52" s="43" t="str">
        <f t="shared" si="2"/>
        <v>2020</v>
      </c>
      <c r="R52" s="43" t="str">
        <f t="shared" si="12"/>
        <v>10/01/2020</v>
      </c>
      <c r="S52" s="31" t="str">
        <f t="shared" si="13"/>
        <v>0001</v>
      </c>
      <c r="T52" s="31" t="str">
        <f t="shared" si="14"/>
        <v>0000002601301555</v>
      </c>
      <c r="U52" s="31" t="str">
        <f t="shared" si="15"/>
        <v>F</v>
      </c>
      <c r="V52" s="31" t="str">
        <f t="shared" si="16"/>
        <v>A</v>
      </c>
      <c r="W52" s="31" t="str">
        <f t="shared" si="17"/>
        <v>00000000000001301555</v>
      </c>
      <c r="X52" s="31" t="str">
        <f t="shared" si="18"/>
        <v>00000101,08</v>
      </c>
      <c r="Y52" s="31" t="str">
        <f t="shared" si="4"/>
        <v>901003057142135210/01/202000010000002601301555FA0000000000000130155500000101,08</v>
      </c>
      <c r="Z52" s="31">
        <f t="shared" si="5"/>
        <v>79</v>
      </c>
      <c r="AA52" s="44">
        <v>947</v>
      </c>
      <c r="AB52" s="31" t="str">
        <f t="shared" si="6"/>
        <v>OK</v>
      </c>
    </row>
    <row r="53" spans="1:28" s="31" customFormat="1" x14ac:dyDescent="0.2">
      <c r="A53" s="38">
        <v>901</v>
      </c>
      <c r="B53" s="46">
        <v>30571421352</v>
      </c>
      <c r="C53" s="2">
        <v>43843</v>
      </c>
      <c r="D53" s="38">
        <v>1</v>
      </c>
      <c r="E53">
        <v>2601303953</v>
      </c>
      <c r="F53" s="41" t="s">
        <v>50</v>
      </c>
      <c r="G53" s="42" t="s">
        <v>51</v>
      </c>
      <c r="H53">
        <v>1303953</v>
      </c>
      <c r="I53" s="61" t="s">
        <v>100</v>
      </c>
      <c r="J53" s="43" t="str">
        <f t="shared" si="7"/>
        <v>0030571421352</v>
      </c>
      <c r="K53" s="43" t="str">
        <f t="shared" si="8"/>
        <v>901</v>
      </c>
      <c r="L53" s="43">
        <f t="shared" si="9"/>
        <v>13</v>
      </c>
      <c r="M53" s="43" t="str">
        <f t="shared" si="0"/>
        <v>13</v>
      </c>
      <c r="N53" s="43">
        <f t="shared" si="10"/>
        <v>1</v>
      </c>
      <c r="O53" s="43" t="str">
        <f t="shared" si="1"/>
        <v>01</v>
      </c>
      <c r="P53" s="43">
        <f t="shared" si="11"/>
        <v>2020</v>
      </c>
      <c r="Q53" s="43" t="str">
        <f t="shared" si="2"/>
        <v>2020</v>
      </c>
      <c r="R53" s="43" t="str">
        <f t="shared" si="12"/>
        <v>13/01/2020</v>
      </c>
      <c r="S53" s="31" t="str">
        <f t="shared" si="13"/>
        <v>0001</v>
      </c>
      <c r="T53" s="31" t="str">
        <f t="shared" si="14"/>
        <v>0000002601303953</v>
      </c>
      <c r="U53" s="31" t="str">
        <f t="shared" si="15"/>
        <v>F</v>
      </c>
      <c r="V53" s="31" t="str">
        <f t="shared" si="16"/>
        <v>A</v>
      </c>
      <c r="W53" s="31" t="str">
        <f t="shared" si="17"/>
        <v>00000000000001303953</v>
      </c>
      <c r="X53" s="31" t="str">
        <f t="shared" si="18"/>
        <v>00000086,53</v>
      </c>
      <c r="Y53" s="31" t="str">
        <f t="shared" si="4"/>
        <v>901003057142135213/01/202000010000002601303953FA0000000000000130395300000086,53</v>
      </c>
      <c r="Z53" s="31">
        <f t="shared" si="5"/>
        <v>79</v>
      </c>
      <c r="AA53" s="44">
        <v>948</v>
      </c>
      <c r="AB53" s="31" t="str">
        <f t="shared" si="6"/>
        <v>OK</v>
      </c>
    </row>
    <row r="54" spans="1:28" s="31" customFormat="1" x14ac:dyDescent="0.2">
      <c r="A54" s="38">
        <v>901</v>
      </c>
      <c r="B54" s="46">
        <v>30571421352</v>
      </c>
      <c r="C54" s="2">
        <v>43843</v>
      </c>
      <c r="D54" s="38">
        <v>1</v>
      </c>
      <c r="E54">
        <v>2601303830</v>
      </c>
      <c r="F54" s="41" t="s">
        <v>50</v>
      </c>
      <c r="G54" s="42" t="s">
        <v>51</v>
      </c>
      <c r="H54">
        <v>1303830</v>
      </c>
      <c r="I54" s="61" t="s">
        <v>101</v>
      </c>
      <c r="J54" s="43" t="str">
        <f t="shared" si="7"/>
        <v>0030571421352</v>
      </c>
      <c r="K54" s="43" t="str">
        <f t="shared" si="8"/>
        <v>901</v>
      </c>
      <c r="L54" s="43">
        <f t="shared" si="9"/>
        <v>13</v>
      </c>
      <c r="M54" s="43" t="str">
        <f t="shared" si="0"/>
        <v>13</v>
      </c>
      <c r="N54" s="43">
        <f t="shared" si="10"/>
        <v>1</v>
      </c>
      <c r="O54" s="43" t="str">
        <f t="shared" si="1"/>
        <v>01</v>
      </c>
      <c r="P54" s="43">
        <f t="shared" si="11"/>
        <v>2020</v>
      </c>
      <c r="Q54" s="43" t="str">
        <f t="shared" si="2"/>
        <v>2020</v>
      </c>
      <c r="R54" s="43" t="str">
        <f t="shared" si="12"/>
        <v>13/01/2020</v>
      </c>
      <c r="S54" s="31" t="str">
        <f t="shared" si="13"/>
        <v>0001</v>
      </c>
      <c r="T54" s="31" t="str">
        <f t="shared" si="14"/>
        <v>0000002601303830</v>
      </c>
      <c r="U54" s="31" t="str">
        <f t="shared" si="15"/>
        <v>F</v>
      </c>
      <c r="V54" s="31" t="str">
        <f t="shared" si="16"/>
        <v>A</v>
      </c>
      <c r="W54" s="31" t="str">
        <f t="shared" si="17"/>
        <v>00000000000001303830</v>
      </c>
      <c r="X54" s="31" t="str">
        <f t="shared" si="18"/>
        <v>00000019,82</v>
      </c>
      <c r="Y54" s="31" t="str">
        <f t="shared" si="4"/>
        <v>901003057142135213/01/202000010000002601303830FA0000000000000130383000000019,82</v>
      </c>
      <c r="Z54" s="31">
        <f t="shared" si="5"/>
        <v>79</v>
      </c>
      <c r="AA54" s="44">
        <v>949</v>
      </c>
      <c r="AB54" s="31" t="str">
        <f t="shared" si="6"/>
        <v>OK</v>
      </c>
    </row>
    <row r="55" spans="1:28" s="31" customFormat="1" x14ac:dyDescent="0.2">
      <c r="A55" s="38">
        <v>901</v>
      </c>
      <c r="B55" s="46">
        <v>30571421352</v>
      </c>
      <c r="C55" s="2">
        <v>43843</v>
      </c>
      <c r="D55" s="38">
        <v>1</v>
      </c>
      <c r="E55">
        <v>2601301840</v>
      </c>
      <c r="F55" s="41" t="s">
        <v>50</v>
      </c>
      <c r="G55" s="42" t="s">
        <v>51</v>
      </c>
      <c r="H55">
        <v>1301840</v>
      </c>
      <c r="I55" s="61" t="s">
        <v>102</v>
      </c>
      <c r="J55" s="43" t="str">
        <f t="shared" si="7"/>
        <v>0030571421352</v>
      </c>
      <c r="K55" s="43" t="str">
        <f t="shared" si="8"/>
        <v>901</v>
      </c>
      <c r="L55" s="43">
        <f t="shared" si="9"/>
        <v>13</v>
      </c>
      <c r="M55" s="43" t="str">
        <f t="shared" si="0"/>
        <v>13</v>
      </c>
      <c r="N55" s="43">
        <f t="shared" si="10"/>
        <v>1</v>
      </c>
      <c r="O55" s="43" t="str">
        <f t="shared" si="1"/>
        <v>01</v>
      </c>
      <c r="P55" s="43">
        <f t="shared" si="11"/>
        <v>2020</v>
      </c>
      <c r="Q55" s="43" t="str">
        <f t="shared" si="2"/>
        <v>2020</v>
      </c>
      <c r="R55" s="43" t="str">
        <f t="shared" si="12"/>
        <v>13/01/2020</v>
      </c>
      <c r="S55" s="31" t="str">
        <f t="shared" si="13"/>
        <v>0001</v>
      </c>
      <c r="T55" s="31" t="str">
        <f t="shared" si="14"/>
        <v>0000002601301840</v>
      </c>
      <c r="U55" s="31" t="str">
        <f t="shared" si="15"/>
        <v>F</v>
      </c>
      <c r="V55" s="31" t="str">
        <f t="shared" si="16"/>
        <v>A</v>
      </c>
      <c r="W55" s="31" t="str">
        <f t="shared" si="17"/>
        <v>00000000000001301840</v>
      </c>
      <c r="X55" s="31" t="str">
        <f t="shared" si="18"/>
        <v>00000101,56</v>
      </c>
      <c r="Y55" s="31" t="str">
        <f t="shared" si="4"/>
        <v>901003057142135213/01/202000010000002601301840FA0000000000000130184000000101,56</v>
      </c>
      <c r="Z55" s="31">
        <f t="shared" si="5"/>
        <v>79</v>
      </c>
      <c r="AA55" s="44">
        <v>950</v>
      </c>
      <c r="AB55" s="31" t="str">
        <f t="shared" si="6"/>
        <v>OK</v>
      </c>
    </row>
    <row r="56" spans="1:28" s="31" customFormat="1" x14ac:dyDescent="0.2">
      <c r="A56" s="38">
        <v>901</v>
      </c>
      <c r="B56" s="46">
        <v>30571421352</v>
      </c>
      <c r="C56" s="2">
        <v>43843</v>
      </c>
      <c r="D56" s="38">
        <v>1</v>
      </c>
      <c r="E56">
        <v>2601301796</v>
      </c>
      <c r="F56" s="41" t="s">
        <v>50</v>
      </c>
      <c r="G56" s="42" t="s">
        <v>51</v>
      </c>
      <c r="H56">
        <v>1301796</v>
      </c>
      <c r="I56" s="61" t="s">
        <v>54</v>
      </c>
      <c r="J56" s="43" t="str">
        <f t="shared" si="7"/>
        <v>0030571421352</v>
      </c>
      <c r="K56" s="43" t="str">
        <f t="shared" si="8"/>
        <v>901</v>
      </c>
      <c r="L56" s="43">
        <f t="shared" si="9"/>
        <v>13</v>
      </c>
      <c r="M56" s="43" t="str">
        <f t="shared" si="0"/>
        <v>13</v>
      </c>
      <c r="N56" s="43">
        <f t="shared" si="10"/>
        <v>1</v>
      </c>
      <c r="O56" s="43" t="str">
        <f t="shared" si="1"/>
        <v>01</v>
      </c>
      <c r="P56" s="43">
        <f t="shared" si="11"/>
        <v>2020</v>
      </c>
      <c r="Q56" s="43" t="str">
        <f t="shared" si="2"/>
        <v>2020</v>
      </c>
      <c r="R56" s="43" t="str">
        <f t="shared" si="12"/>
        <v>13/01/2020</v>
      </c>
      <c r="S56" s="31" t="str">
        <f t="shared" si="13"/>
        <v>0001</v>
      </c>
      <c r="T56" s="31" t="str">
        <f t="shared" si="14"/>
        <v>0000002601301796</v>
      </c>
      <c r="U56" s="31" t="str">
        <f t="shared" si="15"/>
        <v>F</v>
      </c>
      <c r="V56" s="31" t="str">
        <f t="shared" si="16"/>
        <v>A</v>
      </c>
      <c r="W56" s="31" t="str">
        <f t="shared" si="17"/>
        <v>00000000000001301796</v>
      </c>
      <c r="X56" s="31" t="str">
        <f t="shared" si="18"/>
        <v>00000035,59</v>
      </c>
      <c r="Y56" s="31" t="str">
        <f t="shared" si="4"/>
        <v>901003057142135213/01/202000010000002601301796FA0000000000000130179600000035,59</v>
      </c>
      <c r="Z56" s="31">
        <f t="shared" si="5"/>
        <v>79</v>
      </c>
      <c r="AA56" s="44">
        <v>951</v>
      </c>
      <c r="AB56" s="31" t="str">
        <f t="shared" si="6"/>
        <v>OK</v>
      </c>
    </row>
    <row r="57" spans="1:28" s="31" customFormat="1" x14ac:dyDescent="0.2">
      <c r="A57" s="38">
        <v>901</v>
      </c>
      <c r="B57" s="46">
        <v>30571421352</v>
      </c>
      <c r="C57" s="2">
        <v>43844</v>
      </c>
      <c r="D57" s="38">
        <v>1</v>
      </c>
      <c r="E57">
        <v>2601304183</v>
      </c>
      <c r="F57" s="41" t="s">
        <v>50</v>
      </c>
      <c r="G57" s="42" t="s">
        <v>51</v>
      </c>
      <c r="H57">
        <v>1304183</v>
      </c>
      <c r="I57" s="61" t="s">
        <v>103</v>
      </c>
      <c r="J57" s="43" t="str">
        <f t="shared" si="7"/>
        <v>0030571421352</v>
      </c>
      <c r="K57" s="43" t="str">
        <f t="shared" si="8"/>
        <v>901</v>
      </c>
      <c r="L57" s="43">
        <f t="shared" si="9"/>
        <v>14</v>
      </c>
      <c r="M57" s="43" t="str">
        <f t="shared" si="0"/>
        <v>14</v>
      </c>
      <c r="N57" s="43">
        <f t="shared" si="10"/>
        <v>1</v>
      </c>
      <c r="O57" s="43" t="str">
        <f t="shared" si="1"/>
        <v>01</v>
      </c>
      <c r="P57" s="43">
        <f t="shared" si="11"/>
        <v>2020</v>
      </c>
      <c r="Q57" s="43" t="str">
        <f t="shared" si="2"/>
        <v>2020</v>
      </c>
      <c r="R57" s="43" t="str">
        <f t="shared" si="12"/>
        <v>14/01/2020</v>
      </c>
      <c r="S57" s="31" t="str">
        <f t="shared" si="13"/>
        <v>0001</v>
      </c>
      <c r="T57" s="31" t="str">
        <f t="shared" si="14"/>
        <v>0000002601304183</v>
      </c>
      <c r="U57" s="31" t="str">
        <f t="shared" si="15"/>
        <v>F</v>
      </c>
      <c r="V57" s="31" t="str">
        <f t="shared" si="16"/>
        <v>A</v>
      </c>
      <c r="W57" s="31" t="str">
        <f t="shared" si="17"/>
        <v>00000000000001304183</v>
      </c>
      <c r="X57" s="31" t="str">
        <f t="shared" si="18"/>
        <v>00000647,76</v>
      </c>
      <c r="Y57" s="31" t="str">
        <f t="shared" si="4"/>
        <v>901003057142135214/01/202000010000002601304183FA0000000000000130418300000647,76</v>
      </c>
      <c r="Z57" s="31">
        <f t="shared" si="5"/>
        <v>79</v>
      </c>
      <c r="AA57" s="44">
        <v>952</v>
      </c>
      <c r="AB57" s="31" t="str">
        <f t="shared" si="6"/>
        <v>OK</v>
      </c>
    </row>
    <row r="58" spans="1:28" s="31" customFormat="1" x14ac:dyDescent="0.2">
      <c r="A58" s="38">
        <v>901</v>
      </c>
      <c r="B58" s="46">
        <v>30571421352</v>
      </c>
      <c r="C58" s="2">
        <v>43844</v>
      </c>
      <c r="D58" s="38">
        <v>1</v>
      </c>
      <c r="E58">
        <v>2601304062</v>
      </c>
      <c r="F58" s="41" t="s">
        <v>50</v>
      </c>
      <c r="G58" s="42" t="s">
        <v>51</v>
      </c>
      <c r="H58">
        <v>1304062</v>
      </c>
      <c r="I58" s="61" t="s">
        <v>104</v>
      </c>
      <c r="J58" s="43" t="str">
        <f t="shared" si="7"/>
        <v>0030571421352</v>
      </c>
      <c r="K58" s="43" t="str">
        <f t="shared" si="8"/>
        <v>901</v>
      </c>
      <c r="L58" s="43">
        <f t="shared" si="9"/>
        <v>14</v>
      </c>
      <c r="M58" s="43" t="str">
        <f t="shared" si="0"/>
        <v>14</v>
      </c>
      <c r="N58" s="43">
        <f t="shared" si="10"/>
        <v>1</v>
      </c>
      <c r="O58" s="43" t="str">
        <f t="shared" si="1"/>
        <v>01</v>
      </c>
      <c r="P58" s="43">
        <f t="shared" si="11"/>
        <v>2020</v>
      </c>
      <c r="Q58" s="43" t="str">
        <f t="shared" si="2"/>
        <v>2020</v>
      </c>
      <c r="R58" s="43" t="str">
        <f t="shared" si="12"/>
        <v>14/01/2020</v>
      </c>
      <c r="S58" s="31" t="str">
        <f t="shared" si="13"/>
        <v>0001</v>
      </c>
      <c r="T58" s="31" t="str">
        <f t="shared" si="14"/>
        <v>0000002601304062</v>
      </c>
      <c r="U58" s="31" t="str">
        <f t="shared" si="15"/>
        <v>F</v>
      </c>
      <c r="V58" s="31" t="str">
        <f t="shared" si="16"/>
        <v>A</v>
      </c>
      <c r="W58" s="31" t="str">
        <f t="shared" si="17"/>
        <v>00000000000001304062</v>
      </c>
      <c r="X58" s="31" t="str">
        <f t="shared" si="18"/>
        <v>00000017,34</v>
      </c>
      <c r="Y58" s="31" t="str">
        <f t="shared" si="4"/>
        <v>901003057142135214/01/202000010000002601304062FA0000000000000130406200000017,34</v>
      </c>
      <c r="Z58" s="31">
        <f t="shared" si="5"/>
        <v>79</v>
      </c>
      <c r="AA58" s="44">
        <v>953</v>
      </c>
      <c r="AB58" s="31" t="str">
        <f t="shared" si="6"/>
        <v>OK</v>
      </c>
    </row>
    <row r="59" spans="1:28" s="31" customFormat="1" x14ac:dyDescent="0.2">
      <c r="A59" s="38">
        <v>901</v>
      </c>
      <c r="B59" s="46">
        <v>30571421352</v>
      </c>
      <c r="C59" s="2">
        <v>43844</v>
      </c>
      <c r="D59" s="38">
        <v>1</v>
      </c>
      <c r="E59">
        <v>2601302136</v>
      </c>
      <c r="F59" s="41" t="s">
        <v>50</v>
      </c>
      <c r="G59" s="42" t="s">
        <v>51</v>
      </c>
      <c r="H59">
        <v>1302136</v>
      </c>
      <c r="I59" s="61" t="s">
        <v>105</v>
      </c>
      <c r="J59" s="43" t="str">
        <f t="shared" si="7"/>
        <v>0030571421352</v>
      </c>
      <c r="K59" s="43" t="str">
        <f t="shared" si="8"/>
        <v>901</v>
      </c>
      <c r="L59" s="43">
        <f t="shared" si="9"/>
        <v>14</v>
      </c>
      <c r="M59" s="43" t="str">
        <f t="shared" si="0"/>
        <v>14</v>
      </c>
      <c r="N59" s="43">
        <f t="shared" si="10"/>
        <v>1</v>
      </c>
      <c r="O59" s="43" t="str">
        <f t="shared" si="1"/>
        <v>01</v>
      </c>
      <c r="P59" s="43">
        <f t="shared" si="11"/>
        <v>2020</v>
      </c>
      <c r="Q59" s="43" t="str">
        <f t="shared" si="2"/>
        <v>2020</v>
      </c>
      <c r="R59" s="43" t="str">
        <f t="shared" si="12"/>
        <v>14/01/2020</v>
      </c>
      <c r="S59" s="31" t="str">
        <f t="shared" si="13"/>
        <v>0001</v>
      </c>
      <c r="T59" s="31" t="str">
        <f t="shared" si="14"/>
        <v>0000002601302136</v>
      </c>
      <c r="U59" s="31" t="str">
        <f t="shared" si="15"/>
        <v>F</v>
      </c>
      <c r="V59" s="31" t="str">
        <f t="shared" si="16"/>
        <v>A</v>
      </c>
      <c r="W59" s="31" t="str">
        <f t="shared" si="17"/>
        <v>00000000000001302136</v>
      </c>
      <c r="X59" s="31" t="str">
        <f t="shared" si="18"/>
        <v>00000037,97</v>
      </c>
      <c r="Y59" s="31" t="str">
        <f t="shared" si="4"/>
        <v>901003057142135214/01/202000010000002601302136FA0000000000000130213600000037,97</v>
      </c>
      <c r="Z59" s="31">
        <f t="shared" si="5"/>
        <v>79</v>
      </c>
      <c r="AA59" s="44">
        <v>954</v>
      </c>
      <c r="AB59" s="31" t="str">
        <f t="shared" si="6"/>
        <v>OK</v>
      </c>
    </row>
    <row r="60" spans="1:28" s="31" customFormat="1" x14ac:dyDescent="0.2">
      <c r="A60" s="38">
        <v>901</v>
      </c>
      <c r="B60" s="46">
        <v>30571421352</v>
      </c>
      <c r="C60" s="2">
        <v>43845</v>
      </c>
      <c r="D60" s="38">
        <v>1</v>
      </c>
      <c r="E60">
        <v>2601304475</v>
      </c>
      <c r="F60" s="41" t="s">
        <v>50</v>
      </c>
      <c r="G60" s="42" t="s">
        <v>51</v>
      </c>
      <c r="H60">
        <v>1304475</v>
      </c>
      <c r="I60" s="61" t="s">
        <v>106</v>
      </c>
      <c r="J60" s="43" t="str">
        <f t="shared" si="7"/>
        <v>0030571421352</v>
      </c>
      <c r="K60" s="43" t="str">
        <f t="shared" si="8"/>
        <v>901</v>
      </c>
      <c r="L60" s="43">
        <f t="shared" si="9"/>
        <v>15</v>
      </c>
      <c r="M60" s="43" t="str">
        <f t="shared" si="0"/>
        <v>15</v>
      </c>
      <c r="N60" s="43">
        <f t="shared" si="10"/>
        <v>1</v>
      </c>
      <c r="O60" s="43" t="str">
        <f t="shared" si="1"/>
        <v>01</v>
      </c>
      <c r="P60" s="43">
        <f t="shared" si="11"/>
        <v>2020</v>
      </c>
      <c r="Q60" s="43" t="str">
        <f t="shared" si="2"/>
        <v>2020</v>
      </c>
      <c r="R60" s="43" t="str">
        <f t="shared" si="12"/>
        <v>15/01/2020</v>
      </c>
      <c r="S60" s="31" t="str">
        <f t="shared" si="13"/>
        <v>0001</v>
      </c>
      <c r="T60" s="31" t="str">
        <f t="shared" si="14"/>
        <v>0000002601304475</v>
      </c>
      <c r="U60" s="31" t="str">
        <f t="shared" si="15"/>
        <v>F</v>
      </c>
      <c r="V60" s="31" t="str">
        <f t="shared" si="16"/>
        <v>A</v>
      </c>
      <c r="W60" s="31" t="str">
        <f t="shared" si="17"/>
        <v>00000000000001304475</v>
      </c>
      <c r="X60" s="31" t="str">
        <f t="shared" si="18"/>
        <v>00000139,53</v>
      </c>
      <c r="Y60" s="31" t="str">
        <f t="shared" si="4"/>
        <v>901003057142135215/01/202000010000002601304475FA0000000000000130447500000139,53</v>
      </c>
      <c r="Z60" s="31">
        <f t="shared" si="5"/>
        <v>79</v>
      </c>
      <c r="AA60" s="44">
        <v>955</v>
      </c>
      <c r="AB60" s="31" t="str">
        <f t="shared" si="6"/>
        <v>OK</v>
      </c>
    </row>
    <row r="61" spans="1:28" s="31" customFormat="1" x14ac:dyDescent="0.2">
      <c r="A61" s="38">
        <v>901</v>
      </c>
      <c r="B61" s="46">
        <v>30571421352</v>
      </c>
      <c r="C61" s="2">
        <v>43845</v>
      </c>
      <c r="D61" s="38">
        <v>1</v>
      </c>
      <c r="E61">
        <v>2601304412</v>
      </c>
      <c r="F61" s="41" t="s">
        <v>50</v>
      </c>
      <c r="G61" s="42" t="s">
        <v>51</v>
      </c>
      <c r="H61">
        <v>1304412</v>
      </c>
      <c r="I61" s="61" t="s">
        <v>107</v>
      </c>
      <c r="J61" s="43" t="str">
        <f t="shared" si="7"/>
        <v>0030571421352</v>
      </c>
      <c r="K61" s="43" t="str">
        <f t="shared" si="8"/>
        <v>901</v>
      </c>
      <c r="L61" s="43">
        <f t="shared" si="9"/>
        <v>15</v>
      </c>
      <c r="M61" s="43" t="str">
        <f t="shared" si="0"/>
        <v>15</v>
      </c>
      <c r="N61" s="43">
        <f t="shared" si="10"/>
        <v>1</v>
      </c>
      <c r="O61" s="43" t="str">
        <f t="shared" si="1"/>
        <v>01</v>
      </c>
      <c r="P61" s="43">
        <f t="shared" si="11"/>
        <v>2020</v>
      </c>
      <c r="Q61" s="43" t="str">
        <f t="shared" si="2"/>
        <v>2020</v>
      </c>
      <c r="R61" s="43" t="str">
        <f t="shared" si="12"/>
        <v>15/01/2020</v>
      </c>
      <c r="S61" s="31" t="str">
        <f t="shared" si="13"/>
        <v>0001</v>
      </c>
      <c r="T61" s="31" t="str">
        <f t="shared" si="14"/>
        <v>0000002601304412</v>
      </c>
      <c r="U61" s="31" t="str">
        <f t="shared" si="15"/>
        <v>F</v>
      </c>
      <c r="V61" s="31" t="str">
        <f t="shared" si="16"/>
        <v>A</v>
      </c>
      <c r="W61" s="31" t="str">
        <f t="shared" si="17"/>
        <v>00000000000001304412</v>
      </c>
      <c r="X61" s="31" t="str">
        <f t="shared" si="18"/>
        <v>00000028,42</v>
      </c>
      <c r="Y61" s="31" t="str">
        <f t="shared" si="4"/>
        <v>901003057142135215/01/202000010000002601304412FA0000000000000130441200000028,42</v>
      </c>
      <c r="Z61" s="31">
        <f t="shared" si="5"/>
        <v>79</v>
      </c>
      <c r="AA61" s="44">
        <v>956</v>
      </c>
      <c r="AB61" s="31" t="str">
        <f t="shared" si="6"/>
        <v>OK</v>
      </c>
    </row>
    <row r="62" spans="1:28" s="31" customFormat="1" x14ac:dyDescent="0.2">
      <c r="A62" s="38">
        <v>901</v>
      </c>
      <c r="B62" s="46">
        <v>30571421352</v>
      </c>
      <c r="C62" s="2">
        <v>43845</v>
      </c>
      <c r="D62" s="38">
        <v>1</v>
      </c>
      <c r="E62">
        <v>2601304312</v>
      </c>
      <c r="F62" s="41" t="s">
        <v>50</v>
      </c>
      <c r="G62" s="42" t="s">
        <v>51</v>
      </c>
      <c r="H62">
        <v>1304312</v>
      </c>
      <c r="I62" s="61" t="s">
        <v>108</v>
      </c>
      <c r="J62" s="43" t="str">
        <f t="shared" si="7"/>
        <v>0030571421352</v>
      </c>
      <c r="K62" s="43" t="str">
        <f t="shared" si="8"/>
        <v>901</v>
      </c>
      <c r="L62" s="43">
        <f t="shared" si="9"/>
        <v>15</v>
      </c>
      <c r="M62" s="43" t="str">
        <f t="shared" si="0"/>
        <v>15</v>
      </c>
      <c r="N62" s="43">
        <f t="shared" si="10"/>
        <v>1</v>
      </c>
      <c r="O62" s="43" t="str">
        <f t="shared" si="1"/>
        <v>01</v>
      </c>
      <c r="P62" s="43">
        <f t="shared" si="11"/>
        <v>2020</v>
      </c>
      <c r="Q62" s="43" t="str">
        <f t="shared" si="2"/>
        <v>2020</v>
      </c>
      <c r="R62" s="43" t="str">
        <f t="shared" si="12"/>
        <v>15/01/2020</v>
      </c>
      <c r="S62" s="31" t="str">
        <f t="shared" si="13"/>
        <v>0001</v>
      </c>
      <c r="T62" s="31" t="str">
        <f t="shared" si="14"/>
        <v>0000002601304312</v>
      </c>
      <c r="U62" s="31" t="str">
        <f t="shared" si="15"/>
        <v>F</v>
      </c>
      <c r="V62" s="31" t="str">
        <f t="shared" si="16"/>
        <v>A</v>
      </c>
      <c r="W62" s="31" t="str">
        <f t="shared" si="17"/>
        <v>00000000000001304312</v>
      </c>
      <c r="X62" s="31" t="str">
        <f t="shared" si="18"/>
        <v>00000049,55</v>
      </c>
      <c r="Y62" s="31" t="str">
        <f t="shared" si="4"/>
        <v>901003057142135215/01/202000010000002601304312FA0000000000000130431200000049,55</v>
      </c>
      <c r="Z62" s="31">
        <f t="shared" si="5"/>
        <v>79</v>
      </c>
      <c r="AA62" s="44">
        <v>957</v>
      </c>
      <c r="AB62" s="31" t="str">
        <f t="shared" si="6"/>
        <v>OK</v>
      </c>
    </row>
    <row r="63" spans="1:28" s="31" customFormat="1" x14ac:dyDescent="0.2">
      <c r="A63" s="38">
        <v>901</v>
      </c>
      <c r="B63" s="46">
        <v>30571421352</v>
      </c>
      <c r="C63" s="2">
        <v>43846</v>
      </c>
      <c r="D63" s="38">
        <v>1</v>
      </c>
      <c r="E63">
        <v>2601304716</v>
      </c>
      <c r="F63" s="41" t="s">
        <v>50</v>
      </c>
      <c r="G63" s="42" t="s">
        <v>51</v>
      </c>
      <c r="H63">
        <v>1304716</v>
      </c>
      <c r="I63" s="61" t="s">
        <v>109</v>
      </c>
      <c r="J63" s="43" t="str">
        <f t="shared" si="7"/>
        <v>0030571421352</v>
      </c>
      <c r="K63" s="43" t="str">
        <f t="shared" si="8"/>
        <v>901</v>
      </c>
      <c r="L63" s="43">
        <f t="shared" si="9"/>
        <v>16</v>
      </c>
      <c r="M63" s="43" t="str">
        <f t="shared" si="0"/>
        <v>16</v>
      </c>
      <c r="N63" s="43">
        <f t="shared" si="10"/>
        <v>1</v>
      </c>
      <c r="O63" s="43" t="str">
        <f t="shared" si="1"/>
        <v>01</v>
      </c>
      <c r="P63" s="43">
        <f t="shared" si="11"/>
        <v>2020</v>
      </c>
      <c r="Q63" s="43" t="str">
        <f t="shared" si="2"/>
        <v>2020</v>
      </c>
      <c r="R63" s="43" t="str">
        <f t="shared" si="12"/>
        <v>16/01/2020</v>
      </c>
      <c r="S63" s="31" t="str">
        <f t="shared" si="13"/>
        <v>0001</v>
      </c>
      <c r="T63" s="31" t="str">
        <f t="shared" si="14"/>
        <v>0000002601304716</v>
      </c>
      <c r="U63" s="31" t="str">
        <f t="shared" si="15"/>
        <v>F</v>
      </c>
      <c r="V63" s="31" t="str">
        <f t="shared" si="16"/>
        <v>A</v>
      </c>
      <c r="W63" s="31" t="str">
        <f t="shared" si="17"/>
        <v>00000000000001304716</v>
      </c>
      <c r="X63" s="31" t="str">
        <f t="shared" si="18"/>
        <v>00000055,00</v>
      </c>
      <c r="Y63" s="31" t="str">
        <f t="shared" si="4"/>
        <v>901003057142135216/01/202000010000002601304716FA0000000000000130471600000055,00</v>
      </c>
      <c r="Z63" s="31">
        <f t="shared" si="5"/>
        <v>79</v>
      </c>
      <c r="AA63" s="44">
        <v>958</v>
      </c>
      <c r="AB63" s="31" t="str">
        <f t="shared" si="6"/>
        <v>OK</v>
      </c>
    </row>
    <row r="64" spans="1:28" s="31" customFormat="1" x14ac:dyDescent="0.2">
      <c r="A64" s="38">
        <v>901</v>
      </c>
      <c r="B64" s="46">
        <v>30571421352</v>
      </c>
      <c r="C64" s="2">
        <v>43847</v>
      </c>
      <c r="D64" s="38">
        <v>1</v>
      </c>
      <c r="E64">
        <v>2601304948</v>
      </c>
      <c r="F64" s="41" t="s">
        <v>50</v>
      </c>
      <c r="G64" s="42" t="s">
        <v>51</v>
      </c>
      <c r="H64">
        <v>1304948</v>
      </c>
      <c r="I64" s="61" t="s">
        <v>110</v>
      </c>
      <c r="J64" s="43" t="str">
        <f t="shared" si="7"/>
        <v>0030571421352</v>
      </c>
      <c r="K64" s="43" t="str">
        <f t="shared" si="8"/>
        <v>901</v>
      </c>
      <c r="L64" s="43">
        <f t="shared" si="9"/>
        <v>17</v>
      </c>
      <c r="M64" s="43" t="str">
        <f t="shared" si="0"/>
        <v>17</v>
      </c>
      <c r="N64" s="43">
        <f t="shared" si="10"/>
        <v>1</v>
      </c>
      <c r="O64" s="43" t="str">
        <f t="shared" si="1"/>
        <v>01</v>
      </c>
      <c r="P64" s="43">
        <f t="shared" si="11"/>
        <v>2020</v>
      </c>
      <c r="Q64" s="43" t="str">
        <f t="shared" si="2"/>
        <v>2020</v>
      </c>
      <c r="R64" s="43" t="str">
        <f t="shared" si="12"/>
        <v>17/01/2020</v>
      </c>
      <c r="S64" s="31" t="str">
        <f t="shared" si="13"/>
        <v>0001</v>
      </c>
      <c r="T64" s="31" t="str">
        <f t="shared" si="14"/>
        <v>0000002601304948</v>
      </c>
      <c r="U64" s="31" t="str">
        <f t="shared" si="15"/>
        <v>F</v>
      </c>
      <c r="V64" s="31" t="str">
        <f t="shared" si="16"/>
        <v>A</v>
      </c>
      <c r="W64" s="31" t="str">
        <f t="shared" si="17"/>
        <v>00000000000001304948</v>
      </c>
      <c r="X64" s="31" t="str">
        <f t="shared" si="18"/>
        <v>00000022,30</v>
      </c>
      <c r="Y64" s="31" t="str">
        <f t="shared" si="4"/>
        <v>901003057142135217/01/202000010000002601304948FA0000000000000130494800000022,30</v>
      </c>
      <c r="Z64" s="31">
        <f t="shared" si="5"/>
        <v>79</v>
      </c>
      <c r="AA64" s="44">
        <v>959</v>
      </c>
      <c r="AB64" s="31" t="str">
        <f t="shared" si="6"/>
        <v>OK</v>
      </c>
    </row>
    <row r="65" spans="1:28" s="31" customFormat="1" x14ac:dyDescent="0.2">
      <c r="A65" s="38">
        <v>901</v>
      </c>
      <c r="B65" s="46">
        <v>30571421352</v>
      </c>
      <c r="C65" s="2">
        <v>43847</v>
      </c>
      <c r="D65" s="38">
        <v>1</v>
      </c>
      <c r="E65">
        <v>2601304836</v>
      </c>
      <c r="F65" s="41" t="s">
        <v>50</v>
      </c>
      <c r="G65" s="42" t="s">
        <v>51</v>
      </c>
      <c r="H65">
        <v>1304836</v>
      </c>
      <c r="I65" s="61" t="s">
        <v>111</v>
      </c>
      <c r="J65" s="43" t="str">
        <f t="shared" si="7"/>
        <v>0030571421352</v>
      </c>
      <c r="K65" s="43" t="str">
        <f t="shared" si="8"/>
        <v>901</v>
      </c>
      <c r="L65" s="43">
        <f t="shared" si="9"/>
        <v>17</v>
      </c>
      <c r="M65" s="43" t="str">
        <f t="shared" si="0"/>
        <v>17</v>
      </c>
      <c r="N65" s="43">
        <f t="shared" si="10"/>
        <v>1</v>
      </c>
      <c r="O65" s="43" t="str">
        <f t="shared" si="1"/>
        <v>01</v>
      </c>
      <c r="P65" s="43">
        <f t="shared" si="11"/>
        <v>2020</v>
      </c>
      <c r="Q65" s="43" t="str">
        <f t="shared" si="2"/>
        <v>2020</v>
      </c>
      <c r="R65" s="43" t="str">
        <f t="shared" si="12"/>
        <v>17/01/2020</v>
      </c>
      <c r="S65" s="31" t="str">
        <f t="shared" si="13"/>
        <v>0001</v>
      </c>
      <c r="T65" s="31" t="str">
        <f t="shared" si="14"/>
        <v>0000002601304836</v>
      </c>
      <c r="U65" s="31" t="str">
        <f t="shared" si="15"/>
        <v>F</v>
      </c>
      <c r="V65" s="31" t="str">
        <f t="shared" si="16"/>
        <v>A</v>
      </c>
      <c r="W65" s="31" t="str">
        <f t="shared" si="17"/>
        <v>00000000000001304836</v>
      </c>
      <c r="X65" s="31" t="str">
        <f t="shared" si="18"/>
        <v>00000012,39</v>
      </c>
      <c r="Y65" s="31" t="str">
        <f t="shared" si="4"/>
        <v>901003057142135217/01/202000010000002601304836FA0000000000000130483600000012,39</v>
      </c>
      <c r="Z65" s="31">
        <f t="shared" si="5"/>
        <v>79</v>
      </c>
      <c r="AA65" s="44">
        <v>960</v>
      </c>
      <c r="AB65" s="31" t="str">
        <f t="shared" si="6"/>
        <v>OK</v>
      </c>
    </row>
    <row r="66" spans="1:28" s="31" customFormat="1" x14ac:dyDescent="0.2">
      <c r="A66" s="38">
        <v>901</v>
      </c>
      <c r="B66" s="46">
        <v>30571421352</v>
      </c>
      <c r="C66" s="2">
        <v>43847</v>
      </c>
      <c r="D66" s="38">
        <v>1</v>
      </c>
      <c r="E66">
        <v>2601302846</v>
      </c>
      <c r="F66" s="41" t="s">
        <v>50</v>
      </c>
      <c r="G66" s="42" t="s">
        <v>51</v>
      </c>
      <c r="H66">
        <v>1302846</v>
      </c>
      <c r="I66" s="61" t="s">
        <v>112</v>
      </c>
      <c r="J66" s="43" t="str">
        <f t="shared" si="7"/>
        <v>0030571421352</v>
      </c>
      <c r="K66" s="43" t="str">
        <f t="shared" si="8"/>
        <v>901</v>
      </c>
      <c r="L66" s="43">
        <f t="shared" si="9"/>
        <v>17</v>
      </c>
      <c r="M66" s="43" t="str">
        <f t="shared" si="0"/>
        <v>17</v>
      </c>
      <c r="N66" s="43">
        <f t="shared" si="10"/>
        <v>1</v>
      </c>
      <c r="O66" s="43" t="str">
        <f t="shared" si="1"/>
        <v>01</v>
      </c>
      <c r="P66" s="43">
        <f t="shared" si="11"/>
        <v>2020</v>
      </c>
      <c r="Q66" s="43" t="str">
        <f t="shared" si="2"/>
        <v>2020</v>
      </c>
      <c r="R66" s="43" t="str">
        <f t="shared" si="12"/>
        <v>17/01/2020</v>
      </c>
      <c r="S66" s="31" t="str">
        <f t="shared" si="13"/>
        <v>0001</v>
      </c>
      <c r="T66" s="31" t="str">
        <f t="shared" si="14"/>
        <v>0000002601302846</v>
      </c>
      <c r="U66" s="31" t="str">
        <f t="shared" si="15"/>
        <v>F</v>
      </c>
      <c r="V66" s="31" t="str">
        <f t="shared" si="16"/>
        <v>A</v>
      </c>
      <c r="W66" s="31" t="str">
        <f t="shared" si="17"/>
        <v>00000000000001302846</v>
      </c>
      <c r="X66" s="31" t="str">
        <f t="shared" si="18"/>
        <v>00000096,01</v>
      </c>
      <c r="Y66" s="31" t="str">
        <f t="shared" si="4"/>
        <v>901003057142135217/01/202000010000002601302846FA0000000000000130284600000096,01</v>
      </c>
      <c r="Z66" s="31">
        <f t="shared" si="5"/>
        <v>79</v>
      </c>
      <c r="AA66" s="44">
        <v>961</v>
      </c>
      <c r="AB66" s="31" t="str">
        <f t="shared" si="6"/>
        <v>OK</v>
      </c>
    </row>
    <row r="67" spans="1:28" s="31" customFormat="1" x14ac:dyDescent="0.2">
      <c r="A67" s="38">
        <v>901</v>
      </c>
      <c r="B67" s="46">
        <v>30571421352</v>
      </c>
      <c r="C67" s="2">
        <v>43850</v>
      </c>
      <c r="D67" s="38">
        <v>1</v>
      </c>
      <c r="E67">
        <v>2601305195</v>
      </c>
      <c r="F67" s="41" t="s">
        <v>50</v>
      </c>
      <c r="G67" s="42" t="s">
        <v>51</v>
      </c>
      <c r="H67">
        <v>1305195</v>
      </c>
      <c r="I67" s="61" t="s">
        <v>113</v>
      </c>
      <c r="J67" s="43" t="str">
        <f t="shared" si="7"/>
        <v>0030571421352</v>
      </c>
      <c r="K67" s="43" t="str">
        <f t="shared" si="8"/>
        <v>901</v>
      </c>
      <c r="L67" s="43">
        <f t="shared" si="9"/>
        <v>20</v>
      </c>
      <c r="M67" s="43" t="str">
        <f t="shared" si="0"/>
        <v>20</v>
      </c>
      <c r="N67" s="43">
        <f t="shared" si="10"/>
        <v>1</v>
      </c>
      <c r="O67" s="43" t="str">
        <f t="shared" si="1"/>
        <v>01</v>
      </c>
      <c r="P67" s="43">
        <f t="shared" si="11"/>
        <v>2020</v>
      </c>
      <c r="Q67" s="43" t="str">
        <f t="shared" si="2"/>
        <v>2020</v>
      </c>
      <c r="R67" s="43" t="str">
        <f t="shared" si="12"/>
        <v>20/01/2020</v>
      </c>
      <c r="S67" s="31" t="str">
        <f t="shared" si="13"/>
        <v>0001</v>
      </c>
      <c r="T67" s="31" t="str">
        <f t="shared" si="14"/>
        <v>0000002601305195</v>
      </c>
      <c r="U67" s="31" t="str">
        <f t="shared" si="15"/>
        <v>F</v>
      </c>
      <c r="V67" s="31" t="str">
        <f t="shared" si="16"/>
        <v>A</v>
      </c>
      <c r="W67" s="31" t="str">
        <f t="shared" si="17"/>
        <v>00000000000001305195</v>
      </c>
      <c r="X67" s="31" t="str">
        <f t="shared" si="18"/>
        <v>00000393,43</v>
      </c>
      <c r="Y67" s="31" t="str">
        <f t="shared" si="4"/>
        <v>901003057142135220/01/202000010000002601305195FA0000000000000130519500000393,43</v>
      </c>
      <c r="Z67" s="31">
        <f t="shared" si="5"/>
        <v>79</v>
      </c>
      <c r="AA67" s="44">
        <v>962</v>
      </c>
      <c r="AB67" s="31" t="str">
        <f t="shared" si="6"/>
        <v>OK</v>
      </c>
    </row>
    <row r="68" spans="1:28" s="31" customFormat="1" x14ac:dyDescent="0.2">
      <c r="A68" s="38">
        <v>901</v>
      </c>
      <c r="B68" s="46">
        <v>30571421352</v>
      </c>
      <c r="C68" s="2">
        <v>43860</v>
      </c>
      <c r="D68" s="38">
        <v>1</v>
      </c>
      <c r="E68">
        <v>2601307173</v>
      </c>
      <c r="F68" s="41" t="s">
        <v>50</v>
      </c>
      <c r="G68" s="42" t="s">
        <v>51</v>
      </c>
      <c r="H68">
        <v>1307173</v>
      </c>
      <c r="I68" s="61" t="s">
        <v>114</v>
      </c>
      <c r="J68" s="43" t="str">
        <f t="shared" si="7"/>
        <v>0030571421352</v>
      </c>
      <c r="K68" s="43" t="str">
        <f t="shared" si="8"/>
        <v>901</v>
      </c>
      <c r="L68" s="43">
        <f t="shared" si="9"/>
        <v>30</v>
      </c>
      <c r="M68" s="43" t="str">
        <f t="shared" si="0"/>
        <v>30</v>
      </c>
      <c r="N68" s="43">
        <f t="shared" si="10"/>
        <v>1</v>
      </c>
      <c r="O68" s="43" t="str">
        <f t="shared" si="1"/>
        <v>01</v>
      </c>
      <c r="P68" s="43">
        <f t="shared" si="11"/>
        <v>2020</v>
      </c>
      <c r="Q68" s="43" t="str">
        <f t="shared" si="2"/>
        <v>2020</v>
      </c>
      <c r="R68" s="43" t="str">
        <f t="shared" si="12"/>
        <v>30/01/2020</v>
      </c>
      <c r="S68" s="31" t="str">
        <f t="shared" si="13"/>
        <v>0001</v>
      </c>
      <c r="T68" s="31" t="str">
        <f t="shared" si="14"/>
        <v>0000002601307173</v>
      </c>
      <c r="U68" s="31" t="str">
        <f t="shared" si="15"/>
        <v>F</v>
      </c>
      <c r="V68" s="31" t="str">
        <f t="shared" si="16"/>
        <v>A</v>
      </c>
      <c r="W68" s="31" t="str">
        <f t="shared" si="17"/>
        <v>00000000000001307173</v>
      </c>
      <c r="X68" s="31" t="str">
        <f t="shared" si="18"/>
        <v>00000069,31</v>
      </c>
      <c r="Y68" s="31" t="str">
        <f t="shared" si="4"/>
        <v>901003057142135230/01/202000010000002601307173FA0000000000000130717300000069,31</v>
      </c>
      <c r="Z68" s="31">
        <f t="shared" si="5"/>
        <v>79</v>
      </c>
      <c r="AA68" s="44">
        <v>963</v>
      </c>
      <c r="AB68" s="31" t="str">
        <f t="shared" si="6"/>
        <v>OK</v>
      </c>
    </row>
    <row r="69" spans="1:28" s="31" customFormat="1" x14ac:dyDescent="0.2">
      <c r="A69" s="38">
        <v>901</v>
      </c>
      <c r="B69" s="46">
        <v>30571421352</v>
      </c>
      <c r="C69" s="2">
        <v>43850</v>
      </c>
      <c r="D69" s="38">
        <v>1</v>
      </c>
      <c r="E69">
        <v>2601303133</v>
      </c>
      <c r="F69" s="41" t="s">
        <v>50</v>
      </c>
      <c r="G69" s="42" t="s">
        <v>51</v>
      </c>
      <c r="H69">
        <v>1303133</v>
      </c>
      <c r="I69" s="61" t="s">
        <v>115</v>
      </c>
      <c r="J69" s="43" t="str">
        <f t="shared" si="7"/>
        <v>0030571421352</v>
      </c>
      <c r="K69" s="43" t="str">
        <f t="shared" si="8"/>
        <v>901</v>
      </c>
      <c r="L69" s="43">
        <f t="shared" si="9"/>
        <v>20</v>
      </c>
      <c r="M69" s="43" t="str">
        <f t="shared" si="0"/>
        <v>20</v>
      </c>
      <c r="N69" s="43">
        <f t="shared" si="10"/>
        <v>1</v>
      </c>
      <c r="O69" s="43" t="str">
        <f t="shared" si="1"/>
        <v>01</v>
      </c>
      <c r="P69" s="43">
        <f t="shared" si="11"/>
        <v>2020</v>
      </c>
      <c r="Q69" s="43" t="str">
        <f t="shared" si="2"/>
        <v>2020</v>
      </c>
      <c r="R69" s="43" t="str">
        <f t="shared" si="12"/>
        <v>20/01/2020</v>
      </c>
      <c r="S69" s="31" t="str">
        <f t="shared" si="13"/>
        <v>0001</v>
      </c>
      <c r="T69" s="31" t="str">
        <f t="shared" si="14"/>
        <v>0000002601303133</v>
      </c>
      <c r="U69" s="31" t="str">
        <f t="shared" si="15"/>
        <v>F</v>
      </c>
      <c r="V69" s="31" t="str">
        <f t="shared" si="16"/>
        <v>A</v>
      </c>
      <c r="W69" s="31" t="str">
        <f t="shared" si="17"/>
        <v>00000000000001303133</v>
      </c>
      <c r="X69" s="31" t="str">
        <f t="shared" si="18"/>
        <v>00000114,07</v>
      </c>
      <c r="Y69" s="31" t="str">
        <f t="shared" si="4"/>
        <v>901003057142135220/01/202000010000002601303133FA0000000000000130313300000114,07</v>
      </c>
      <c r="Z69" s="31">
        <f t="shared" si="5"/>
        <v>79</v>
      </c>
      <c r="AA69" s="44">
        <v>964</v>
      </c>
      <c r="AB69" s="31" t="str">
        <f t="shared" si="6"/>
        <v>OK</v>
      </c>
    </row>
    <row r="70" spans="1:28" s="31" customFormat="1" x14ac:dyDescent="0.2">
      <c r="A70" s="38">
        <v>901</v>
      </c>
      <c r="B70" s="46">
        <v>30571421352</v>
      </c>
      <c r="C70" s="2">
        <v>43850</v>
      </c>
      <c r="D70" s="38">
        <v>1</v>
      </c>
      <c r="E70">
        <v>2601303074</v>
      </c>
      <c r="F70" s="41" t="s">
        <v>50</v>
      </c>
      <c r="G70" s="42" t="s">
        <v>51</v>
      </c>
      <c r="H70">
        <v>1303074</v>
      </c>
      <c r="I70" s="61" t="s">
        <v>116</v>
      </c>
      <c r="J70" s="43" t="str">
        <f t="shared" si="7"/>
        <v>0030571421352</v>
      </c>
      <c r="K70" s="43" t="str">
        <f t="shared" si="8"/>
        <v>901</v>
      </c>
      <c r="L70" s="43">
        <f t="shared" si="9"/>
        <v>20</v>
      </c>
      <c r="M70" s="43" t="str">
        <f t="shared" ref="M70:M110" si="19">TEXT(L70,"00")</f>
        <v>20</v>
      </c>
      <c r="N70" s="43">
        <f t="shared" si="10"/>
        <v>1</v>
      </c>
      <c r="O70" s="43" t="str">
        <f t="shared" ref="O70:O110" si="20">TEXT(N70,"00")</f>
        <v>01</v>
      </c>
      <c r="P70" s="43">
        <f t="shared" si="11"/>
        <v>2020</v>
      </c>
      <c r="Q70" s="43" t="str">
        <f t="shared" ref="Q70:Q110" si="21">TEXT(P70,"0000")</f>
        <v>2020</v>
      </c>
      <c r="R70" s="43" t="str">
        <f t="shared" si="12"/>
        <v>20/01/2020</v>
      </c>
      <c r="S70" s="31" t="str">
        <f t="shared" si="13"/>
        <v>0001</v>
      </c>
      <c r="T70" s="31" t="str">
        <f t="shared" si="14"/>
        <v>0000002601303074</v>
      </c>
      <c r="U70" s="31" t="str">
        <f t="shared" si="15"/>
        <v>F</v>
      </c>
      <c r="V70" s="31" t="str">
        <f t="shared" si="16"/>
        <v>A</v>
      </c>
      <c r="W70" s="31" t="str">
        <f t="shared" si="17"/>
        <v>00000000000001303074</v>
      </c>
      <c r="X70" s="31" t="str">
        <f t="shared" si="18"/>
        <v>00000026,14</v>
      </c>
      <c r="Y70" s="31" t="str">
        <f t="shared" si="4"/>
        <v>901003057142135220/01/202000010000002601303074FA0000000000000130307400000026,14</v>
      </c>
      <c r="Z70" s="31">
        <f t="shared" si="5"/>
        <v>79</v>
      </c>
      <c r="AA70" s="44">
        <v>965</v>
      </c>
      <c r="AB70" s="31" t="str">
        <f t="shared" si="6"/>
        <v>OK</v>
      </c>
    </row>
    <row r="71" spans="1:28" x14ac:dyDescent="0.2">
      <c r="A71" s="38">
        <v>901</v>
      </c>
      <c r="B71" s="46">
        <v>30571421352</v>
      </c>
      <c r="C71" s="2">
        <v>43850</v>
      </c>
      <c r="D71" s="38">
        <v>1</v>
      </c>
      <c r="E71">
        <v>899129</v>
      </c>
      <c r="F71" s="41" t="s">
        <v>50</v>
      </c>
      <c r="G71" s="42" t="s">
        <v>51</v>
      </c>
      <c r="H71">
        <v>899129</v>
      </c>
      <c r="I71" s="61" t="s">
        <v>117</v>
      </c>
      <c r="J71" s="23" t="str">
        <f t="shared" si="7"/>
        <v>0030571421352</v>
      </c>
      <c r="K71" s="23" t="str">
        <f t="shared" si="8"/>
        <v>901</v>
      </c>
      <c r="L71" s="23">
        <f t="shared" si="9"/>
        <v>20</v>
      </c>
      <c r="M71" s="23" t="str">
        <f t="shared" si="19"/>
        <v>20</v>
      </c>
      <c r="N71" s="23">
        <f t="shared" si="10"/>
        <v>1</v>
      </c>
      <c r="O71" s="23" t="str">
        <f t="shared" si="20"/>
        <v>01</v>
      </c>
      <c r="P71" s="23">
        <f t="shared" si="11"/>
        <v>2020</v>
      </c>
      <c r="Q71" s="23" t="str">
        <f t="shared" si="21"/>
        <v>2020</v>
      </c>
      <c r="R71" s="23" t="str">
        <f t="shared" si="12"/>
        <v>20/01/2020</v>
      </c>
      <c r="S71" s="24" t="str">
        <f t="shared" si="13"/>
        <v>0001</v>
      </c>
      <c r="T71" s="24" t="str">
        <f t="shared" si="14"/>
        <v>0000000000899129</v>
      </c>
      <c r="U71" s="24" t="str">
        <f t="shared" si="15"/>
        <v>F</v>
      </c>
      <c r="V71" s="24" t="str">
        <f t="shared" si="16"/>
        <v>A</v>
      </c>
      <c r="W71" s="24" t="str">
        <f t="shared" si="17"/>
        <v>00000000000000899129</v>
      </c>
      <c r="X71" s="24" t="str">
        <f t="shared" si="18"/>
        <v>00000006,83</v>
      </c>
      <c r="Y71" s="47" t="str">
        <f t="shared" ref="Y71:Y110" si="22">IF(A71="","",CONCATENATE(K71,J71,R71,S71,T71,U71,V71,W71,X71))</f>
        <v>901003057142135220/01/202000010000000000899129FA0000000000000089912900000006,83</v>
      </c>
      <c r="Z71">
        <f t="shared" ref="Z71:Z110" si="23">IF(A71="","",LEN(Y71))</f>
        <v>79</v>
      </c>
      <c r="AA71" s="15">
        <v>966</v>
      </c>
      <c r="AB71" t="str">
        <f t="shared" ref="AB71:AB110" si="24">IF(A71="","",IF(Z71=79,"OK","ERROR DE LONGITUD DEL TEXTO"))</f>
        <v>OK</v>
      </c>
    </row>
    <row r="72" spans="1:28" x14ac:dyDescent="0.2">
      <c r="A72" s="38">
        <v>901</v>
      </c>
      <c r="B72" s="46">
        <v>30571421352</v>
      </c>
      <c r="C72" s="2">
        <v>43851</v>
      </c>
      <c r="D72" s="38">
        <v>1</v>
      </c>
      <c r="E72">
        <v>2601305429</v>
      </c>
      <c r="F72" s="41" t="s">
        <v>50</v>
      </c>
      <c r="G72" s="42" t="s">
        <v>51</v>
      </c>
      <c r="H72">
        <v>1305429</v>
      </c>
      <c r="I72" s="61" t="s">
        <v>118</v>
      </c>
      <c r="J72" s="23" t="str">
        <f t="shared" si="7"/>
        <v>0030571421352</v>
      </c>
      <c r="K72" s="23" t="str">
        <f t="shared" si="8"/>
        <v>901</v>
      </c>
      <c r="L72" s="23">
        <f t="shared" si="9"/>
        <v>21</v>
      </c>
      <c r="M72" s="23" t="str">
        <f t="shared" si="19"/>
        <v>21</v>
      </c>
      <c r="N72" s="23">
        <f t="shared" si="10"/>
        <v>1</v>
      </c>
      <c r="O72" s="23" t="str">
        <f t="shared" si="20"/>
        <v>01</v>
      </c>
      <c r="P72" s="23">
        <f t="shared" si="11"/>
        <v>2020</v>
      </c>
      <c r="Q72" s="23" t="str">
        <f t="shared" si="21"/>
        <v>2020</v>
      </c>
      <c r="R72" s="23" t="str">
        <f t="shared" si="12"/>
        <v>21/01/2020</v>
      </c>
      <c r="S72" s="24" t="str">
        <f t="shared" si="13"/>
        <v>0001</v>
      </c>
      <c r="T72" s="24" t="str">
        <f t="shared" si="14"/>
        <v>0000002601305429</v>
      </c>
      <c r="U72" s="24" t="str">
        <f t="shared" si="15"/>
        <v>F</v>
      </c>
      <c r="V72" s="24" t="str">
        <f t="shared" si="16"/>
        <v>A</v>
      </c>
      <c r="W72" s="24" t="str">
        <f t="shared" si="17"/>
        <v>00000000000001305429</v>
      </c>
      <c r="X72" s="24" t="str">
        <f t="shared" si="18"/>
        <v>00000040,88</v>
      </c>
      <c r="Y72" s="47" t="str">
        <f t="shared" si="22"/>
        <v>901003057142135221/01/202000010000002601305429FA0000000000000130542900000040,88</v>
      </c>
      <c r="Z72">
        <f t="shared" si="23"/>
        <v>79</v>
      </c>
      <c r="AA72" s="15">
        <v>967</v>
      </c>
      <c r="AB72" t="str">
        <f t="shared" si="24"/>
        <v>OK</v>
      </c>
    </row>
    <row r="73" spans="1:28" x14ac:dyDescent="0.2">
      <c r="A73" s="38">
        <v>901</v>
      </c>
      <c r="B73" s="46">
        <v>30571421352</v>
      </c>
      <c r="C73" s="2">
        <v>43851</v>
      </c>
      <c r="D73" s="38">
        <v>1</v>
      </c>
      <c r="E73">
        <v>2601303404</v>
      </c>
      <c r="F73" s="41" t="s">
        <v>50</v>
      </c>
      <c r="G73" s="42" t="s">
        <v>51</v>
      </c>
      <c r="H73">
        <v>1303404</v>
      </c>
      <c r="I73" s="61" t="s">
        <v>119</v>
      </c>
      <c r="J73" s="23" t="str">
        <f t="shared" ref="J73:J110" si="25">TEXT(B73,"0000000000000")</f>
        <v>0030571421352</v>
      </c>
      <c r="K73" s="23" t="str">
        <f t="shared" ref="K73:K110" si="26">TEXT(A73,"000")</f>
        <v>901</v>
      </c>
      <c r="L73" s="23">
        <f t="shared" ref="L73:L110" si="27">DAY(C73)</f>
        <v>21</v>
      </c>
      <c r="M73" s="23" t="str">
        <f t="shared" si="19"/>
        <v>21</v>
      </c>
      <c r="N73" s="23">
        <f t="shared" ref="N73:N110" si="28">MONTH(C73)</f>
        <v>1</v>
      </c>
      <c r="O73" s="23" t="str">
        <f t="shared" si="20"/>
        <v>01</v>
      </c>
      <c r="P73" s="23">
        <f t="shared" ref="P73:P110" si="29">YEAR(C73)</f>
        <v>2020</v>
      </c>
      <c r="Q73" s="23" t="str">
        <f t="shared" si="21"/>
        <v>2020</v>
      </c>
      <c r="R73" s="23" t="str">
        <f t="shared" ref="R73:R110" si="30">CONCATENATE(M73,"/",O73,"/",Q73)</f>
        <v>21/01/2020</v>
      </c>
      <c r="S73" s="24" t="str">
        <f t="shared" ref="S73:S110" si="31">TEXT(D73,"0000")</f>
        <v>0001</v>
      </c>
      <c r="T73" s="24" t="str">
        <f t="shared" ref="T73:T110" si="32">TEXT(E73,"0000000000000000")</f>
        <v>0000002601303404</v>
      </c>
      <c r="U73" s="24" t="str">
        <f t="shared" ref="U73:U110" si="33">TEXT(F73,"0")</f>
        <v>F</v>
      </c>
      <c r="V73" s="24" t="str">
        <f t="shared" ref="V73:V110" si="34">TEXT(G73,"0")</f>
        <v>A</v>
      </c>
      <c r="W73" s="24" t="str">
        <f t="shared" ref="W73:W110" si="35">TEXT(H73,"00000000000000000000")</f>
        <v>00000000000001303404</v>
      </c>
      <c r="X73" s="24" t="str">
        <f t="shared" ref="X73:X110" si="36">TEXT(I73,"00000000,00")</f>
        <v>00000038,74</v>
      </c>
      <c r="Y73" s="47" t="str">
        <f t="shared" si="22"/>
        <v>901003057142135221/01/202000010000002601303404FA0000000000000130340400000038,74</v>
      </c>
      <c r="Z73">
        <f t="shared" si="23"/>
        <v>79</v>
      </c>
      <c r="AA73" s="15">
        <v>968</v>
      </c>
      <c r="AB73" t="str">
        <f t="shared" si="24"/>
        <v>OK</v>
      </c>
    </row>
    <row r="74" spans="1:28" x14ac:dyDescent="0.2">
      <c r="A74" s="38">
        <v>901</v>
      </c>
      <c r="B74" s="46">
        <v>30571421352</v>
      </c>
      <c r="C74" s="2">
        <v>43851</v>
      </c>
      <c r="D74" s="38">
        <v>1</v>
      </c>
      <c r="E74">
        <v>2601303354</v>
      </c>
      <c r="F74" s="41" t="s">
        <v>50</v>
      </c>
      <c r="G74" s="42" t="s">
        <v>51</v>
      </c>
      <c r="H74">
        <v>1303354</v>
      </c>
      <c r="I74" s="61" t="s">
        <v>120</v>
      </c>
      <c r="J74" s="23" t="str">
        <f t="shared" si="25"/>
        <v>0030571421352</v>
      </c>
      <c r="K74" s="23" t="str">
        <f t="shared" si="26"/>
        <v>901</v>
      </c>
      <c r="L74" s="23">
        <f t="shared" si="27"/>
        <v>21</v>
      </c>
      <c r="M74" s="23" t="str">
        <f t="shared" si="19"/>
        <v>21</v>
      </c>
      <c r="N74" s="23">
        <f t="shared" si="28"/>
        <v>1</v>
      </c>
      <c r="O74" s="23" t="str">
        <f t="shared" si="20"/>
        <v>01</v>
      </c>
      <c r="P74" s="23">
        <f t="shared" si="29"/>
        <v>2020</v>
      </c>
      <c r="Q74" s="23" t="str">
        <f t="shared" si="21"/>
        <v>2020</v>
      </c>
      <c r="R74" s="23" t="str">
        <f t="shared" si="30"/>
        <v>21/01/2020</v>
      </c>
      <c r="S74" s="24" t="str">
        <f t="shared" si="31"/>
        <v>0001</v>
      </c>
      <c r="T74" s="24" t="str">
        <f t="shared" si="32"/>
        <v>0000002601303354</v>
      </c>
      <c r="U74" s="24" t="str">
        <f t="shared" si="33"/>
        <v>F</v>
      </c>
      <c r="V74" s="24" t="str">
        <f t="shared" si="34"/>
        <v>A</v>
      </c>
      <c r="W74" s="24" t="str">
        <f t="shared" si="35"/>
        <v>00000000000001303354</v>
      </c>
      <c r="X74" s="24" t="str">
        <f t="shared" si="36"/>
        <v>00000030,89</v>
      </c>
      <c r="Y74" s="47" t="str">
        <f t="shared" si="22"/>
        <v>901003057142135221/01/202000010000002601303354FA0000000000000130335400000030,89</v>
      </c>
      <c r="Z74">
        <f t="shared" si="23"/>
        <v>79</v>
      </c>
      <c r="AA74" s="15">
        <v>969</v>
      </c>
      <c r="AB74" t="str">
        <f t="shared" si="24"/>
        <v>OK</v>
      </c>
    </row>
    <row r="75" spans="1:28" x14ac:dyDescent="0.2">
      <c r="A75" s="38">
        <v>901</v>
      </c>
      <c r="B75" s="46">
        <v>30571421352</v>
      </c>
      <c r="C75" s="2">
        <v>43852</v>
      </c>
      <c r="D75" s="38">
        <v>1</v>
      </c>
      <c r="E75">
        <v>2601305731</v>
      </c>
      <c r="F75" s="41" t="s">
        <v>50</v>
      </c>
      <c r="G75" s="42" t="s">
        <v>51</v>
      </c>
      <c r="H75">
        <v>1305731</v>
      </c>
      <c r="I75" s="61" t="s">
        <v>121</v>
      </c>
      <c r="J75" s="23" t="str">
        <f t="shared" si="25"/>
        <v>0030571421352</v>
      </c>
      <c r="K75" s="23" t="str">
        <f t="shared" si="26"/>
        <v>901</v>
      </c>
      <c r="L75" s="23">
        <f t="shared" si="27"/>
        <v>22</v>
      </c>
      <c r="M75" s="23" t="str">
        <f t="shared" si="19"/>
        <v>22</v>
      </c>
      <c r="N75" s="23">
        <f t="shared" si="28"/>
        <v>1</v>
      </c>
      <c r="O75" s="23" t="str">
        <f t="shared" si="20"/>
        <v>01</v>
      </c>
      <c r="P75" s="23">
        <f t="shared" si="29"/>
        <v>2020</v>
      </c>
      <c r="Q75" s="23" t="str">
        <f t="shared" si="21"/>
        <v>2020</v>
      </c>
      <c r="R75" s="23" t="str">
        <f t="shared" si="30"/>
        <v>22/01/2020</v>
      </c>
      <c r="S75" s="24" t="str">
        <f t="shared" si="31"/>
        <v>0001</v>
      </c>
      <c r="T75" s="24" t="str">
        <f t="shared" si="32"/>
        <v>0000002601305731</v>
      </c>
      <c r="U75" s="24" t="str">
        <f t="shared" si="33"/>
        <v>F</v>
      </c>
      <c r="V75" s="24" t="str">
        <f t="shared" si="34"/>
        <v>A</v>
      </c>
      <c r="W75" s="24" t="str">
        <f t="shared" si="35"/>
        <v>00000000000001305731</v>
      </c>
      <c r="X75" s="24" t="str">
        <f t="shared" si="36"/>
        <v>00000105,51</v>
      </c>
      <c r="Y75" s="47" t="str">
        <f t="shared" si="22"/>
        <v>901003057142135222/01/202000010000002601305731FA0000000000000130573100000105,51</v>
      </c>
      <c r="Z75">
        <f t="shared" si="23"/>
        <v>79</v>
      </c>
      <c r="AA75" s="15">
        <v>970</v>
      </c>
      <c r="AB75" t="str">
        <f t="shared" si="24"/>
        <v>OK</v>
      </c>
    </row>
    <row r="76" spans="1:28" x14ac:dyDescent="0.2">
      <c r="A76" s="38">
        <v>901</v>
      </c>
      <c r="B76" s="46">
        <v>30571421352</v>
      </c>
      <c r="C76" s="2">
        <v>43852</v>
      </c>
      <c r="D76" s="38">
        <v>1</v>
      </c>
      <c r="E76">
        <v>2601303660</v>
      </c>
      <c r="F76" s="41" t="s">
        <v>50</v>
      </c>
      <c r="G76" s="42" t="s">
        <v>51</v>
      </c>
      <c r="H76">
        <v>1303660</v>
      </c>
      <c r="I76" s="61" t="s">
        <v>118</v>
      </c>
      <c r="J76" s="23" t="str">
        <f t="shared" si="25"/>
        <v>0030571421352</v>
      </c>
      <c r="K76" s="23" t="str">
        <f t="shared" si="26"/>
        <v>901</v>
      </c>
      <c r="L76" s="23">
        <f t="shared" si="27"/>
        <v>22</v>
      </c>
      <c r="M76" s="23" t="str">
        <f t="shared" si="19"/>
        <v>22</v>
      </c>
      <c r="N76" s="23">
        <f t="shared" si="28"/>
        <v>1</v>
      </c>
      <c r="O76" s="23" t="str">
        <f t="shared" si="20"/>
        <v>01</v>
      </c>
      <c r="P76" s="23">
        <f t="shared" si="29"/>
        <v>2020</v>
      </c>
      <c r="Q76" s="23" t="str">
        <f t="shared" si="21"/>
        <v>2020</v>
      </c>
      <c r="R76" s="23" t="str">
        <f t="shared" si="30"/>
        <v>22/01/2020</v>
      </c>
      <c r="S76" s="24" t="str">
        <f t="shared" si="31"/>
        <v>0001</v>
      </c>
      <c r="T76" s="24" t="str">
        <f t="shared" si="32"/>
        <v>0000002601303660</v>
      </c>
      <c r="U76" s="24" t="str">
        <f t="shared" si="33"/>
        <v>F</v>
      </c>
      <c r="V76" s="24" t="str">
        <f t="shared" si="34"/>
        <v>A</v>
      </c>
      <c r="W76" s="24" t="str">
        <f t="shared" si="35"/>
        <v>00000000000001303660</v>
      </c>
      <c r="X76" s="24" t="str">
        <f t="shared" si="36"/>
        <v>00000040,88</v>
      </c>
      <c r="Y76" s="47" t="str">
        <f t="shared" si="22"/>
        <v>901003057142135222/01/202000010000002601303660FA0000000000000130366000000040,88</v>
      </c>
      <c r="Z76">
        <f t="shared" si="23"/>
        <v>79</v>
      </c>
      <c r="AA76" s="15">
        <v>971</v>
      </c>
      <c r="AB76" t="str">
        <f t="shared" si="24"/>
        <v>OK</v>
      </c>
    </row>
    <row r="77" spans="1:28" x14ac:dyDescent="0.2">
      <c r="A77" s="38">
        <v>901</v>
      </c>
      <c r="B77" s="46">
        <v>30571421352</v>
      </c>
      <c r="C77" s="2">
        <v>43853</v>
      </c>
      <c r="D77" s="38">
        <v>1</v>
      </c>
      <c r="E77">
        <v>2601305962</v>
      </c>
      <c r="F77" s="41" t="s">
        <v>50</v>
      </c>
      <c r="G77" s="42" t="s">
        <v>51</v>
      </c>
      <c r="H77">
        <v>1305962</v>
      </c>
      <c r="I77" s="61" t="s">
        <v>122</v>
      </c>
      <c r="J77" s="23" t="str">
        <f t="shared" si="25"/>
        <v>0030571421352</v>
      </c>
      <c r="K77" s="23" t="str">
        <f t="shared" si="26"/>
        <v>901</v>
      </c>
      <c r="L77" s="23">
        <f t="shared" si="27"/>
        <v>23</v>
      </c>
      <c r="M77" s="23" t="str">
        <f t="shared" si="19"/>
        <v>23</v>
      </c>
      <c r="N77" s="23">
        <f t="shared" si="28"/>
        <v>1</v>
      </c>
      <c r="O77" s="23" t="str">
        <f t="shared" si="20"/>
        <v>01</v>
      </c>
      <c r="P77" s="23">
        <f t="shared" si="29"/>
        <v>2020</v>
      </c>
      <c r="Q77" s="23" t="str">
        <f t="shared" si="21"/>
        <v>2020</v>
      </c>
      <c r="R77" s="23" t="str">
        <f t="shared" si="30"/>
        <v>23/01/2020</v>
      </c>
      <c r="S77" s="24" t="str">
        <f t="shared" si="31"/>
        <v>0001</v>
      </c>
      <c r="T77" s="24" t="str">
        <f t="shared" si="32"/>
        <v>0000002601305962</v>
      </c>
      <c r="U77" s="24" t="str">
        <f t="shared" si="33"/>
        <v>F</v>
      </c>
      <c r="V77" s="24" t="str">
        <f t="shared" si="34"/>
        <v>A</v>
      </c>
      <c r="W77" s="24" t="str">
        <f t="shared" si="35"/>
        <v>00000000000001305962</v>
      </c>
      <c r="X77" s="24" t="str">
        <f t="shared" si="36"/>
        <v>00000119,31</v>
      </c>
      <c r="Y77" s="47" t="str">
        <f t="shared" si="22"/>
        <v>901003057142135223/01/202000010000002601305962FA0000000000000130596200000119,31</v>
      </c>
      <c r="Z77">
        <f t="shared" si="23"/>
        <v>79</v>
      </c>
      <c r="AA77" s="15">
        <v>972</v>
      </c>
      <c r="AB77" t="str">
        <f t="shared" si="24"/>
        <v>OK</v>
      </c>
    </row>
    <row r="78" spans="1:28" x14ac:dyDescent="0.2">
      <c r="A78" s="38">
        <v>901</v>
      </c>
      <c r="B78" s="46">
        <v>30571421352</v>
      </c>
      <c r="C78" s="2">
        <v>43853</v>
      </c>
      <c r="D78" s="38">
        <v>1</v>
      </c>
      <c r="E78">
        <v>2601305859</v>
      </c>
      <c r="F78" s="41" t="s">
        <v>50</v>
      </c>
      <c r="G78" s="42" t="s">
        <v>51</v>
      </c>
      <c r="H78">
        <v>1305859</v>
      </c>
      <c r="I78" s="61" t="s">
        <v>123</v>
      </c>
      <c r="J78" s="23" t="str">
        <f t="shared" si="25"/>
        <v>0030571421352</v>
      </c>
      <c r="K78" s="23" t="str">
        <f t="shared" si="26"/>
        <v>901</v>
      </c>
      <c r="L78" s="23">
        <f t="shared" si="27"/>
        <v>23</v>
      </c>
      <c r="M78" s="23" t="str">
        <f t="shared" si="19"/>
        <v>23</v>
      </c>
      <c r="N78" s="23">
        <f t="shared" si="28"/>
        <v>1</v>
      </c>
      <c r="O78" s="23" t="str">
        <f t="shared" si="20"/>
        <v>01</v>
      </c>
      <c r="P78" s="23">
        <f t="shared" si="29"/>
        <v>2020</v>
      </c>
      <c r="Q78" s="23" t="str">
        <f t="shared" si="21"/>
        <v>2020</v>
      </c>
      <c r="R78" s="23" t="str">
        <f t="shared" si="30"/>
        <v>23/01/2020</v>
      </c>
      <c r="S78" s="24" t="str">
        <f t="shared" si="31"/>
        <v>0001</v>
      </c>
      <c r="T78" s="24" t="str">
        <f t="shared" si="32"/>
        <v>0000002601305859</v>
      </c>
      <c r="U78" s="24" t="str">
        <f t="shared" si="33"/>
        <v>F</v>
      </c>
      <c r="V78" s="24" t="str">
        <f t="shared" si="34"/>
        <v>A</v>
      </c>
      <c r="W78" s="24" t="str">
        <f t="shared" si="35"/>
        <v>00000000000001305859</v>
      </c>
      <c r="X78" s="24" t="str">
        <f t="shared" si="36"/>
        <v>00000053,27</v>
      </c>
      <c r="Y78" s="47" t="str">
        <f t="shared" si="22"/>
        <v>901003057142135223/01/202000010000002601305859FA0000000000000130585900000053,27</v>
      </c>
      <c r="Z78">
        <f t="shared" si="23"/>
        <v>79</v>
      </c>
      <c r="AA78" s="15">
        <v>973</v>
      </c>
      <c r="AB78" t="str">
        <f t="shared" si="24"/>
        <v>OK</v>
      </c>
    </row>
    <row r="79" spans="1:28" x14ac:dyDescent="0.2">
      <c r="A79" s="38">
        <v>901</v>
      </c>
      <c r="B79" s="46">
        <v>30571421352</v>
      </c>
      <c r="C79" s="2">
        <v>43853</v>
      </c>
      <c r="D79" s="38">
        <v>1</v>
      </c>
      <c r="E79">
        <v>2601303922</v>
      </c>
      <c r="F79" s="41" t="s">
        <v>50</v>
      </c>
      <c r="G79" s="42" t="s">
        <v>51</v>
      </c>
      <c r="H79">
        <v>1303922</v>
      </c>
      <c r="I79" s="61" t="s">
        <v>124</v>
      </c>
      <c r="J79" s="23" t="str">
        <f t="shared" si="25"/>
        <v>0030571421352</v>
      </c>
      <c r="K79" s="23" t="str">
        <f t="shared" si="26"/>
        <v>901</v>
      </c>
      <c r="L79" s="23">
        <f t="shared" si="27"/>
        <v>23</v>
      </c>
      <c r="M79" s="23" t="str">
        <f t="shared" si="19"/>
        <v>23</v>
      </c>
      <c r="N79" s="23">
        <f t="shared" si="28"/>
        <v>1</v>
      </c>
      <c r="O79" s="23" t="str">
        <f t="shared" si="20"/>
        <v>01</v>
      </c>
      <c r="P79" s="23">
        <f t="shared" si="29"/>
        <v>2020</v>
      </c>
      <c r="Q79" s="23" t="str">
        <f t="shared" si="21"/>
        <v>2020</v>
      </c>
      <c r="R79" s="23" t="str">
        <f t="shared" si="30"/>
        <v>23/01/2020</v>
      </c>
      <c r="S79" s="24" t="str">
        <f t="shared" si="31"/>
        <v>0001</v>
      </c>
      <c r="T79" s="24" t="str">
        <f t="shared" si="32"/>
        <v>0000002601303922</v>
      </c>
      <c r="U79" s="24" t="str">
        <f t="shared" si="33"/>
        <v>F</v>
      </c>
      <c r="V79" s="24" t="str">
        <f t="shared" si="34"/>
        <v>A</v>
      </c>
      <c r="W79" s="24" t="str">
        <f t="shared" si="35"/>
        <v>00000000000001303922</v>
      </c>
      <c r="X79" s="24" t="str">
        <f t="shared" si="36"/>
        <v>00000067,49</v>
      </c>
      <c r="Y79" s="47" t="str">
        <f t="shared" si="22"/>
        <v>901003057142135223/01/202000010000002601303922FA0000000000000130392200000067,49</v>
      </c>
      <c r="Z79">
        <f t="shared" si="23"/>
        <v>79</v>
      </c>
      <c r="AA79" s="15">
        <v>974</v>
      </c>
      <c r="AB79" t="str">
        <f t="shared" si="24"/>
        <v>OK</v>
      </c>
    </row>
    <row r="80" spans="1:28" x14ac:dyDescent="0.2">
      <c r="A80" s="38">
        <v>901</v>
      </c>
      <c r="B80" s="46">
        <v>30571421352</v>
      </c>
      <c r="C80" s="2">
        <v>43854</v>
      </c>
      <c r="D80" s="38">
        <v>1</v>
      </c>
      <c r="E80">
        <v>2601306198</v>
      </c>
      <c r="F80" s="41" t="s">
        <v>50</v>
      </c>
      <c r="G80" s="42" t="s">
        <v>51</v>
      </c>
      <c r="H80">
        <v>1306198</v>
      </c>
      <c r="I80" s="61" t="s">
        <v>125</v>
      </c>
      <c r="J80" s="23" t="str">
        <f t="shared" si="25"/>
        <v>0030571421352</v>
      </c>
      <c r="K80" s="23" t="str">
        <f t="shared" si="26"/>
        <v>901</v>
      </c>
      <c r="L80" s="23">
        <f t="shared" si="27"/>
        <v>24</v>
      </c>
      <c r="M80" s="23" t="str">
        <f t="shared" si="19"/>
        <v>24</v>
      </c>
      <c r="N80" s="23">
        <f t="shared" si="28"/>
        <v>1</v>
      </c>
      <c r="O80" s="23" t="str">
        <f t="shared" si="20"/>
        <v>01</v>
      </c>
      <c r="P80" s="23">
        <f t="shared" si="29"/>
        <v>2020</v>
      </c>
      <c r="Q80" s="23" t="str">
        <f t="shared" si="21"/>
        <v>2020</v>
      </c>
      <c r="R80" s="23" t="str">
        <f t="shared" si="30"/>
        <v>24/01/2020</v>
      </c>
      <c r="S80" s="24" t="str">
        <f t="shared" si="31"/>
        <v>0001</v>
      </c>
      <c r="T80" s="24" t="str">
        <f t="shared" si="32"/>
        <v>0000002601306198</v>
      </c>
      <c r="U80" s="24" t="str">
        <f t="shared" si="33"/>
        <v>F</v>
      </c>
      <c r="V80" s="24" t="str">
        <f t="shared" si="34"/>
        <v>A</v>
      </c>
      <c r="W80" s="24" t="str">
        <f t="shared" si="35"/>
        <v>00000000000001306198</v>
      </c>
      <c r="X80" s="24" t="str">
        <f t="shared" si="36"/>
        <v>00000149,63</v>
      </c>
      <c r="Y80" s="47" t="str">
        <f t="shared" si="22"/>
        <v>901003057142135224/01/202000010000002601306198FA0000000000000130619800000149,63</v>
      </c>
      <c r="Z80">
        <f t="shared" si="23"/>
        <v>79</v>
      </c>
      <c r="AA80" s="15">
        <v>975</v>
      </c>
      <c r="AB80" t="str">
        <f t="shared" si="24"/>
        <v>OK</v>
      </c>
    </row>
    <row r="81" spans="1:28" x14ac:dyDescent="0.2">
      <c r="A81" s="38">
        <v>901</v>
      </c>
      <c r="B81" s="46">
        <v>30571421352</v>
      </c>
      <c r="C81" s="2">
        <v>43854</v>
      </c>
      <c r="D81" s="38">
        <v>1</v>
      </c>
      <c r="E81">
        <v>2601306076</v>
      </c>
      <c r="F81" s="41" t="s">
        <v>50</v>
      </c>
      <c r="G81" s="42" t="s">
        <v>51</v>
      </c>
      <c r="H81">
        <v>1306076</v>
      </c>
      <c r="I81" s="61" t="s">
        <v>126</v>
      </c>
      <c r="J81" s="23" t="str">
        <f t="shared" si="25"/>
        <v>0030571421352</v>
      </c>
      <c r="K81" s="23" t="str">
        <f t="shared" si="26"/>
        <v>901</v>
      </c>
      <c r="L81" s="23">
        <f t="shared" si="27"/>
        <v>24</v>
      </c>
      <c r="M81" s="23" t="str">
        <f t="shared" si="19"/>
        <v>24</v>
      </c>
      <c r="N81" s="23">
        <f t="shared" si="28"/>
        <v>1</v>
      </c>
      <c r="O81" s="23" t="str">
        <f t="shared" si="20"/>
        <v>01</v>
      </c>
      <c r="P81" s="23">
        <f t="shared" si="29"/>
        <v>2020</v>
      </c>
      <c r="Q81" s="23" t="str">
        <f t="shared" si="21"/>
        <v>2020</v>
      </c>
      <c r="R81" s="23" t="str">
        <f t="shared" si="30"/>
        <v>24/01/2020</v>
      </c>
      <c r="S81" s="24" t="str">
        <f t="shared" si="31"/>
        <v>0001</v>
      </c>
      <c r="T81" s="24" t="str">
        <f t="shared" si="32"/>
        <v>0000002601306076</v>
      </c>
      <c r="U81" s="24" t="str">
        <f t="shared" si="33"/>
        <v>F</v>
      </c>
      <c r="V81" s="24" t="str">
        <f t="shared" si="34"/>
        <v>A</v>
      </c>
      <c r="W81" s="24" t="str">
        <f t="shared" si="35"/>
        <v>00000000000001306076</v>
      </c>
      <c r="X81" s="24" t="str">
        <f t="shared" si="36"/>
        <v>00000054,26</v>
      </c>
      <c r="Y81" s="47" t="str">
        <f t="shared" si="22"/>
        <v>901003057142135224/01/202000010000002601306076FA0000000000000130607600000054,26</v>
      </c>
      <c r="Z81">
        <f t="shared" si="23"/>
        <v>79</v>
      </c>
      <c r="AA81" s="15">
        <v>976</v>
      </c>
      <c r="AB81" t="str">
        <f t="shared" si="24"/>
        <v>OK</v>
      </c>
    </row>
    <row r="82" spans="1:28" x14ac:dyDescent="0.2">
      <c r="A82" s="38">
        <v>901</v>
      </c>
      <c r="B82" s="46">
        <v>30571421352</v>
      </c>
      <c r="C82" s="2">
        <v>43854</v>
      </c>
      <c r="D82" s="38">
        <v>1</v>
      </c>
      <c r="E82">
        <v>2601304152</v>
      </c>
      <c r="F82" s="41" t="s">
        <v>50</v>
      </c>
      <c r="G82" s="42" t="s">
        <v>51</v>
      </c>
      <c r="H82">
        <v>1304152</v>
      </c>
      <c r="I82" s="61" t="s">
        <v>127</v>
      </c>
      <c r="J82" s="23" t="str">
        <f t="shared" si="25"/>
        <v>0030571421352</v>
      </c>
      <c r="K82" s="23" t="str">
        <f t="shared" si="26"/>
        <v>901</v>
      </c>
      <c r="L82" s="23">
        <f t="shared" si="27"/>
        <v>24</v>
      </c>
      <c r="M82" s="23" t="str">
        <f t="shared" si="19"/>
        <v>24</v>
      </c>
      <c r="N82" s="23">
        <f t="shared" si="28"/>
        <v>1</v>
      </c>
      <c r="O82" s="23" t="str">
        <f t="shared" si="20"/>
        <v>01</v>
      </c>
      <c r="P82" s="23">
        <f t="shared" si="29"/>
        <v>2020</v>
      </c>
      <c r="Q82" s="23" t="str">
        <f t="shared" si="21"/>
        <v>2020</v>
      </c>
      <c r="R82" s="23" t="str">
        <f t="shared" si="30"/>
        <v>24/01/2020</v>
      </c>
      <c r="S82" s="24" t="str">
        <f t="shared" si="31"/>
        <v>0001</v>
      </c>
      <c r="T82" s="24" t="str">
        <f t="shared" si="32"/>
        <v>0000002601304152</v>
      </c>
      <c r="U82" s="24" t="str">
        <f t="shared" si="33"/>
        <v>F</v>
      </c>
      <c r="V82" s="24" t="str">
        <f t="shared" si="34"/>
        <v>A</v>
      </c>
      <c r="W82" s="24" t="str">
        <f t="shared" si="35"/>
        <v>00000000000001304152</v>
      </c>
      <c r="X82" s="24" t="str">
        <f t="shared" si="36"/>
        <v>00000007,93</v>
      </c>
      <c r="Y82" s="47" t="str">
        <f t="shared" si="22"/>
        <v>901003057142135224/01/202000010000002601304152FA0000000000000130415200000007,93</v>
      </c>
      <c r="Z82">
        <f t="shared" si="23"/>
        <v>79</v>
      </c>
      <c r="AA82" s="15">
        <v>977</v>
      </c>
      <c r="AB82" t="str">
        <f t="shared" si="24"/>
        <v>OK</v>
      </c>
    </row>
    <row r="83" spans="1:28" x14ac:dyDescent="0.2">
      <c r="A83" s="38">
        <v>901</v>
      </c>
      <c r="B83" s="46">
        <v>30571421352</v>
      </c>
      <c r="C83" s="2">
        <v>43857</v>
      </c>
      <c r="D83" s="38">
        <v>1</v>
      </c>
      <c r="E83">
        <v>2601306449</v>
      </c>
      <c r="F83" s="41" t="s">
        <v>50</v>
      </c>
      <c r="G83" s="42" t="s">
        <v>51</v>
      </c>
      <c r="H83">
        <v>1306449</v>
      </c>
      <c r="I83" s="61" t="s">
        <v>128</v>
      </c>
      <c r="J83" s="23" t="str">
        <f t="shared" si="25"/>
        <v>0030571421352</v>
      </c>
      <c r="K83" s="23" t="str">
        <f t="shared" si="26"/>
        <v>901</v>
      </c>
      <c r="L83" s="23">
        <f t="shared" si="27"/>
        <v>27</v>
      </c>
      <c r="M83" s="23" t="str">
        <f t="shared" si="19"/>
        <v>27</v>
      </c>
      <c r="N83" s="23">
        <f t="shared" si="28"/>
        <v>1</v>
      </c>
      <c r="O83" s="23" t="str">
        <f t="shared" si="20"/>
        <v>01</v>
      </c>
      <c r="P83" s="23">
        <f t="shared" si="29"/>
        <v>2020</v>
      </c>
      <c r="Q83" s="23" t="str">
        <f t="shared" si="21"/>
        <v>2020</v>
      </c>
      <c r="R83" s="23" t="str">
        <f t="shared" si="30"/>
        <v>27/01/2020</v>
      </c>
      <c r="S83" s="24" t="str">
        <f t="shared" si="31"/>
        <v>0001</v>
      </c>
      <c r="T83" s="24" t="str">
        <f t="shared" si="32"/>
        <v>0000002601306449</v>
      </c>
      <c r="U83" s="24" t="str">
        <f t="shared" si="33"/>
        <v>F</v>
      </c>
      <c r="V83" s="24" t="str">
        <f t="shared" si="34"/>
        <v>A</v>
      </c>
      <c r="W83" s="24" t="str">
        <f t="shared" si="35"/>
        <v>00000000000001306449</v>
      </c>
      <c r="X83" s="24" t="str">
        <f t="shared" si="36"/>
        <v>00000028,12</v>
      </c>
      <c r="Y83" s="47" t="str">
        <f t="shared" si="22"/>
        <v>901003057142135227/01/202000010000002601306449FA0000000000000130644900000028,12</v>
      </c>
      <c r="Z83">
        <f t="shared" si="23"/>
        <v>79</v>
      </c>
      <c r="AA83" s="15">
        <v>978</v>
      </c>
      <c r="AB83" t="str">
        <f t="shared" si="24"/>
        <v>OK</v>
      </c>
    </row>
    <row r="84" spans="1:28" x14ac:dyDescent="0.2">
      <c r="A84" s="38">
        <v>901</v>
      </c>
      <c r="B84" s="46">
        <v>30571421352</v>
      </c>
      <c r="C84" s="2">
        <v>43857</v>
      </c>
      <c r="D84" s="38">
        <v>1</v>
      </c>
      <c r="E84">
        <v>2601306402</v>
      </c>
      <c r="F84" s="41" t="s">
        <v>50</v>
      </c>
      <c r="G84" s="42" t="s">
        <v>51</v>
      </c>
      <c r="H84">
        <v>1306402</v>
      </c>
      <c r="I84" s="61" t="s">
        <v>129</v>
      </c>
      <c r="J84" s="23" t="str">
        <f t="shared" si="25"/>
        <v>0030571421352</v>
      </c>
      <c r="K84" s="23" t="str">
        <f t="shared" si="26"/>
        <v>901</v>
      </c>
      <c r="L84" s="23">
        <f t="shared" si="27"/>
        <v>27</v>
      </c>
      <c r="M84" s="23" t="str">
        <f t="shared" si="19"/>
        <v>27</v>
      </c>
      <c r="N84" s="23">
        <f t="shared" si="28"/>
        <v>1</v>
      </c>
      <c r="O84" s="23" t="str">
        <f t="shared" si="20"/>
        <v>01</v>
      </c>
      <c r="P84" s="23">
        <f t="shared" si="29"/>
        <v>2020</v>
      </c>
      <c r="Q84" s="23" t="str">
        <f t="shared" si="21"/>
        <v>2020</v>
      </c>
      <c r="R84" s="23" t="str">
        <f t="shared" si="30"/>
        <v>27/01/2020</v>
      </c>
      <c r="S84" s="24" t="str">
        <f t="shared" si="31"/>
        <v>0001</v>
      </c>
      <c r="T84" s="24" t="str">
        <f t="shared" si="32"/>
        <v>0000002601306402</v>
      </c>
      <c r="U84" s="24" t="str">
        <f t="shared" si="33"/>
        <v>F</v>
      </c>
      <c r="V84" s="24" t="str">
        <f t="shared" si="34"/>
        <v>A</v>
      </c>
      <c r="W84" s="24" t="str">
        <f t="shared" si="35"/>
        <v>00000000000001306402</v>
      </c>
      <c r="X84" s="24" t="str">
        <f t="shared" si="36"/>
        <v>00000566,83</v>
      </c>
      <c r="Y84" s="47" t="str">
        <f t="shared" si="22"/>
        <v>901003057142135227/01/202000010000002601306402FA0000000000000130640200000566,83</v>
      </c>
      <c r="Z84">
        <f t="shared" si="23"/>
        <v>79</v>
      </c>
      <c r="AA84" s="15">
        <v>979</v>
      </c>
      <c r="AB84" t="str">
        <f t="shared" si="24"/>
        <v>OK</v>
      </c>
    </row>
    <row r="85" spans="1:28" x14ac:dyDescent="0.2">
      <c r="A85" s="38">
        <v>901</v>
      </c>
      <c r="B85" s="46">
        <v>30571421352</v>
      </c>
      <c r="C85" s="2">
        <v>43857</v>
      </c>
      <c r="D85" s="38">
        <v>1</v>
      </c>
      <c r="E85">
        <v>2601304439</v>
      </c>
      <c r="F85" s="41" t="s">
        <v>50</v>
      </c>
      <c r="G85" s="42" t="s">
        <v>51</v>
      </c>
      <c r="H85">
        <v>1304439</v>
      </c>
      <c r="I85" s="61" t="s">
        <v>130</v>
      </c>
      <c r="J85" s="23" t="str">
        <f t="shared" si="25"/>
        <v>0030571421352</v>
      </c>
      <c r="K85" s="23" t="str">
        <f t="shared" si="26"/>
        <v>901</v>
      </c>
      <c r="L85" s="23">
        <f t="shared" si="27"/>
        <v>27</v>
      </c>
      <c r="M85" s="23" t="str">
        <f t="shared" si="19"/>
        <v>27</v>
      </c>
      <c r="N85" s="23">
        <f t="shared" si="28"/>
        <v>1</v>
      </c>
      <c r="O85" s="23" t="str">
        <f t="shared" si="20"/>
        <v>01</v>
      </c>
      <c r="P85" s="23">
        <f t="shared" si="29"/>
        <v>2020</v>
      </c>
      <c r="Q85" s="23" t="str">
        <f t="shared" si="21"/>
        <v>2020</v>
      </c>
      <c r="R85" s="23" t="str">
        <f t="shared" si="30"/>
        <v>27/01/2020</v>
      </c>
      <c r="S85" s="24" t="str">
        <f t="shared" si="31"/>
        <v>0001</v>
      </c>
      <c r="T85" s="24" t="str">
        <f t="shared" si="32"/>
        <v>0000002601304439</v>
      </c>
      <c r="U85" s="24" t="str">
        <f t="shared" si="33"/>
        <v>F</v>
      </c>
      <c r="V85" s="24" t="str">
        <f t="shared" si="34"/>
        <v>A</v>
      </c>
      <c r="W85" s="24" t="str">
        <f t="shared" si="35"/>
        <v>00000000000001304439</v>
      </c>
      <c r="X85" s="24" t="str">
        <f t="shared" si="36"/>
        <v>00000029,94</v>
      </c>
      <c r="Y85" s="47" t="str">
        <f t="shared" si="22"/>
        <v>901003057142135227/01/202000010000002601304439FA0000000000000130443900000029,94</v>
      </c>
      <c r="Z85">
        <f t="shared" si="23"/>
        <v>79</v>
      </c>
      <c r="AA85" s="15">
        <v>980</v>
      </c>
      <c r="AB85" t="str">
        <f t="shared" si="24"/>
        <v>OK</v>
      </c>
    </row>
    <row r="86" spans="1:28" x14ac:dyDescent="0.2">
      <c r="A86" s="38">
        <v>901</v>
      </c>
      <c r="B86" s="46">
        <v>30571421352</v>
      </c>
      <c r="C86" s="2">
        <v>43857</v>
      </c>
      <c r="D86" s="38">
        <v>1</v>
      </c>
      <c r="E86">
        <v>113546</v>
      </c>
      <c r="F86" s="41" t="s">
        <v>50</v>
      </c>
      <c r="G86" s="42" t="s">
        <v>51</v>
      </c>
      <c r="H86">
        <v>113546</v>
      </c>
      <c r="I86" s="61" t="s">
        <v>131</v>
      </c>
      <c r="J86" s="23" t="str">
        <f t="shared" si="25"/>
        <v>0030571421352</v>
      </c>
      <c r="K86" s="23" t="str">
        <f t="shared" si="26"/>
        <v>901</v>
      </c>
      <c r="L86" s="23">
        <f t="shared" si="27"/>
        <v>27</v>
      </c>
      <c r="M86" s="23" t="str">
        <f t="shared" si="19"/>
        <v>27</v>
      </c>
      <c r="N86" s="23">
        <f t="shared" si="28"/>
        <v>1</v>
      </c>
      <c r="O86" s="23" t="str">
        <f t="shared" si="20"/>
        <v>01</v>
      </c>
      <c r="P86" s="23">
        <f t="shared" si="29"/>
        <v>2020</v>
      </c>
      <c r="Q86" s="23" t="str">
        <f t="shared" si="21"/>
        <v>2020</v>
      </c>
      <c r="R86" s="23" t="str">
        <f t="shared" si="30"/>
        <v>27/01/2020</v>
      </c>
      <c r="S86" s="24" t="str">
        <f t="shared" si="31"/>
        <v>0001</v>
      </c>
      <c r="T86" s="24" t="str">
        <f t="shared" si="32"/>
        <v>0000000000113546</v>
      </c>
      <c r="U86" s="24" t="str">
        <f t="shared" si="33"/>
        <v>F</v>
      </c>
      <c r="V86" s="24" t="str">
        <f t="shared" si="34"/>
        <v>A</v>
      </c>
      <c r="W86" s="24" t="str">
        <f t="shared" si="35"/>
        <v>00000000000000113546</v>
      </c>
      <c r="X86" s="24" t="str">
        <f t="shared" si="36"/>
        <v>00000017,08</v>
      </c>
      <c r="Y86" s="47" t="str">
        <f t="shared" si="22"/>
        <v>901003057142135227/01/202000010000000000113546FA0000000000000011354600000017,08</v>
      </c>
      <c r="Z86">
        <f t="shared" si="23"/>
        <v>79</v>
      </c>
      <c r="AA86" s="15">
        <v>981</v>
      </c>
      <c r="AB86" t="str">
        <f t="shared" si="24"/>
        <v>OK</v>
      </c>
    </row>
    <row r="87" spans="1:28" x14ac:dyDescent="0.2">
      <c r="A87" s="38">
        <v>901</v>
      </c>
      <c r="B87" s="46">
        <v>30571421352</v>
      </c>
      <c r="C87" s="2">
        <v>43858</v>
      </c>
      <c r="D87" s="38">
        <v>1</v>
      </c>
      <c r="E87">
        <v>2601306689</v>
      </c>
      <c r="F87" s="41" t="s">
        <v>50</v>
      </c>
      <c r="G87" s="42" t="s">
        <v>51</v>
      </c>
      <c r="H87">
        <v>1306689</v>
      </c>
      <c r="I87" s="61" t="s">
        <v>132</v>
      </c>
      <c r="J87" s="23" t="str">
        <f t="shared" si="25"/>
        <v>0030571421352</v>
      </c>
      <c r="K87" s="23" t="str">
        <f t="shared" si="26"/>
        <v>901</v>
      </c>
      <c r="L87" s="23">
        <f t="shared" si="27"/>
        <v>28</v>
      </c>
      <c r="M87" s="23" t="str">
        <f t="shared" si="19"/>
        <v>28</v>
      </c>
      <c r="N87" s="23">
        <f t="shared" si="28"/>
        <v>1</v>
      </c>
      <c r="O87" s="23" t="str">
        <f t="shared" si="20"/>
        <v>01</v>
      </c>
      <c r="P87" s="23">
        <f t="shared" si="29"/>
        <v>2020</v>
      </c>
      <c r="Q87" s="23" t="str">
        <f t="shared" si="21"/>
        <v>2020</v>
      </c>
      <c r="R87" s="23" t="str">
        <f t="shared" si="30"/>
        <v>28/01/2020</v>
      </c>
      <c r="S87" s="24" t="str">
        <f t="shared" si="31"/>
        <v>0001</v>
      </c>
      <c r="T87" s="24" t="str">
        <f t="shared" si="32"/>
        <v>0000002601306689</v>
      </c>
      <c r="U87" s="24" t="str">
        <f t="shared" si="33"/>
        <v>F</v>
      </c>
      <c r="V87" s="24" t="str">
        <f t="shared" si="34"/>
        <v>A</v>
      </c>
      <c r="W87" s="24" t="str">
        <f t="shared" si="35"/>
        <v>00000000000001306689</v>
      </c>
      <c r="X87" s="24" t="str">
        <f t="shared" si="36"/>
        <v>00000011,89</v>
      </c>
      <c r="Y87" s="47" t="str">
        <f t="shared" si="22"/>
        <v>901003057142135228/01/202000010000002601306689FA0000000000000130668900000011,89</v>
      </c>
      <c r="Z87">
        <f t="shared" si="23"/>
        <v>79</v>
      </c>
      <c r="AA87" s="15">
        <v>982</v>
      </c>
      <c r="AB87" t="str">
        <f t="shared" si="24"/>
        <v>OK</v>
      </c>
    </row>
    <row r="88" spans="1:28" x14ac:dyDescent="0.2">
      <c r="A88" s="38">
        <v>901</v>
      </c>
      <c r="B88" s="46">
        <v>30571421352</v>
      </c>
      <c r="C88" s="2">
        <v>43858</v>
      </c>
      <c r="D88" s="38">
        <v>1</v>
      </c>
      <c r="E88">
        <v>2601306601</v>
      </c>
      <c r="F88" s="41" t="s">
        <v>50</v>
      </c>
      <c r="G88" s="42" t="s">
        <v>51</v>
      </c>
      <c r="H88">
        <v>1306601</v>
      </c>
      <c r="I88" s="61" t="s">
        <v>133</v>
      </c>
      <c r="J88" s="23" t="str">
        <f t="shared" si="25"/>
        <v>0030571421352</v>
      </c>
      <c r="K88" s="23" t="str">
        <f t="shared" si="26"/>
        <v>901</v>
      </c>
      <c r="L88" s="23">
        <f t="shared" si="27"/>
        <v>28</v>
      </c>
      <c r="M88" s="23" t="str">
        <f t="shared" si="19"/>
        <v>28</v>
      </c>
      <c r="N88" s="23">
        <f t="shared" si="28"/>
        <v>1</v>
      </c>
      <c r="O88" s="23" t="str">
        <f t="shared" si="20"/>
        <v>01</v>
      </c>
      <c r="P88" s="23">
        <f t="shared" si="29"/>
        <v>2020</v>
      </c>
      <c r="Q88" s="23" t="str">
        <f t="shared" si="21"/>
        <v>2020</v>
      </c>
      <c r="R88" s="23" t="str">
        <f t="shared" si="30"/>
        <v>28/01/2020</v>
      </c>
      <c r="S88" s="24" t="str">
        <f t="shared" si="31"/>
        <v>0001</v>
      </c>
      <c r="T88" s="24" t="str">
        <f t="shared" si="32"/>
        <v>0000002601306601</v>
      </c>
      <c r="U88" s="24" t="str">
        <f t="shared" si="33"/>
        <v>F</v>
      </c>
      <c r="V88" s="24" t="str">
        <f t="shared" si="34"/>
        <v>A</v>
      </c>
      <c r="W88" s="24" t="str">
        <f t="shared" si="35"/>
        <v>00000000000001306601</v>
      </c>
      <c r="X88" s="24" t="str">
        <f t="shared" si="36"/>
        <v>00000043,65</v>
      </c>
      <c r="Y88" s="47" t="str">
        <f t="shared" si="22"/>
        <v>901003057142135228/01/202000010000002601306601FA0000000000000130660100000043,65</v>
      </c>
      <c r="Z88">
        <f t="shared" si="23"/>
        <v>79</v>
      </c>
      <c r="AA88" s="15">
        <v>983</v>
      </c>
      <c r="AB88" t="str">
        <f t="shared" si="24"/>
        <v>OK</v>
      </c>
    </row>
    <row r="89" spans="1:28" x14ac:dyDescent="0.2">
      <c r="A89" s="38">
        <v>901</v>
      </c>
      <c r="B89" s="46">
        <v>30571421352</v>
      </c>
      <c r="C89" s="2">
        <v>43858</v>
      </c>
      <c r="D89" s="38">
        <v>1</v>
      </c>
      <c r="E89">
        <v>2601304686</v>
      </c>
      <c r="F89" s="41" t="s">
        <v>50</v>
      </c>
      <c r="G89" s="42" t="s">
        <v>51</v>
      </c>
      <c r="H89">
        <v>1304686</v>
      </c>
      <c r="I89" s="61" t="s">
        <v>134</v>
      </c>
      <c r="J89" s="23" t="str">
        <f t="shared" si="25"/>
        <v>0030571421352</v>
      </c>
      <c r="K89" s="23" t="str">
        <f t="shared" si="26"/>
        <v>901</v>
      </c>
      <c r="L89" s="23">
        <f t="shared" si="27"/>
        <v>28</v>
      </c>
      <c r="M89" s="23" t="str">
        <f t="shared" si="19"/>
        <v>28</v>
      </c>
      <c r="N89" s="23">
        <f t="shared" si="28"/>
        <v>1</v>
      </c>
      <c r="O89" s="23" t="str">
        <f t="shared" si="20"/>
        <v>01</v>
      </c>
      <c r="P89" s="23">
        <f t="shared" si="29"/>
        <v>2020</v>
      </c>
      <c r="Q89" s="23" t="str">
        <f t="shared" si="21"/>
        <v>2020</v>
      </c>
      <c r="R89" s="23" t="str">
        <f t="shared" si="30"/>
        <v>28/01/2020</v>
      </c>
      <c r="S89" s="24" t="str">
        <f t="shared" si="31"/>
        <v>0001</v>
      </c>
      <c r="T89" s="24" t="str">
        <f t="shared" si="32"/>
        <v>0000002601304686</v>
      </c>
      <c r="U89" s="24" t="str">
        <f t="shared" si="33"/>
        <v>F</v>
      </c>
      <c r="V89" s="24" t="str">
        <f t="shared" si="34"/>
        <v>A</v>
      </c>
      <c r="W89" s="24" t="str">
        <f t="shared" si="35"/>
        <v>00000000000001304686</v>
      </c>
      <c r="X89" s="24" t="str">
        <f t="shared" si="36"/>
        <v>00000042,06</v>
      </c>
      <c r="Y89" s="47" t="str">
        <f t="shared" si="22"/>
        <v>901003057142135228/01/202000010000002601304686FA0000000000000130468600000042,06</v>
      </c>
      <c r="Z89">
        <f t="shared" si="23"/>
        <v>79</v>
      </c>
      <c r="AA89" s="15">
        <v>984</v>
      </c>
      <c r="AB89" t="str">
        <f t="shared" si="24"/>
        <v>OK</v>
      </c>
    </row>
    <row r="90" spans="1:28" x14ac:dyDescent="0.2">
      <c r="A90" s="38">
        <v>901</v>
      </c>
      <c r="B90" s="46">
        <v>30571421352</v>
      </c>
      <c r="C90" s="2">
        <v>43858</v>
      </c>
      <c r="D90" s="38">
        <v>1</v>
      </c>
      <c r="E90">
        <v>157167</v>
      </c>
      <c r="F90" s="41" t="s">
        <v>50</v>
      </c>
      <c r="G90" s="42" t="s">
        <v>51</v>
      </c>
      <c r="H90" s="46">
        <v>157167</v>
      </c>
      <c r="I90" s="61" t="s">
        <v>135</v>
      </c>
      <c r="J90" s="23" t="str">
        <f t="shared" si="25"/>
        <v>0030571421352</v>
      </c>
      <c r="K90" s="23" t="str">
        <f t="shared" si="26"/>
        <v>901</v>
      </c>
      <c r="L90" s="23">
        <f t="shared" si="27"/>
        <v>28</v>
      </c>
      <c r="M90" s="23" t="str">
        <f t="shared" si="19"/>
        <v>28</v>
      </c>
      <c r="N90" s="23">
        <f t="shared" si="28"/>
        <v>1</v>
      </c>
      <c r="O90" s="23" t="str">
        <f t="shared" si="20"/>
        <v>01</v>
      </c>
      <c r="P90" s="23">
        <f t="shared" si="29"/>
        <v>2020</v>
      </c>
      <c r="Q90" s="23" t="str">
        <f t="shared" si="21"/>
        <v>2020</v>
      </c>
      <c r="R90" s="23" t="str">
        <f t="shared" si="30"/>
        <v>28/01/2020</v>
      </c>
      <c r="S90" s="24" t="str">
        <f t="shared" si="31"/>
        <v>0001</v>
      </c>
      <c r="T90" s="24" t="str">
        <f t="shared" si="32"/>
        <v>0000000000157167</v>
      </c>
      <c r="U90" s="24" t="str">
        <f t="shared" si="33"/>
        <v>F</v>
      </c>
      <c r="V90" s="24" t="str">
        <f t="shared" si="34"/>
        <v>A</v>
      </c>
      <c r="W90" s="24" t="str">
        <f t="shared" si="35"/>
        <v>00000000000000157167</v>
      </c>
      <c r="X90" s="24" t="str">
        <f t="shared" si="36"/>
        <v>00000036,59</v>
      </c>
      <c r="Y90" s="47" t="str">
        <f t="shared" si="22"/>
        <v>901003057142135228/01/202000010000000000157167FA0000000000000015716700000036,59</v>
      </c>
      <c r="Z90">
        <f t="shared" si="23"/>
        <v>79</v>
      </c>
      <c r="AA90" s="15">
        <v>985</v>
      </c>
      <c r="AB90" t="str">
        <f t="shared" si="24"/>
        <v>OK</v>
      </c>
    </row>
    <row r="91" spans="1:28" x14ac:dyDescent="0.2">
      <c r="A91" s="38">
        <v>901</v>
      </c>
      <c r="B91" s="46">
        <v>30571421352</v>
      </c>
      <c r="C91" s="2">
        <v>43859</v>
      </c>
      <c r="D91" s="38">
        <v>1</v>
      </c>
      <c r="E91">
        <v>2601306978</v>
      </c>
      <c r="F91" s="41" t="s">
        <v>50</v>
      </c>
      <c r="G91" s="42" t="s">
        <v>51</v>
      </c>
      <c r="H91" s="46">
        <v>1306978</v>
      </c>
      <c r="I91" s="61" t="s">
        <v>136</v>
      </c>
      <c r="J91" s="23" t="str">
        <f t="shared" si="25"/>
        <v>0030571421352</v>
      </c>
      <c r="K91" s="23" t="str">
        <f t="shared" si="26"/>
        <v>901</v>
      </c>
      <c r="L91" s="23">
        <f t="shared" si="27"/>
        <v>29</v>
      </c>
      <c r="M91" s="23" t="str">
        <f t="shared" si="19"/>
        <v>29</v>
      </c>
      <c r="N91" s="23">
        <f t="shared" si="28"/>
        <v>1</v>
      </c>
      <c r="O91" s="23" t="str">
        <f t="shared" si="20"/>
        <v>01</v>
      </c>
      <c r="P91" s="23">
        <f t="shared" si="29"/>
        <v>2020</v>
      </c>
      <c r="Q91" s="23" t="str">
        <f t="shared" si="21"/>
        <v>2020</v>
      </c>
      <c r="R91" s="23" t="str">
        <f t="shared" si="30"/>
        <v>29/01/2020</v>
      </c>
      <c r="S91" s="24" t="str">
        <f t="shared" si="31"/>
        <v>0001</v>
      </c>
      <c r="T91" s="24" t="str">
        <f t="shared" si="32"/>
        <v>0000002601306978</v>
      </c>
      <c r="U91" s="24" t="str">
        <f t="shared" si="33"/>
        <v>F</v>
      </c>
      <c r="V91" s="24" t="str">
        <f t="shared" si="34"/>
        <v>A</v>
      </c>
      <c r="W91" s="24" t="str">
        <f t="shared" si="35"/>
        <v>00000000000001306978</v>
      </c>
      <c r="X91" s="24" t="str">
        <f t="shared" si="36"/>
        <v>00000104,27</v>
      </c>
      <c r="Y91" s="47" t="str">
        <f t="shared" si="22"/>
        <v>901003057142135229/01/202000010000002601306978FA0000000000000130697800000104,27</v>
      </c>
      <c r="Z91">
        <f t="shared" si="23"/>
        <v>79</v>
      </c>
      <c r="AA91" s="15">
        <v>986</v>
      </c>
      <c r="AB91" t="str">
        <f t="shared" si="24"/>
        <v>OK</v>
      </c>
    </row>
    <row r="92" spans="1:28" x14ac:dyDescent="0.2">
      <c r="A92" s="38">
        <v>901</v>
      </c>
      <c r="B92" s="46">
        <v>30571421352</v>
      </c>
      <c r="C92" s="2">
        <v>43859</v>
      </c>
      <c r="D92" s="38">
        <v>1</v>
      </c>
      <c r="E92">
        <v>2601306903</v>
      </c>
      <c r="F92" s="41" t="s">
        <v>50</v>
      </c>
      <c r="G92" s="42" t="s">
        <v>51</v>
      </c>
      <c r="H92">
        <v>1306903</v>
      </c>
      <c r="I92" s="61" t="s">
        <v>137</v>
      </c>
      <c r="J92" s="23" t="str">
        <f t="shared" si="25"/>
        <v>0030571421352</v>
      </c>
      <c r="K92" s="23" t="str">
        <f t="shared" si="26"/>
        <v>901</v>
      </c>
      <c r="L92" s="23">
        <f t="shared" si="27"/>
        <v>29</v>
      </c>
      <c r="M92" s="23" t="str">
        <f t="shared" si="19"/>
        <v>29</v>
      </c>
      <c r="N92" s="23">
        <f t="shared" si="28"/>
        <v>1</v>
      </c>
      <c r="O92" s="23" t="str">
        <f t="shared" si="20"/>
        <v>01</v>
      </c>
      <c r="P92" s="23">
        <f t="shared" si="29"/>
        <v>2020</v>
      </c>
      <c r="Q92" s="23" t="str">
        <f t="shared" si="21"/>
        <v>2020</v>
      </c>
      <c r="R92" s="23" t="str">
        <f t="shared" si="30"/>
        <v>29/01/2020</v>
      </c>
      <c r="S92" s="24" t="str">
        <f t="shared" si="31"/>
        <v>0001</v>
      </c>
      <c r="T92" s="24" t="str">
        <f t="shared" si="32"/>
        <v>0000002601306903</v>
      </c>
      <c r="U92" s="24" t="str">
        <f t="shared" si="33"/>
        <v>F</v>
      </c>
      <c r="V92" s="24" t="str">
        <f t="shared" si="34"/>
        <v>A</v>
      </c>
      <c r="W92" s="24" t="str">
        <f t="shared" si="35"/>
        <v>00000000000001306903</v>
      </c>
      <c r="X92" s="24" t="str">
        <f t="shared" si="36"/>
        <v>00000035,58</v>
      </c>
      <c r="Y92" s="47" t="str">
        <f t="shared" si="22"/>
        <v>901003057142135229/01/202000010000002601306903FA0000000000000130690300000035,58</v>
      </c>
      <c r="Z92">
        <f t="shared" si="23"/>
        <v>79</v>
      </c>
      <c r="AA92" s="15">
        <v>987</v>
      </c>
      <c r="AB92" t="str">
        <f t="shared" si="24"/>
        <v>OK</v>
      </c>
    </row>
    <row r="93" spans="1:28" x14ac:dyDescent="0.2">
      <c r="A93" s="51">
        <v>901</v>
      </c>
      <c r="B93" s="52">
        <v>30571421352</v>
      </c>
      <c r="C93" s="53">
        <v>43859</v>
      </c>
      <c r="D93" s="51">
        <v>1</v>
      </c>
      <c r="E93" s="54">
        <v>2601306807</v>
      </c>
      <c r="F93" s="55" t="s">
        <v>50</v>
      </c>
      <c r="G93" s="56" t="s">
        <v>51</v>
      </c>
      <c r="H93" s="57">
        <v>1306807</v>
      </c>
      <c r="I93" s="62" t="s">
        <v>138</v>
      </c>
      <c r="J93" s="58" t="str">
        <f t="shared" si="25"/>
        <v>0030571421352</v>
      </c>
      <c r="K93" s="58" t="str">
        <f t="shared" si="26"/>
        <v>901</v>
      </c>
      <c r="L93" s="58">
        <f t="shared" si="27"/>
        <v>29</v>
      </c>
      <c r="M93" s="58" t="str">
        <f t="shared" si="19"/>
        <v>29</v>
      </c>
      <c r="N93" s="58">
        <f t="shared" si="28"/>
        <v>1</v>
      </c>
      <c r="O93" s="58" t="str">
        <f t="shared" si="20"/>
        <v>01</v>
      </c>
      <c r="P93" s="58">
        <f t="shared" si="29"/>
        <v>2020</v>
      </c>
      <c r="Q93" s="58" t="str">
        <f t="shared" si="21"/>
        <v>2020</v>
      </c>
      <c r="R93" s="58" t="str">
        <f t="shared" si="30"/>
        <v>29/01/2020</v>
      </c>
      <c r="S93" s="47" t="str">
        <f t="shared" si="31"/>
        <v>0001</v>
      </c>
      <c r="T93" s="47" t="str">
        <f t="shared" si="32"/>
        <v>0000002601306807</v>
      </c>
      <c r="U93" s="47" t="str">
        <f t="shared" si="33"/>
        <v>F</v>
      </c>
      <c r="V93" s="47" t="str">
        <f t="shared" si="34"/>
        <v>A</v>
      </c>
      <c r="W93" s="47" t="str">
        <f t="shared" si="35"/>
        <v>00000000000001306807</v>
      </c>
      <c r="X93" s="47" t="str">
        <f t="shared" si="36"/>
        <v>00000008,67</v>
      </c>
      <c r="Y93" s="47" t="str">
        <f t="shared" si="22"/>
        <v>901003057142135229/01/202000010000002601306807FA0000000000000130680700000008,67</v>
      </c>
      <c r="Z93">
        <f t="shared" si="23"/>
        <v>79</v>
      </c>
      <c r="AA93" s="15">
        <v>988</v>
      </c>
      <c r="AB93" t="str">
        <f t="shared" si="24"/>
        <v>OK</v>
      </c>
    </row>
    <row r="94" spans="1:28" x14ac:dyDescent="0.2">
      <c r="A94" s="51">
        <v>901</v>
      </c>
      <c r="B94" s="52">
        <v>30571421352</v>
      </c>
      <c r="C94" s="53">
        <v>43859</v>
      </c>
      <c r="D94" s="51">
        <v>1</v>
      </c>
      <c r="E94" s="54">
        <v>2601304921</v>
      </c>
      <c r="F94" s="55" t="s">
        <v>50</v>
      </c>
      <c r="G94" s="56" t="s">
        <v>51</v>
      </c>
      <c r="H94" s="57">
        <v>1304921</v>
      </c>
      <c r="I94" s="62" t="s">
        <v>139</v>
      </c>
      <c r="J94" s="58" t="str">
        <f t="shared" si="25"/>
        <v>0030571421352</v>
      </c>
      <c r="K94" s="58" t="str">
        <f t="shared" si="26"/>
        <v>901</v>
      </c>
      <c r="L94" s="58">
        <f t="shared" si="27"/>
        <v>29</v>
      </c>
      <c r="M94" s="58" t="str">
        <f t="shared" si="19"/>
        <v>29</v>
      </c>
      <c r="N94" s="58">
        <f t="shared" si="28"/>
        <v>1</v>
      </c>
      <c r="O94" s="58" t="str">
        <f t="shared" si="20"/>
        <v>01</v>
      </c>
      <c r="P94" s="58">
        <f t="shared" si="29"/>
        <v>2020</v>
      </c>
      <c r="Q94" s="58" t="str">
        <f t="shared" si="21"/>
        <v>2020</v>
      </c>
      <c r="R94" s="58" t="str">
        <f t="shared" si="30"/>
        <v>29/01/2020</v>
      </c>
      <c r="S94" s="47" t="str">
        <f t="shared" si="31"/>
        <v>0001</v>
      </c>
      <c r="T94" s="47" t="str">
        <f t="shared" si="32"/>
        <v>0000002601304921</v>
      </c>
      <c r="U94" s="47" t="str">
        <f t="shared" si="33"/>
        <v>F</v>
      </c>
      <c r="V94" s="47" t="str">
        <f t="shared" si="34"/>
        <v>A</v>
      </c>
      <c r="W94" s="47" t="str">
        <f t="shared" si="35"/>
        <v>00000000000001304921</v>
      </c>
      <c r="X94" s="47" t="str">
        <f t="shared" si="36"/>
        <v>00000029,71</v>
      </c>
      <c r="Y94" s="47" t="str">
        <f t="shared" si="22"/>
        <v>901003057142135229/01/202000010000002601304921FA0000000000000130492100000029,71</v>
      </c>
      <c r="Z94">
        <f t="shared" si="23"/>
        <v>79</v>
      </c>
      <c r="AA94" s="15">
        <v>989</v>
      </c>
      <c r="AB94" t="str">
        <f t="shared" si="24"/>
        <v>OK</v>
      </c>
    </row>
    <row r="95" spans="1:28" x14ac:dyDescent="0.2">
      <c r="A95" s="51">
        <v>901</v>
      </c>
      <c r="B95" s="52">
        <v>30571421352</v>
      </c>
      <c r="C95" s="53">
        <v>43859</v>
      </c>
      <c r="D95" s="51">
        <v>1</v>
      </c>
      <c r="E95" s="54">
        <v>199293</v>
      </c>
      <c r="F95" s="55" t="s">
        <v>50</v>
      </c>
      <c r="G95" s="56" t="s">
        <v>51</v>
      </c>
      <c r="H95" s="57">
        <v>199293</v>
      </c>
      <c r="I95" s="62" t="s">
        <v>140</v>
      </c>
      <c r="J95" s="58" t="str">
        <f t="shared" si="25"/>
        <v>0030571421352</v>
      </c>
      <c r="K95" s="58" t="str">
        <f t="shared" si="26"/>
        <v>901</v>
      </c>
      <c r="L95" s="58">
        <f t="shared" si="27"/>
        <v>29</v>
      </c>
      <c r="M95" s="58" t="str">
        <f t="shared" si="19"/>
        <v>29</v>
      </c>
      <c r="N95" s="58">
        <f t="shared" si="28"/>
        <v>1</v>
      </c>
      <c r="O95" s="58" t="str">
        <f t="shared" si="20"/>
        <v>01</v>
      </c>
      <c r="P95" s="58">
        <f t="shared" si="29"/>
        <v>2020</v>
      </c>
      <c r="Q95" s="58" t="str">
        <f t="shared" si="21"/>
        <v>2020</v>
      </c>
      <c r="R95" s="58" t="str">
        <f t="shared" si="30"/>
        <v>29/01/2020</v>
      </c>
      <c r="S95" s="47" t="str">
        <f t="shared" si="31"/>
        <v>0001</v>
      </c>
      <c r="T95" s="47" t="str">
        <f t="shared" si="32"/>
        <v>0000000000199293</v>
      </c>
      <c r="U95" s="47" t="str">
        <f t="shared" si="33"/>
        <v>F</v>
      </c>
      <c r="V95" s="47" t="str">
        <f t="shared" si="34"/>
        <v>A</v>
      </c>
      <c r="W95" s="47" t="str">
        <f t="shared" si="35"/>
        <v>00000000000000199293</v>
      </c>
      <c r="X95" s="47" t="str">
        <f t="shared" si="36"/>
        <v>00000009,89</v>
      </c>
      <c r="Y95" s="47" t="str">
        <f t="shared" si="22"/>
        <v>901003057142135229/01/202000010000000000199293FA0000000000000019929300000009,89</v>
      </c>
      <c r="Z95">
        <f t="shared" si="23"/>
        <v>79</v>
      </c>
      <c r="AA95" s="15">
        <v>990</v>
      </c>
      <c r="AB95" t="str">
        <f t="shared" si="24"/>
        <v>OK</v>
      </c>
    </row>
    <row r="96" spans="1:28" x14ac:dyDescent="0.2">
      <c r="A96" s="51">
        <v>901</v>
      </c>
      <c r="B96" s="52">
        <v>30571421352</v>
      </c>
      <c r="C96" s="53">
        <v>43860</v>
      </c>
      <c r="D96" s="51">
        <v>1</v>
      </c>
      <c r="E96" s="54">
        <v>2601307233</v>
      </c>
      <c r="F96" s="55" t="s">
        <v>50</v>
      </c>
      <c r="G96" s="56" t="s">
        <v>51</v>
      </c>
      <c r="H96" s="57">
        <v>1307233</v>
      </c>
      <c r="I96" s="62" t="s">
        <v>141</v>
      </c>
      <c r="J96" s="58" t="str">
        <f t="shared" si="25"/>
        <v>0030571421352</v>
      </c>
      <c r="K96" s="58" t="str">
        <f t="shared" si="26"/>
        <v>901</v>
      </c>
      <c r="L96" s="58">
        <f t="shared" si="27"/>
        <v>30</v>
      </c>
      <c r="M96" s="58" t="str">
        <f t="shared" si="19"/>
        <v>30</v>
      </c>
      <c r="N96" s="58">
        <f t="shared" si="28"/>
        <v>1</v>
      </c>
      <c r="O96" s="58" t="str">
        <f t="shared" si="20"/>
        <v>01</v>
      </c>
      <c r="P96" s="58">
        <f t="shared" si="29"/>
        <v>2020</v>
      </c>
      <c r="Q96" s="58" t="str">
        <f t="shared" si="21"/>
        <v>2020</v>
      </c>
      <c r="R96" s="58" t="str">
        <f t="shared" si="30"/>
        <v>30/01/2020</v>
      </c>
      <c r="S96" s="47" t="str">
        <f t="shared" si="31"/>
        <v>0001</v>
      </c>
      <c r="T96" s="47" t="str">
        <f t="shared" si="32"/>
        <v>0000002601307233</v>
      </c>
      <c r="U96" s="47" t="str">
        <f t="shared" si="33"/>
        <v>F</v>
      </c>
      <c r="V96" s="47" t="str">
        <f t="shared" si="34"/>
        <v>A</v>
      </c>
      <c r="W96" s="47" t="str">
        <f t="shared" si="35"/>
        <v>00000000000001307233</v>
      </c>
      <c r="X96" s="47" t="str">
        <f t="shared" si="36"/>
        <v>00000066,80</v>
      </c>
      <c r="Y96" s="47" t="str">
        <f t="shared" si="22"/>
        <v>901003057142135230/01/202000010000002601307233FA0000000000000130723300000066,80</v>
      </c>
      <c r="Z96">
        <f t="shared" si="23"/>
        <v>79</v>
      </c>
      <c r="AA96" s="15">
        <v>991</v>
      </c>
      <c r="AB96" t="str">
        <f t="shared" si="24"/>
        <v>OK</v>
      </c>
    </row>
    <row r="97" spans="1:28" x14ac:dyDescent="0.2">
      <c r="A97" s="51">
        <v>901</v>
      </c>
      <c r="B97" s="52">
        <v>30571421352</v>
      </c>
      <c r="C97" s="53">
        <v>43860</v>
      </c>
      <c r="D97" s="51">
        <v>1</v>
      </c>
      <c r="E97" s="54">
        <v>2601307102</v>
      </c>
      <c r="F97" s="55" t="s">
        <v>50</v>
      </c>
      <c r="G97" s="56" t="s">
        <v>51</v>
      </c>
      <c r="H97" s="57">
        <v>1307102</v>
      </c>
      <c r="I97" s="62" t="s">
        <v>111</v>
      </c>
      <c r="J97" s="58" t="str">
        <f t="shared" si="25"/>
        <v>0030571421352</v>
      </c>
      <c r="K97" s="58" t="str">
        <f t="shared" si="26"/>
        <v>901</v>
      </c>
      <c r="L97" s="58">
        <f t="shared" si="27"/>
        <v>30</v>
      </c>
      <c r="M97" s="58" t="str">
        <f t="shared" si="19"/>
        <v>30</v>
      </c>
      <c r="N97" s="58">
        <f t="shared" si="28"/>
        <v>1</v>
      </c>
      <c r="O97" s="58" t="str">
        <f t="shared" si="20"/>
        <v>01</v>
      </c>
      <c r="P97" s="58">
        <f t="shared" si="29"/>
        <v>2020</v>
      </c>
      <c r="Q97" s="58" t="str">
        <f t="shared" si="21"/>
        <v>2020</v>
      </c>
      <c r="R97" s="58" t="str">
        <f t="shared" si="30"/>
        <v>30/01/2020</v>
      </c>
      <c r="S97" s="47" t="str">
        <f t="shared" si="31"/>
        <v>0001</v>
      </c>
      <c r="T97" s="47" t="str">
        <f t="shared" si="32"/>
        <v>0000002601307102</v>
      </c>
      <c r="U97" s="47" t="str">
        <f t="shared" si="33"/>
        <v>F</v>
      </c>
      <c r="V97" s="47" t="str">
        <f t="shared" si="34"/>
        <v>A</v>
      </c>
      <c r="W97" s="47" t="str">
        <f t="shared" si="35"/>
        <v>00000000000001307102</v>
      </c>
      <c r="X97" s="47" t="str">
        <f t="shared" si="36"/>
        <v>00000012,39</v>
      </c>
      <c r="Y97" s="47" t="str">
        <f t="shared" si="22"/>
        <v>901003057142135230/01/202000010000002601307102FA0000000000000130710200000012,39</v>
      </c>
      <c r="Z97">
        <f t="shared" si="23"/>
        <v>79</v>
      </c>
      <c r="AA97" s="15">
        <v>992</v>
      </c>
      <c r="AB97" t="str">
        <f t="shared" si="24"/>
        <v>OK</v>
      </c>
    </row>
    <row r="98" spans="1:28" x14ac:dyDescent="0.2">
      <c r="A98" s="51">
        <v>901</v>
      </c>
      <c r="B98" s="52">
        <v>30574816870</v>
      </c>
      <c r="C98" s="53">
        <v>43857</v>
      </c>
      <c r="D98" s="51">
        <v>1</v>
      </c>
      <c r="E98" s="54">
        <v>60466320200129</v>
      </c>
      <c r="F98" s="55" t="s">
        <v>50</v>
      </c>
      <c r="G98" s="56" t="s">
        <v>51</v>
      </c>
      <c r="H98" s="59">
        <v>2060466320200120</v>
      </c>
      <c r="I98" s="62" t="s">
        <v>142</v>
      </c>
      <c r="J98" s="58" t="str">
        <f t="shared" si="25"/>
        <v>0030574816870</v>
      </c>
      <c r="K98" s="58" t="str">
        <f t="shared" si="26"/>
        <v>901</v>
      </c>
      <c r="L98" s="58">
        <f t="shared" si="27"/>
        <v>27</v>
      </c>
      <c r="M98" s="58" t="str">
        <f t="shared" si="19"/>
        <v>27</v>
      </c>
      <c r="N98" s="58">
        <f t="shared" si="28"/>
        <v>1</v>
      </c>
      <c r="O98" s="58" t="str">
        <f t="shared" si="20"/>
        <v>01</v>
      </c>
      <c r="P98" s="58">
        <f t="shared" si="29"/>
        <v>2020</v>
      </c>
      <c r="Q98" s="58" t="str">
        <f t="shared" si="21"/>
        <v>2020</v>
      </c>
      <c r="R98" s="58" t="str">
        <f t="shared" si="30"/>
        <v>27/01/2020</v>
      </c>
      <c r="S98" s="47" t="str">
        <f t="shared" si="31"/>
        <v>0001</v>
      </c>
      <c r="T98" s="47" t="str">
        <f t="shared" si="32"/>
        <v>0060466320200129</v>
      </c>
      <c r="U98" s="47" t="str">
        <f t="shared" si="33"/>
        <v>F</v>
      </c>
      <c r="V98" s="47" t="str">
        <f t="shared" si="34"/>
        <v>A</v>
      </c>
      <c r="W98" s="47" t="str">
        <f t="shared" si="35"/>
        <v>00002060466320200120</v>
      </c>
      <c r="X98" s="47" t="str">
        <f t="shared" si="36"/>
        <v>00000180,21</v>
      </c>
      <c r="Y98" s="47" t="str">
        <f t="shared" si="22"/>
        <v>901003057481687027/01/202000010060466320200129FA0000206046632020012000000180,21</v>
      </c>
      <c r="Z98">
        <f t="shared" si="23"/>
        <v>79</v>
      </c>
      <c r="AA98" s="15">
        <v>993</v>
      </c>
      <c r="AB98" t="str">
        <f t="shared" si="24"/>
        <v>OK</v>
      </c>
    </row>
    <row r="99" spans="1:28" x14ac:dyDescent="0.2">
      <c r="A99" s="51">
        <v>901</v>
      </c>
      <c r="B99" s="52">
        <v>30577797281</v>
      </c>
      <c r="C99" s="53">
        <v>43846</v>
      </c>
      <c r="D99" s="51">
        <v>1</v>
      </c>
      <c r="E99" s="54">
        <v>1202000033969</v>
      </c>
      <c r="F99" s="55" t="s">
        <v>50</v>
      </c>
      <c r="G99" s="56" t="s">
        <v>51</v>
      </c>
      <c r="H99" s="59">
        <v>1202000033969</v>
      </c>
      <c r="I99" s="62" t="s">
        <v>143</v>
      </c>
      <c r="J99" s="58" t="str">
        <f t="shared" si="25"/>
        <v>0030577797281</v>
      </c>
      <c r="K99" s="58" t="str">
        <f t="shared" si="26"/>
        <v>901</v>
      </c>
      <c r="L99" s="58">
        <f t="shared" si="27"/>
        <v>16</v>
      </c>
      <c r="M99" s="58" t="str">
        <f t="shared" si="19"/>
        <v>16</v>
      </c>
      <c r="N99" s="58">
        <f t="shared" si="28"/>
        <v>1</v>
      </c>
      <c r="O99" s="58" t="str">
        <f t="shared" si="20"/>
        <v>01</v>
      </c>
      <c r="P99" s="58">
        <f t="shared" si="29"/>
        <v>2020</v>
      </c>
      <c r="Q99" s="58" t="str">
        <f t="shared" si="21"/>
        <v>2020</v>
      </c>
      <c r="R99" s="58" t="str">
        <f t="shared" si="30"/>
        <v>16/01/2020</v>
      </c>
      <c r="S99" s="47" t="str">
        <f t="shared" si="31"/>
        <v>0001</v>
      </c>
      <c r="T99" s="47" t="str">
        <f t="shared" si="32"/>
        <v>0001202000033969</v>
      </c>
      <c r="U99" s="47" t="str">
        <f t="shared" si="33"/>
        <v>F</v>
      </c>
      <c r="V99" s="47" t="str">
        <f t="shared" si="34"/>
        <v>A</v>
      </c>
      <c r="W99" s="47" t="str">
        <f t="shared" si="35"/>
        <v>00000001202000033969</v>
      </c>
      <c r="X99" s="47" t="str">
        <f t="shared" si="36"/>
        <v>00000017,80</v>
      </c>
      <c r="Y99" s="47" t="str">
        <f t="shared" si="22"/>
        <v>901003057779728116/01/202000010001202000033969FA0000000120200003396900000017,80</v>
      </c>
      <c r="Z99">
        <f t="shared" si="23"/>
        <v>79</v>
      </c>
      <c r="AA99" s="15">
        <v>994</v>
      </c>
      <c r="AB99" t="str">
        <f t="shared" si="24"/>
        <v>OK</v>
      </c>
    </row>
    <row r="100" spans="1:28" x14ac:dyDescent="0.2">
      <c r="A100" s="51">
        <v>901</v>
      </c>
      <c r="B100" s="52">
        <v>30577797281</v>
      </c>
      <c r="C100" s="53">
        <v>43851</v>
      </c>
      <c r="D100" s="51">
        <v>1</v>
      </c>
      <c r="E100" s="54">
        <v>1202000033982</v>
      </c>
      <c r="F100" s="55" t="s">
        <v>50</v>
      </c>
      <c r="G100" s="56" t="s">
        <v>51</v>
      </c>
      <c r="H100" s="59">
        <v>1202000033982</v>
      </c>
      <c r="I100" s="62" t="s">
        <v>143</v>
      </c>
      <c r="J100" s="58" t="str">
        <f t="shared" si="25"/>
        <v>0030577797281</v>
      </c>
      <c r="K100" s="58" t="str">
        <f t="shared" si="26"/>
        <v>901</v>
      </c>
      <c r="L100" s="58">
        <f t="shared" si="27"/>
        <v>21</v>
      </c>
      <c r="M100" s="58" t="str">
        <f t="shared" si="19"/>
        <v>21</v>
      </c>
      <c r="N100" s="58">
        <f t="shared" si="28"/>
        <v>1</v>
      </c>
      <c r="O100" s="58" t="str">
        <f t="shared" si="20"/>
        <v>01</v>
      </c>
      <c r="P100" s="58">
        <f t="shared" si="29"/>
        <v>2020</v>
      </c>
      <c r="Q100" s="58" t="str">
        <f t="shared" si="21"/>
        <v>2020</v>
      </c>
      <c r="R100" s="58" t="str">
        <f t="shared" si="30"/>
        <v>21/01/2020</v>
      </c>
      <c r="S100" s="47" t="str">
        <f t="shared" si="31"/>
        <v>0001</v>
      </c>
      <c r="T100" s="47" t="str">
        <f t="shared" si="32"/>
        <v>0001202000033982</v>
      </c>
      <c r="U100" s="47" t="str">
        <f t="shared" si="33"/>
        <v>F</v>
      </c>
      <c r="V100" s="47" t="str">
        <f t="shared" si="34"/>
        <v>A</v>
      </c>
      <c r="W100" s="47" t="str">
        <f t="shared" si="35"/>
        <v>00000001202000033982</v>
      </c>
      <c r="X100" s="47" t="str">
        <f t="shared" si="36"/>
        <v>00000017,80</v>
      </c>
      <c r="Y100" s="47" t="str">
        <f t="shared" si="22"/>
        <v>901003057779728121/01/202000010001202000033982FA0000000120200003398200000017,80</v>
      </c>
      <c r="Z100">
        <f t="shared" si="23"/>
        <v>79</v>
      </c>
      <c r="AA100" s="15">
        <v>995</v>
      </c>
      <c r="AB100" t="str">
        <f t="shared" si="24"/>
        <v>OK</v>
      </c>
    </row>
    <row r="101" spans="1:28" x14ac:dyDescent="0.2">
      <c r="A101" s="51">
        <v>901</v>
      </c>
      <c r="B101" s="52">
        <v>30645337979</v>
      </c>
      <c r="C101" s="53">
        <v>43844</v>
      </c>
      <c r="D101" s="51">
        <v>1</v>
      </c>
      <c r="E101" s="54">
        <v>201200063432</v>
      </c>
      <c r="F101" s="55" t="s">
        <v>50</v>
      </c>
      <c r="G101" s="56" t="s">
        <v>51</v>
      </c>
      <c r="H101" s="57">
        <v>14218</v>
      </c>
      <c r="I101" s="62" t="s">
        <v>144</v>
      </c>
      <c r="J101" s="58" t="str">
        <f t="shared" si="25"/>
        <v>0030645337979</v>
      </c>
      <c r="K101" s="58" t="str">
        <f t="shared" si="26"/>
        <v>901</v>
      </c>
      <c r="L101" s="58">
        <f t="shared" si="27"/>
        <v>14</v>
      </c>
      <c r="M101" s="58" t="str">
        <f t="shared" si="19"/>
        <v>14</v>
      </c>
      <c r="N101" s="58">
        <f t="shared" si="28"/>
        <v>1</v>
      </c>
      <c r="O101" s="58" t="str">
        <f t="shared" si="20"/>
        <v>01</v>
      </c>
      <c r="P101" s="58">
        <f t="shared" si="29"/>
        <v>2020</v>
      </c>
      <c r="Q101" s="58" t="str">
        <f t="shared" si="21"/>
        <v>2020</v>
      </c>
      <c r="R101" s="58" t="str">
        <f t="shared" si="30"/>
        <v>14/01/2020</v>
      </c>
      <c r="S101" s="47" t="str">
        <f t="shared" si="31"/>
        <v>0001</v>
      </c>
      <c r="T101" s="47" t="str">
        <f t="shared" si="32"/>
        <v>0000201200063432</v>
      </c>
      <c r="U101" s="47" t="str">
        <f t="shared" si="33"/>
        <v>F</v>
      </c>
      <c r="V101" s="47" t="str">
        <f t="shared" si="34"/>
        <v>A</v>
      </c>
      <c r="W101" s="47" t="str">
        <f t="shared" si="35"/>
        <v>00000000000000014218</v>
      </c>
      <c r="X101" s="47" t="str">
        <f t="shared" si="36"/>
        <v>00000115,70</v>
      </c>
      <c r="Y101" s="47" t="str">
        <f t="shared" si="22"/>
        <v>901003064533797914/01/202000010000201200063432FA0000000000000001421800000115,70</v>
      </c>
      <c r="Z101">
        <f t="shared" si="23"/>
        <v>79</v>
      </c>
      <c r="AA101" s="15">
        <v>996</v>
      </c>
      <c r="AB101" t="str">
        <f t="shared" si="24"/>
        <v>OK</v>
      </c>
    </row>
    <row r="102" spans="1:28" x14ac:dyDescent="0.2">
      <c r="A102" s="51">
        <v>901</v>
      </c>
      <c r="B102" s="52">
        <v>30645337979</v>
      </c>
      <c r="C102" s="53">
        <v>43861</v>
      </c>
      <c r="D102" s="51">
        <v>1</v>
      </c>
      <c r="E102" s="54">
        <v>201200063904</v>
      </c>
      <c r="F102" s="55" t="s">
        <v>50</v>
      </c>
      <c r="G102" s="56" t="s">
        <v>51</v>
      </c>
      <c r="H102" s="57">
        <v>14505</v>
      </c>
      <c r="I102" s="62" t="s">
        <v>144</v>
      </c>
      <c r="J102" s="58" t="str">
        <f t="shared" si="25"/>
        <v>0030645337979</v>
      </c>
      <c r="K102" s="58" t="str">
        <f t="shared" si="26"/>
        <v>901</v>
      </c>
      <c r="L102" s="58">
        <f t="shared" si="27"/>
        <v>31</v>
      </c>
      <c r="M102" s="58" t="str">
        <f t="shared" si="19"/>
        <v>31</v>
      </c>
      <c r="N102" s="58">
        <f t="shared" si="28"/>
        <v>1</v>
      </c>
      <c r="O102" s="58" t="str">
        <f t="shared" si="20"/>
        <v>01</v>
      </c>
      <c r="P102" s="58">
        <f t="shared" si="29"/>
        <v>2020</v>
      </c>
      <c r="Q102" s="58" t="str">
        <f t="shared" si="21"/>
        <v>2020</v>
      </c>
      <c r="R102" s="58" t="str">
        <f t="shared" si="30"/>
        <v>31/01/2020</v>
      </c>
      <c r="S102" s="47" t="str">
        <f t="shared" si="31"/>
        <v>0001</v>
      </c>
      <c r="T102" s="47" t="str">
        <f t="shared" si="32"/>
        <v>0000201200063904</v>
      </c>
      <c r="U102" s="47" t="str">
        <f t="shared" si="33"/>
        <v>F</v>
      </c>
      <c r="V102" s="47" t="str">
        <f t="shared" si="34"/>
        <v>A</v>
      </c>
      <c r="W102" s="47" t="str">
        <f t="shared" si="35"/>
        <v>00000000000000014505</v>
      </c>
      <c r="X102" s="47" t="str">
        <f t="shared" si="36"/>
        <v>00000115,70</v>
      </c>
      <c r="Y102" s="47" t="str">
        <f t="shared" si="22"/>
        <v>901003064533797931/01/202000010000201200063904FA0000000000000001450500000115,70</v>
      </c>
      <c r="Z102">
        <f t="shared" si="23"/>
        <v>79</v>
      </c>
      <c r="AA102" s="15">
        <v>997</v>
      </c>
      <c r="AB102" t="str">
        <f t="shared" si="24"/>
        <v>OK</v>
      </c>
    </row>
    <row r="103" spans="1:28" x14ac:dyDescent="0.2">
      <c r="A103" s="51"/>
      <c r="B103" s="52"/>
      <c r="C103" s="53"/>
      <c r="D103" s="51"/>
      <c r="E103" s="51"/>
      <c r="F103" s="60"/>
      <c r="G103" s="60"/>
      <c r="H103" s="60"/>
      <c r="I103" s="58"/>
      <c r="J103" s="58" t="str">
        <f t="shared" si="25"/>
        <v>0000000000000</v>
      </c>
      <c r="K103" s="58" t="str">
        <f t="shared" si="26"/>
        <v>000</v>
      </c>
      <c r="L103" s="58">
        <f t="shared" si="27"/>
        <v>0</v>
      </c>
      <c r="M103" s="58" t="str">
        <f t="shared" si="19"/>
        <v>00</v>
      </c>
      <c r="N103" s="58">
        <f t="shared" si="28"/>
        <v>1</v>
      </c>
      <c r="O103" s="58" t="str">
        <f t="shared" si="20"/>
        <v>01</v>
      </c>
      <c r="P103" s="58">
        <f t="shared" si="29"/>
        <v>1900</v>
      </c>
      <c r="Q103" s="58" t="str">
        <f t="shared" si="21"/>
        <v>1900</v>
      </c>
      <c r="R103" s="58" t="str">
        <f t="shared" si="30"/>
        <v>00/01/1900</v>
      </c>
      <c r="S103" s="47" t="str">
        <f t="shared" si="31"/>
        <v>0000</v>
      </c>
      <c r="T103" s="47" t="str">
        <f t="shared" si="32"/>
        <v>0000000000000000</v>
      </c>
      <c r="U103" s="47" t="str">
        <f t="shared" si="33"/>
        <v>0</v>
      </c>
      <c r="V103" s="47" t="str">
        <f t="shared" si="34"/>
        <v>0</v>
      </c>
      <c r="W103" s="47" t="str">
        <f t="shared" si="35"/>
        <v>00000000000000000000</v>
      </c>
      <c r="X103" s="47" t="str">
        <f t="shared" si="36"/>
        <v>00000000,00</v>
      </c>
      <c r="Y103" s="47" t="str">
        <f t="shared" si="22"/>
        <v/>
      </c>
      <c r="Z103" t="str">
        <f t="shared" si="23"/>
        <v/>
      </c>
      <c r="AA103" s="15">
        <v>998</v>
      </c>
      <c r="AB103" t="str">
        <f t="shared" si="24"/>
        <v/>
      </c>
    </row>
    <row r="104" spans="1:28" x14ac:dyDescent="0.2">
      <c r="A104" s="51"/>
      <c r="B104" s="52"/>
      <c r="C104" s="53"/>
      <c r="D104" s="51"/>
      <c r="E104" s="51"/>
      <c r="F104" s="60"/>
      <c r="G104" s="60"/>
      <c r="H104" s="60"/>
      <c r="I104" s="58"/>
      <c r="J104" s="58" t="str">
        <f t="shared" si="25"/>
        <v>0000000000000</v>
      </c>
      <c r="K104" s="58" t="str">
        <f t="shared" si="26"/>
        <v>000</v>
      </c>
      <c r="L104" s="58">
        <f t="shared" si="27"/>
        <v>0</v>
      </c>
      <c r="M104" s="58" t="str">
        <f t="shared" si="19"/>
        <v>00</v>
      </c>
      <c r="N104" s="58">
        <f t="shared" si="28"/>
        <v>1</v>
      </c>
      <c r="O104" s="58" t="str">
        <f t="shared" si="20"/>
        <v>01</v>
      </c>
      <c r="P104" s="58">
        <f t="shared" si="29"/>
        <v>1900</v>
      </c>
      <c r="Q104" s="58" t="str">
        <f t="shared" si="21"/>
        <v>1900</v>
      </c>
      <c r="R104" s="58" t="str">
        <f t="shared" si="30"/>
        <v>00/01/1900</v>
      </c>
      <c r="S104" s="47" t="str">
        <f t="shared" si="31"/>
        <v>0000</v>
      </c>
      <c r="T104" s="47" t="str">
        <f t="shared" si="32"/>
        <v>0000000000000000</v>
      </c>
      <c r="U104" s="47" t="str">
        <f t="shared" si="33"/>
        <v>0</v>
      </c>
      <c r="V104" s="47" t="str">
        <f t="shared" si="34"/>
        <v>0</v>
      </c>
      <c r="W104" s="47" t="str">
        <f t="shared" si="35"/>
        <v>00000000000000000000</v>
      </c>
      <c r="X104" s="47" t="str">
        <f t="shared" si="36"/>
        <v>00000000,00</v>
      </c>
      <c r="Y104" s="47" t="str">
        <f t="shared" si="22"/>
        <v/>
      </c>
      <c r="Z104" t="str">
        <f t="shared" si="23"/>
        <v/>
      </c>
      <c r="AA104" s="15">
        <v>999</v>
      </c>
      <c r="AB104" t="str">
        <f t="shared" si="24"/>
        <v/>
      </c>
    </row>
    <row r="105" spans="1:28" x14ac:dyDescent="0.2">
      <c r="A105" s="51"/>
      <c r="B105" s="52"/>
      <c r="C105" s="53"/>
      <c r="D105" s="51"/>
      <c r="E105" s="51"/>
      <c r="F105" s="60"/>
      <c r="G105" s="60"/>
      <c r="H105" s="60"/>
      <c r="I105" s="58"/>
      <c r="J105" s="58" t="str">
        <f t="shared" si="25"/>
        <v>0000000000000</v>
      </c>
      <c r="K105" s="58" t="str">
        <f t="shared" si="26"/>
        <v>000</v>
      </c>
      <c r="L105" s="58">
        <f t="shared" si="27"/>
        <v>0</v>
      </c>
      <c r="M105" s="58" t="str">
        <f t="shared" si="19"/>
        <v>00</v>
      </c>
      <c r="N105" s="58">
        <f t="shared" si="28"/>
        <v>1</v>
      </c>
      <c r="O105" s="58" t="str">
        <f t="shared" si="20"/>
        <v>01</v>
      </c>
      <c r="P105" s="58">
        <f t="shared" si="29"/>
        <v>1900</v>
      </c>
      <c r="Q105" s="58" t="str">
        <f t="shared" si="21"/>
        <v>1900</v>
      </c>
      <c r="R105" s="58" t="str">
        <f t="shared" si="30"/>
        <v>00/01/1900</v>
      </c>
      <c r="S105" s="47" t="str">
        <f t="shared" si="31"/>
        <v>0000</v>
      </c>
      <c r="T105" s="47" t="str">
        <f t="shared" si="32"/>
        <v>0000000000000000</v>
      </c>
      <c r="U105" s="47" t="str">
        <f t="shared" si="33"/>
        <v>0</v>
      </c>
      <c r="V105" s="47" t="str">
        <f t="shared" si="34"/>
        <v>0</v>
      </c>
      <c r="W105" s="47" t="str">
        <f t="shared" si="35"/>
        <v>00000000000000000000</v>
      </c>
      <c r="X105" s="47" t="str">
        <f t="shared" si="36"/>
        <v>00000000,00</v>
      </c>
      <c r="Y105" s="47" t="str">
        <f t="shared" si="22"/>
        <v/>
      </c>
      <c r="Z105" t="str">
        <f t="shared" si="23"/>
        <v/>
      </c>
      <c r="AA105" s="15">
        <v>1000</v>
      </c>
      <c r="AB105" t="str">
        <f t="shared" si="24"/>
        <v/>
      </c>
    </row>
    <row r="106" spans="1:28" x14ac:dyDescent="0.2">
      <c r="A106" s="51"/>
      <c r="B106" s="52"/>
      <c r="C106" s="53"/>
      <c r="D106" s="51"/>
      <c r="E106" s="51"/>
      <c r="F106" s="60"/>
      <c r="G106" s="60"/>
      <c r="H106" s="60"/>
      <c r="I106" s="58"/>
      <c r="J106" s="58" t="str">
        <f t="shared" si="25"/>
        <v>0000000000000</v>
      </c>
      <c r="K106" s="58" t="str">
        <f t="shared" si="26"/>
        <v>000</v>
      </c>
      <c r="L106" s="58">
        <f t="shared" si="27"/>
        <v>0</v>
      </c>
      <c r="M106" s="58" t="str">
        <f t="shared" si="19"/>
        <v>00</v>
      </c>
      <c r="N106" s="58">
        <f t="shared" si="28"/>
        <v>1</v>
      </c>
      <c r="O106" s="58" t="str">
        <f t="shared" si="20"/>
        <v>01</v>
      </c>
      <c r="P106" s="58">
        <f t="shared" si="29"/>
        <v>1900</v>
      </c>
      <c r="Q106" s="58" t="str">
        <f t="shared" si="21"/>
        <v>1900</v>
      </c>
      <c r="R106" s="58" t="str">
        <f t="shared" si="30"/>
        <v>00/01/1900</v>
      </c>
      <c r="S106" s="47" t="str">
        <f t="shared" si="31"/>
        <v>0000</v>
      </c>
      <c r="T106" s="47" t="str">
        <f t="shared" si="32"/>
        <v>0000000000000000</v>
      </c>
      <c r="U106" s="47" t="str">
        <f t="shared" si="33"/>
        <v>0</v>
      </c>
      <c r="V106" s="47" t="str">
        <f t="shared" si="34"/>
        <v>0</v>
      </c>
      <c r="W106" s="47" t="str">
        <f t="shared" si="35"/>
        <v>00000000000000000000</v>
      </c>
      <c r="X106" s="47" t="str">
        <f t="shared" si="36"/>
        <v>00000000,00</v>
      </c>
      <c r="Y106" s="47" t="str">
        <f t="shared" si="22"/>
        <v/>
      </c>
      <c r="Z106" t="str">
        <f t="shared" si="23"/>
        <v/>
      </c>
      <c r="AA106" s="15">
        <v>1001</v>
      </c>
      <c r="AB106" t="str">
        <f t="shared" si="24"/>
        <v/>
      </c>
    </row>
    <row r="107" spans="1:28" x14ac:dyDescent="0.2">
      <c r="A107" s="51"/>
      <c r="B107" s="52"/>
      <c r="C107" s="53"/>
      <c r="D107" s="51"/>
      <c r="E107" s="51"/>
      <c r="F107" s="60"/>
      <c r="G107" s="60"/>
      <c r="H107" s="60"/>
      <c r="I107" s="58"/>
      <c r="J107" s="58" t="str">
        <f t="shared" si="25"/>
        <v>0000000000000</v>
      </c>
      <c r="K107" s="58" t="str">
        <f t="shared" si="26"/>
        <v>000</v>
      </c>
      <c r="L107" s="58">
        <f t="shared" si="27"/>
        <v>0</v>
      </c>
      <c r="M107" s="58" t="str">
        <f t="shared" si="19"/>
        <v>00</v>
      </c>
      <c r="N107" s="58">
        <f t="shared" si="28"/>
        <v>1</v>
      </c>
      <c r="O107" s="58" t="str">
        <f t="shared" si="20"/>
        <v>01</v>
      </c>
      <c r="P107" s="58">
        <f t="shared" si="29"/>
        <v>1900</v>
      </c>
      <c r="Q107" s="58" t="str">
        <f t="shared" si="21"/>
        <v>1900</v>
      </c>
      <c r="R107" s="58" t="str">
        <f t="shared" si="30"/>
        <v>00/01/1900</v>
      </c>
      <c r="S107" s="47" t="str">
        <f t="shared" si="31"/>
        <v>0000</v>
      </c>
      <c r="T107" s="47" t="str">
        <f t="shared" si="32"/>
        <v>0000000000000000</v>
      </c>
      <c r="U107" s="47" t="str">
        <f t="shared" si="33"/>
        <v>0</v>
      </c>
      <c r="V107" s="47" t="str">
        <f t="shared" si="34"/>
        <v>0</v>
      </c>
      <c r="W107" s="47" t="str">
        <f t="shared" si="35"/>
        <v>00000000000000000000</v>
      </c>
      <c r="X107" s="47" t="str">
        <f t="shared" si="36"/>
        <v>00000000,00</v>
      </c>
      <c r="Y107" s="47" t="str">
        <f t="shared" si="22"/>
        <v/>
      </c>
      <c r="Z107" t="str">
        <f t="shared" si="23"/>
        <v/>
      </c>
      <c r="AA107" s="15">
        <v>1002</v>
      </c>
      <c r="AB107" t="str">
        <f t="shared" si="24"/>
        <v/>
      </c>
    </row>
    <row r="108" spans="1:28" x14ac:dyDescent="0.2">
      <c r="A108" s="51"/>
      <c r="B108" s="52"/>
      <c r="C108" s="53"/>
      <c r="D108" s="51"/>
      <c r="E108" s="51"/>
      <c r="F108" s="60"/>
      <c r="G108" s="60"/>
      <c r="H108" s="60"/>
      <c r="I108" s="58"/>
      <c r="J108" s="58" t="str">
        <f t="shared" si="25"/>
        <v>0000000000000</v>
      </c>
      <c r="K108" s="58" t="str">
        <f t="shared" si="26"/>
        <v>000</v>
      </c>
      <c r="L108" s="58">
        <f t="shared" si="27"/>
        <v>0</v>
      </c>
      <c r="M108" s="58" t="str">
        <f t="shared" si="19"/>
        <v>00</v>
      </c>
      <c r="N108" s="58">
        <f t="shared" si="28"/>
        <v>1</v>
      </c>
      <c r="O108" s="58" t="str">
        <f t="shared" si="20"/>
        <v>01</v>
      </c>
      <c r="P108" s="58">
        <f t="shared" si="29"/>
        <v>1900</v>
      </c>
      <c r="Q108" s="58" t="str">
        <f t="shared" si="21"/>
        <v>1900</v>
      </c>
      <c r="R108" s="58" t="str">
        <f t="shared" si="30"/>
        <v>00/01/1900</v>
      </c>
      <c r="S108" s="47" t="str">
        <f t="shared" si="31"/>
        <v>0000</v>
      </c>
      <c r="T108" s="47" t="str">
        <f t="shared" si="32"/>
        <v>0000000000000000</v>
      </c>
      <c r="U108" s="47" t="str">
        <f t="shared" si="33"/>
        <v>0</v>
      </c>
      <c r="V108" s="47" t="str">
        <f t="shared" si="34"/>
        <v>0</v>
      </c>
      <c r="W108" s="47" t="str">
        <f t="shared" si="35"/>
        <v>00000000000000000000</v>
      </c>
      <c r="X108" s="47" t="str">
        <f t="shared" si="36"/>
        <v>00000000,00</v>
      </c>
      <c r="Y108" s="47" t="str">
        <f t="shared" si="22"/>
        <v/>
      </c>
      <c r="Z108" t="str">
        <f t="shared" si="23"/>
        <v/>
      </c>
      <c r="AA108" s="15">
        <v>1003</v>
      </c>
      <c r="AB108" t="str">
        <f t="shared" si="24"/>
        <v/>
      </c>
    </row>
    <row r="109" spans="1:28" x14ac:dyDescent="0.2">
      <c r="A109" s="51"/>
      <c r="B109" s="52"/>
      <c r="C109" s="53"/>
      <c r="D109" s="51"/>
      <c r="E109" s="51"/>
      <c r="F109" s="60"/>
      <c r="G109" s="60"/>
      <c r="H109" s="60"/>
      <c r="I109" s="58"/>
      <c r="J109" s="58" t="str">
        <f t="shared" si="25"/>
        <v>0000000000000</v>
      </c>
      <c r="K109" s="58" t="str">
        <f t="shared" si="26"/>
        <v>000</v>
      </c>
      <c r="L109" s="58">
        <f t="shared" si="27"/>
        <v>0</v>
      </c>
      <c r="M109" s="58" t="str">
        <f t="shared" si="19"/>
        <v>00</v>
      </c>
      <c r="N109" s="58">
        <f t="shared" si="28"/>
        <v>1</v>
      </c>
      <c r="O109" s="58" t="str">
        <f t="shared" si="20"/>
        <v>01</v>
      </c>
      <c r="P109" s="58">
        <f t="shared" si="29"/>
        <v>1900</v>
      </c>
      <c r="Q109" s="58" t="str">
        <f t="shared" si="21"/>
        <v>1900</v>
      </c>
      <c r="R109" s="58" t="str">
        <f t="shared" si="30"/>
        <v>00/01/1900</v>
      </c>
      <c r="S109" s="47" t="str">
        <f t="shared" si="31"/>
        <v>0000</v>
      </c>
      <c r="T109" s="47" t="str">
        <f t="shared" si="32"/>
        <v>0000000000000000</v>
      </c>
      <c r="U109" s="47" t="str">
        <f t="shared" si="33"/>
        <v>0</v>
      </c>
      <c r="V109" s="47" t="str">
        <f t="shared" si="34"/>
        <v>0</v>
      </c>
      <c r="W109" s="47" t="str">
        <f t="shared" si="35"/>
        <v>00000000000000000000</v>
      </c>
      <c r="X109" s="47" t="str">
        <f t="shared" si="36"/>
        <v>00000000,00</v>
      </c>
      <c r="Y109" s="47" t="str">
        <f t="shared" si="22"/>
        <v/>
      </c>
      <c r="Z109" t="str">
        <f t="shared" si="23"/>
        <v/>
      </c>
      <c r="AA109" s="15">
        <v>1004</v>
      </c>
      <c r="AB109" t="str">
        <f t="shared" si="24"/>
        <v/>
      </c>
    </row>
    <row r="110" spans="1:28" x14ac:dyDescent="0.2">
      <c r="A110" s="51"/>
      <c r="B110" s="52"/>
      <c r="C110" s="53"/>
      <c r="D110" s="51"/>
      <c r="E110" s="51"/>
      <c r="F110" s="60"/>
      <c r="G110" s="60"/>
      <c r="H110" s="60"/>
      <c r="I110" s="58"/>
      <c r="J110" s="58" t="str">
        <f t="shared" si="25"/>
        <v>0000000000000</v>
      </c>
      <c r="K110" s="58" t="str">
        <f t="shared" si="26"/>
        <v>000</v>
      </c>
      <c r="L110" s="58">
        <f t="shared" si="27"/>
        <v>0</v>
      </c>
      <c r="M110" s="58" t="str">
        <f t="shared" si="19"/>
        <v>00</v>
      </c>
      <c r="N110" s="58">
        <f t="shared" si="28"/>
        <v>1</v>
      </c>
      <c r="O110" s="58" t="str">
        <f t="shared" si="20"/>
        <v>01</v>
      </c>
      <c r="P110" s="58">
        <f t="shared" si="29"/>
        <v>1900</v>
      </c>
      <c r="Q110" s="58" t="str">
        <f t="shared" si="21"/>
        <v>1900</v>
      </c>
      <c r="R110" s="58" t="str">
        <f t="shared" si="30"/>
        <v>00/01/1900</v>
      </c>
      <c r="S110" s="47" t="str">
        <f t="shared" si="31"/>
        <v>0000</v>
      </c>
      <c r="T110" s="47" t="str">
        <f t="shared" si="32"/>
        <v>0000000000000000</v>
      </c>
      <c r="U110" s="47" t="str">
        <f t="shared" si="33"/>
        <v>0</v>
      </c>
      <c r="V110" s="47" t="str">
        <f t="shared" si="34"/>
        <v>0</v>
      </c>
      <c r="W110" s="47" t="str">
        <f t="shared" si="35"/>
        <v>00000000000000000000</v>
      </c>
      <c r="X110" s="47" t="str">
        <f t="shared" si="36"/>
        <v>00000000,00</v>
      </c>
      <c r="Y110" s="47" t="str">
        <f t="shared" si="22"/>
        <v/>
      </c>
      <c r="Z110" t="str">
        <f t="shared" si="23"/>
        <v/>
      </c>
      <c r="AA110" s="15">
        <v>1005</v>
      </c>
      <c r="AB110" t="str">
        <f t="shared" si="24"/>
        <v/>
      </c>
    </row>
  </sheetData>
  <mergeCells count="5">
    <mergeCell ref="F1:H1"/>
    <mergeCell ref="D1:E1"/>
    <mergeCell ref="A1:A2"/>
    <mergeCell ref="B1:B2"/>
    <mergeCell ref="C1:C2"/>
  </mergeCells>
  <phoneticPr fontId="2" type="noConversion"/>
  <dataValidations count="4">
    <dataValidation type="list" allowBlank="1" showInputMessage="1" showErrorMessage="1" sqref="A6:A110">
      <formula1>JUR</formula1>
    </dataValidation>
    <dataValidation type="list" allowBlank="1" showInputMessage="1" showErrorMessage="1" sqref="F6:F102">
      <formula1>"F,R,D,C,O"</formula1>
    </dataValidation>
    <dataValidation type="list" allowBlank="1" showInputMessage="1" showErrorMessage="1" sqref="G6:G102">
      <formula1>"A,B,C,E,M,T"</formula1>
    </dataValidation>
    <dataValidation type="textLength" allowBlank="1" showInputMessage="1" showErrorMessage="1" sqref="Y5:Y110">
      <formula1>79</formula1>
      <formula2>79</formula2>
    </dataValidation>
  </dataValidations>
  <pageMargins left="0.75" right="0.75" top="1" bottom="1" header="0" footer="0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110"/>
  <sheetViews>
    <sheetView tabSelected="1" zoomScale="115" zoomScaleNormal="115" workbookViewId="0">
      <pane ySplit="5" topLeftCell="A56" activePane="bottomLeft" state="frozen"/>
      <selection activeCell="B16" sqref="B16:B18"/>
      <selection pane="bottomLeft" activeCell="Y73" sqref="Y73"/>
    </sheetView>
  </sheetViews>
  <sheetFormatPr baseColWidth="10" defaultRowHeight="12.75" x14ac:dyDescent="0.2"/>
  <cols>
    <col min="1" max="1" width="14.42578125" style="9" bestFit="1" customWidth="1"/>
    <col min="2" max="2" width="14.42578125" bestFit="1" customWidth="1"/>
    <col min="3" max="3" width="10.85546875" style="2" bestFit="1" customWidth="1"/>
    <col min="4" max="4" width="7.7109375" style="9" bestFit="1" customWidth="1"/>
    <col min="5" max="5" width="18.85546875" style="9" bestFit="1" customWidth="1"/>
    <col min="6" max="6" width="9.5703125" style="3" bestFit="1" customWidth="1"/>
    <col min="7" max="7" width="7.42578125" style="3" bestFit="1" customWidth="1"/>
    <col min="8" max="8" width="11.5703125" style="1" bestFit="1" customWidth="1"/>
    <col min="9" max="9" width="11.5703125" style="1" hidden="1" customWidth="1"/>
    <col min="10" max="10" width="4.42578125" style="1" hidden="1" customWidth="1"/>
    <col min="11" max="11" width="5" style="1" hidden="1" customWidth="1"/>
    <col min="12" max="12" width="3.42578125" style="1" hidden="1" customWidth="1"/>
    <col min="13" max="13" width="5" style="1" hidden="1" customWidth="1"/>
    <col min="14" max="14" width="3.42578125" style="1" hidden="1" customWidth="1"/>
    <col min="15" max="15" width="8.140625" style="1" hidden="1" customWidth="1"/>
    <col min="16" max="16" width="5.5703125" style="1" hidden="1" customWidth="1"/>
    <col min="17" max="17" width="10.85546875" style="1" hidden="1" customWidth="1"/>
    <col min="18" max="18" width="5" hidden="1" customWidth="1"/>
    <col min="19" max="19" width="9.85546875" hidden="1" customWidth="1"/>
    <col min="20" max="20" width="2.140625" hidden="1" customWidth="1"/>
    <col min="21" max="21" width="2.28515625" hidden="1" customWidth="1"/>
    <col min="22" max="22" width="12.42578125" hidden="1" customWidth="1"/>
    <col min="23" max="23" width="55.28515625" bestFit="1" customWidth="1"/>
  </cols>
  <sheetData>
    <row r="1" spans="1:25" s="4" customFormat="1" x14ac:dyDescent="0.2">
      <c r="A1" s="50" t="s">
        <v>0</v>
      </c>
      <c r="B1" s="50" t="s">
        <v>1</v>
      </c>
      <c r="C1" s="50" t="s">
        <v>2</v>
      </c>
      <c r="D1" s="49" t="s">
        <v>11</v>
      </c>
      <c r="E1" s="49"/>
      <c r="F1" s="48" t="s">
        <v>5</v>
      </c>
      <c r="G1" s="48"/>
      <c r="H1" s="7" t="s">
        <v>9</v>
      </c>
      <c r="I1" s="7"/>
      <c r="J1" s="7"/>
      <c r="K1" s="7"/>
      <c r="L1" s="7"/>
      <c r="M1" s="7"/>
      <c r="N1" s="7"/>
      <c r="O1" s="7"/>
      <c r="P1" s="7"/>
      <c r="Q1" s="7"/>
      <c r="W1" s="4" t="s">
        <v>12</v>
      </c>
    </row>
    <row r="2" spans="1:25" s="4" customFormat="1" x14ac:dyDescent="0.2">
      <c r="A2" s="50"/>
      <c r="B2" s="50"/>
      <c r="C2" s="50"/>
      <c r="D2" s="8" t="s">
        <v>3</v>
      </c>
      <c r="E2" s="8" t="s">
        <v>4</v>
      </c>
      <c r="F2" s="6" t="s">
        <v>6</v>
      </c>
      <c r="G2" s="6" t="s">
        <v>7</v>
      </c>
      <c r="H2" s="7" t="s">
        <v>10</v>
      </c>
      <c r="I2" s="7"/>
      <c r="J2" s="7"/>
      <c r="K2" s="7"/>
      <c r="L2" s="7"/>
      <c r="M2" s="7"/>
      <c r="N2" s="7"/>
      <c r="O2" s="7"/>
      <c r="P2" s="7"/>
      <c r="Q2" s="7"/>
      <c r="W2" s="4" t="s">
        <v>13</v>
      </c>
    </row>
    <row r="3" spans="1:25" s="8" customFormat="1" x14ac:dyDescent="0.2">
      <c r="A3" s="8">
        <v>3</v>
      </c>
      <c r="B3" s="8">
        <v>13</v>
      </c>
      <c r="C3" s="8">
        <v>10</v>
      </c>
      <c r="D3" s="8">
        <v>4</v>
      </c>
      <c r="E3" s="8">
        <v>8</v>
      </c>
      <c r="F3" s="8">
        <v>1</v>
      </c>
      <c r="G3" s="8">
        <v>1</v>
      </c>
      <c r="W3" s="8" t="s">
        <v>14</v>
      </c>
    </row>
    <row r="4" spans="1:25" s="8" customFormat="1" x14ac:dyDescent="0.2"/>
    <row r="5" spans="1:25" x14ac:dyDescent="0.2">
      <c r="B5" s="11"/>
      <c r="I5" s="1" t="str">
        <f>TEXT(B5,"0000000000000")</f>
        <v>0000000000000</v>
      </c>
      <c r="J5" s="1" t="str">
        <f>TEXT(A5,"000")</f>
        <v>000</v>
      </c>
      <c r="K5" s="1">
        <f>DAY(C5)</f>
        <v>0</v>
      </c>
      <c r="L5" s="1" t="str">
        <f>TEXT(K5,"00")</f>
        <v>00</v>
      </c>
      <c r="M5" s="1">
        <f>MONTH(C5)</f>
        <v>1</v>
      </c>
      <c r="N5" s="1" t="str">
        <f>TEXT(M5,"00")</f>
        <v>01</v>
      </c>
      <c r="O5" s="1">
        <f>YEAR(C5)</f>
        <v>1900</v>
      </c>
      <c r="P5" s="1" t="str">
        <f>TEXT(O5,"0000")</f>
        <v>1900</v>
      </c>
      <c r="Q5" s="1" t="str">
        <f>CONCATENATE(L5,"/",N5,"/",P5)</f>
        <v>00/01/1900</v>
      </c>
      <c r="R5" t="str">
        <f>TEXT(D5,"0000")</f>
        <v>0000</v>
      </c>
      <c r="S5" t="str">
        <f>TEXT(E5,"00000000")</f>
        <v>00000000</v>
      </c>
      <c r="T5" t="str">
        <f t="shared" ref="T5:U8" si="0">TEXT(F5,"0")</f>
        <v>0</v>
      </c>
      <c r="U5" t="str">
        <f t="shared" si="0"/>
        <v>0</v>
      </c>
      <c r="V5" t="str">
        <f>TEXT(H5,"00000000,00")</f>
        <v>00000000,00</v>
      </c>
    </row>
    <row r="6" spans="1:25" x14ac:dyDescent="0.2">
      <c r="A6" s="38"/>
      <c r="B6" s="39"/>
      <c r="C6" s="40"/>
      <c r="D6" s="38"/>
      <c r="E6" s="38"/>
      <c r="F6" s="41"/>
      <c r="G6" s="42"/>
      <c r="H6" s="42"/>
      <c r="I6" s="22" t="str">
        <f>TEXT(B6,"0000000000000")</f>
        <v>0000000000000</v>
      </c>
      <c r="J6" s="23" t="str">
        <f>TEXT(A6,"000")</f>
        <v>000</v>
      </c>
      <c r="K6" s="23">
        <f>DAY(C6)</f>
        <v>0</v>
      </c>
      <c r="L6" s="23" t="str">
        <f>TEXT(K6,"00")</f>
        <v>00</v>
      </c>
      <c r="M6" s="23">
        <f>MONTH(C6)</f>
        <v>1</v>
      </c>
      <c r="N6" s="23" t="str">
        <f>TEXT(M6,"00")</f>
        <v>01</v>
      </c>
      <c r="O6" s="23">
        <f>YEAR(C6)</f>
        <v>1900</v>
      </c>
      <c r="P6" s="23" t="str">
        <f>TEXT(O6,"0000")</f>
        <v>1900</v>
      </c>
      <c r="Q6" s="23" t="str">
        <f>CONCATENATE(L6,"/",N6,"/",P6)</f>
        <v>00/01/1900</v>
      </c>
      <c r="R6" s="24" t="str">
        <f>TEXT(D6,"0000")</f>
        <v>0000</v>
      </c>
      <c r="S6" s="24" t="str">
        <f>TEXT(E6,"00000000")</f>
        <v>00000000</v>
      </c>
      <c r="T6" s="24" t="str">
        <f t="shared" si="0"/>
        <v>0</v>
      </c>
      <c r="U6" s="24" t="str">
        <f t="shared" si="0"/>
        <v>0</v>
      </c>
      <c r="V6" s="24" t="str">
        <f>TEXT(H6,"00000000,00")</f>
        <v>00000000,00</v>
      </c>
      <c r="W6" s="36" t="str">
        <f>IF(A6="","",CONCATENATE(J6,I6,Q6,R6,S6,T6,U6,V6))</f>
        <v/>
      </c>
      <c r="X6" t="str">
        <f>IF(A6="","",LEN(W6))</f>
        <v/>
      </c>
      <c r="Y6" t="str">
        <f>IF(A6="","",IF(X6=51,"OK","ERROR DE LONGITUD DEL TEXTO"))</f>
        <v/>
      </c>
    </row>
    <row r="7" spans="1:25" x14ac:dyDescent="0.2">
      <c r="A7" s="38"/>
      <c r="B7" s="39"/>
      <c r="C7" s="40"/>
      <c r="D7" s="38"/>
      <c r="E7" s="38"/>
      <c r="F7" s="41"/>
      <c r="G7" s="45"/>
      <c r="H7" s="45"/>
      <c r="I7" s="23" t="str">
        <f>TEXT(B7,"0000000000000")</f>
        <v>0000000000000</v>
      </c>
      <c r="J7" s="23" t="str">
        <f>TEXT(A7,"000")</f>
        <v>000</v>
      </c>
      <c r="K7" s="23">
        <f>DAY(C7)</f>
        <v>0</v>
      </c>
      <c r="L7" s="23" t="str">
        <f>TEXT(K7,"00")</f>
        <v>00</v>
      </c>
      <c r="M7" s="23">
        <f>MONTH(C7)</f>
        <v>1</v>
      </c>
      <c r="N7" s="23" t="str">
        <f>TEXT(M7,"00")</f>
        <v>01</v>
      </c>
      <c r="O7" s="23">
        <f>YEAR(C7)</f>
        <v>1900</v>
      </c>
      <c r="P7" s="23" t="str">
        <f>TEXT(O7,"0000")</f>
        <v>1900</v>
      </c>
      <c r="Q7" s="23" t="str">
        <f>CONCATENATE(L7,"/",N7,"/",P7)</f>
        <v>00/01/1900</v>
      </c>
      <c r="R7" s="24" t="str">
        <f>TEXT(D7,"0000")</f>
        <v>0000</v>
      </c>
      <c r="S7" s="24" t="str">
        <f>TEXT(E7,"00000000")</f>
        <v>00000000</v>
      </c>
      <c r="T7" s="24" t="str">
        <f t="shared" si="0"/>
        <v>0</v>
      </c>
      <c r="U7" s="24" t="str">
        <f t="shared" si="0"/>
        <v>0</v>
      </c>
      <c r="V7" s="24" t="str">
        <f>TEXT(H7,"00000000,00")</f>
        <v>00000000,00</v>
      </c>
      <c r="W7" s="36" t="str">
        <f t="shared" ref="W7:W70" si="1">IF(A7="","",CONCATENATE(J7,I7,Q7,R7,S7,T7,U7,V7))</f>
        <v/>
      </c>
      <c r="X7" t="str">
        <f t="shared" ref="X7:X70" si="2">IF(A7="","",LEN(W7))</f>
        <v/>
      </c>
      <c r="Y7" t="str">
        <f t="shared" ref="Y7:Y70" si="3">IF(A7="","",IF(X7=51,"OK","ERROR DE LONGITUD DEL TEXTO"))</f>
        <v/>
      </c>
    </row>
    <row r="8" spans="1:25" x14ac:dyDescent="0.2">
      <c r="A8" s="38"/>
      <c r="B8" s="39"/>
      <c r="C8" s="40"/>
      <c r="D8" s="38"/>
      <c r="E8" s="38"/>
      <c r="F8" s="41"/>
      <c r="G8" s="45"/>
      <c r="H8" s="45"/>
      <c r="I8" s="23" t="str">
        <f>TEXT(B8,"0000000000000")</f>
        <v>0000000000000</v>
      </c>
      <c r="J8" s="23" t="str">
        <f>TEXT(A8,"000")</f>
        <v>000</v>
      </c>
      <c r="K8" s="23">
        <f>DAY(C8)</f>
        <v>0</v>
      </c>
      <c r="L8" s="23" t="str">
        <f>TEXT(K8,"00")</f>
        <v>00</v>
      </c>
      <c r="M8" s="23">
        <f>MONTH(C8)</f>
        <v>1</v>
      </c>
      <c r="N8" s="23" t="str">
        <f>TEXT(M8,"00")</f>
        <v>01</v>
      </c>
      <c r="O8" s="23">
        <f>YEAR(C8)</f>
        <v>1900</v>
      </c>
      <c r="P8" s="23" t="str">
        <f>TEXT(O8,"0000")</f>
        <v>1900</v>
      </c>
      <c r="Q8" s="23" t="str">
        <f>CONCATENATE(L8,"/",N8,"/",P8)</f>
        <v>00/01/1900</v>
      </c>
      <c r="R8" s="24" t="str">
        <f>TEXT(D8,"0000")</f>
        <v>0000</v>
      </c>
      <c r="S8" s="24" t="str">
        <f>TEXT(E8,"00000000")</f>
        <v>00000000</v>
      </c>
      <c r="T8" s="24" t="str">
        <f t="shared" si="0"/>
        <v>0</v>
      </c>
      <c r="U8" s="24" t="str">
        <f t="shared" si="0"/>
        <v>0</v>
      </c>
      <c r="V8" s="24" t="str">
        <f>TEXT(H8,"00000000,00")</f>
        <v>00000000,00</v>
      </c>
      <c r="W8" s="36" t="str">
        <f t="shared" si="1"/>
        <v/>
      </c>
      <c r="X8" t="str">
        <f t="shared" si="2"/>
        <v/>
      </c>
      <c r="Y8" t="str">
        <f t="shared" si="3"/>
        <v/>
      </c>
    </row>
    <row r="9" spans="1:25" x14ac:dyDescent="0.2">
      <c r="A9" s="38"/>
      <c r="B9" s="39"/>
      <c r="C9" s="40"/>
      <c r="D9" s="38"/>
      <c r="E9" s="38"/>
      <c r="F9" s="41"/>
      <c r="G9" s="45"/>
      <c r="H9" s="45"/>
      <c r="I9" s="23" t="str">
        <f t="shared" ref="I9:I72" si="4">TEXT(B9,"0000000000000")</f>
        <v>0000000000000</v>
      </c>
      <c r="J9" s="23" t="str">
        <f t="shared" ref="J9:J72" si="5">TEXT(A9,"000")</f>
        <v>000</v>
      </c>
      <c r="K9" s="23">
        <f t="shared" ref="K9:K72" si="6">DAY(C9)</f>
        <v>0</v>
      </c>
      <c r="L9" s="23" t="str">
        <f t="shared" ref="L9:L72" si="7">TEXT(K9,"00")</f>
        <v>00</v>
      </c>
      <c r="M9" s="23">
        <f t="shared" ref="M9:M72" si="8">MONTH(C9)</f>
        <v>1</v>
      </c>
      <c r="N9" s="23" t="str">
        <f t="shared" ref="N9:N72" si="9">TEXT(M9,"00")</f>
        <v>01</v>
      </c>
      <c r="O9" s="23">
        <f t="shared" ref="O9:O72" si="10">YEAR(C9)</f>
        <v>1900</v>
      </c>
      <c r="P9" s="23" t="str">
        <f t="shared" ref="P9:P72" si="11">TEXT(O9,"0000")</f>
        <v>1900</v>
      </c>
      <c r="Q9" s="23" t="str">
        <f t="shared" ref="Q9:Q72" si="12">CONCATENATE(L9,"/",N9,"/",P9)</f>
        <v>00/01/1900</v>
      </c>
      <c r="R9" s="24" t="str">
        <f t="shared" ref="R9:R72" si="13">TEXT(D9,"0000")</f>
        <v>0000</v>
      </c>
      <c r="S9" s="24" t="str">
        <f t="shared" ref="S9:S72" si="14">TEXT(E9,"00000000")</f>
        <v>00000000</v>
      </c>
      <c r="T9" s="24" t="str">
        <f t="shared" ref="T9:T72" si="15">TEXT(F9,"0")</f>
        <v>0</v>
      </c>
      <c r="U9" s="24" t="str">
        <f t="shared" ref="U9:U72" si="16">TEXT(G9,"0")</f>
        <v>0</v>
      </c>
      <c r="V9" s="24" t="str">
        <f t="shared" ref="V9:V72" si="17">TEXT(H9,"00000000,00")</f>
        <v>00000000,00</v>
      </c>
      <c r="W9" s="36" t="str">
        <f t="shared" si="1"/>
        <v/>
      </c>
      <c r="X9" t="str">
        <f t="shared" si="2"/>
        <v/>
      </c>
      <c r="Y9" t="str">
        <f t="shared" si="3"/>
        <v/>
      </c>
    </row>
    <row r="10" spans="1:25" x14ac:dyDescent="0.2">
      <c r="A10" s="38"/>
      <c r="B10" s="39"/>
      <c r="C10" s="40"/>
      <c r="D10" s="38"/>
      <c r="E10" s="38"/>
      <c r="F10" s="41"/>
      <c r="G10" s="45"/>
      <c r="H10" s="45"/>
      <c r="I10" s="23" t="str">
        <f t="shared" si="4"/>
        <v>0000000000000</v>
      </c>
      <c r="J10" s="23" t="str">
        <f t="shared" si="5"/>
        <v>000</v>
      </c>
      <c r="K10" s="23">
        <f t="shared" si="6"/>
        <v>0</v>
      </c>
      <c r="L10" s="23" t="str">
        <f t="shared" si="7"/>
        <v>00</v>
      </c>
      <c r="M10" s="23">
        <f t="shared" si="8"/>
        <v>1</v>
      </c>
      <c r="N10" s="23" t="str">
        <f t="shared" si="9"/>
        <v>01</v>
      </c>
      <c r="O10" s="23">
        <f t="shared" si="10"/>
        <v>1900</v>
      </c>
      <c r="P10" s="23" t="str">
        <f t="shared" si="11"/>
        <v>1900</v>
      </c>
      <c r="Q10" s="23" t="str">
        <f t="shared" si="12"/>
        <v>00/01/1900</v>
      </c>
      <c r="R10" s="24" t="str">
        <f t="shared" si="13"/>
        <v>0000</v>
      </c>
      <c r="S10" s="24" t="str">
        <f t="shared" si="14"/>
        <v>00000000</v>
      </c>
      <c r="T10" s="24" t="str">
        <f t="shared" si="15"/>
        <v>0</v>
      </c>
      <c r="U10" s="24" t="str">
        <f t="shared" si="16"/>
        <v>0</v>
      </c>
      <c r="V10" s="24" t="str">
        <f t="shared" si="17"/>
        <v>00000000,00</v>
      </c>
      <c r="W10" s="36" t="str">
        <f t="shared" si="1"/>
        <v/>
      </c>
      <c r="X10" t="str">
        <f t="shared" si="2"/>
        <v/>
      </c>
      <c r="Y10" t="str">
        <f t="shared" si="3"/>
        <v/>
      </c>
    </row>
    <row r="11" spans="1:25" x14ac:dyDescent="0.2">
      <c r="A11" s="38"/>
      <c r="B11" s="39"/>
      <c r="C11" s="40"/>
      <c r="D11" s="38"/>
      <c r="E11" s="38"/>
      <c r="F11" s="41"/>
      <c r="G11" s="45"/>
      <c r="H11" s="45"/>
      <c r="I11" s="23" t="str">
        <f t="shared" si="4"/>
        <v>0000000000000</v>
      </c>
      <c r="J11" s="23" t="str">
        <f t="shared" si="5"/>
        <v>000</v>
      </c>
      <c r="K11" s="23">
        <f t="shared" si="6"/>
        <v>0</v>
      </c>
      <c r="L11" s="23" t="str">
        <f t="shared" si="7"/>
        <v>00</v>
      </c>
      <c r="M11" s="23">
        <f t="shared" si="8"/>
        <v>1</v>
      </c>
      <c r="N11" s="23" t="str">
        <f t="shared" si="9"/>
        <v>01</v>
      </c>
      <c r="O11" s="23">
        <f t="shared" si="10"/>
        <v>1900</v>
      </c>
      <c r="P11" s="23" t="str">
        <f t="shared" si="11"/>
        <v>1900</v>
      </c>
      <c r="Q11" s="23" t="str">
        <f t="shared" si="12"/>
        <v>00/01/1900</v>
      </c>
      <c r="R11" s="24" t="str">
        <f t="shared" si="13"/>
        <v>0000</v>
      </c>
      <c r="S11" s="24" t="str">
        <f t="shared" si="14"/>
        <v>00000000</v>
      </c>
      <c r="T11" s="24" t="str">
        <f t="shared" si="15"/>
        <v>0</v>
      </c>
      <c r="U11" s="24" t="str">
        <f t="shared" si="16"/>
        <v>0</v>
      </c>
      <c r="V11" s="24" t="str">
        <f t="shared" si="17"/>
        <v>00000000,00</v>
      </c>
      <c r="W11" s="36" t="str">
        <f t="shared" si="1"/>
        <v/>
      </c>
      <c r="X11" t="str">
        <f t="shared" si="2"/>
        <v/>
      </c>
      <c r="Y11" t="str">
        <f t="shared" si="3"/>
        <v/>
      </c>
    </row>
    <row r="12" spans="1:25" x14ac:dyDescent="0.2">
      <c r="A12" s="38"/>
      <c r="B12" s="39"/>
      <c r="C12" s="40"/>
      <c r="D12" s="38"/>
      <c r="E12" s="38"/>
      <c r="F12" s="41"/>
      <c r="G12" s="45"/>
      <c r="H12" s="45"/>
      <c r="I12" s="23" t="str">
        <f t="shared" si="4"/>
        <v>0000000000000</v>
      </c>
      <c r="J12" s="23" t="str">
        <f t="shared" si="5"/>
        <v>000</v>
      </c>
      <c r="K12" s="23">
        <f t="shared" si="6"/>
        <v>0</v>
      </c>
      <c r="L12" s="23" t="str">
        <f t="shared" si="7"/>
        <v>00</v>
      </c>
      <c r="M12" s="23">
        <f t="shared" si="8"/>
        <v>1</v>
      </c>
      <c r="N12" s="23" t="str">
        <f t="shared" si="9"/>
        <v>01</v>
      </c>
      <c r="O12" s="23">
        <f t="shared" si="10"/>
        <v>1900</v>
      </c>
      <c r="P12" s="23" t="str">
        <f t="shared" si="11"/>
        <v>1900</v>
      </c>
      <c r="Q12" s="23" t="str">
        <f t="shared" si="12"/>
        <v>00/01/1900</v>
      </c>
      <c r="R12" s="24" t="str">
        <f t="shared" si="13"/>
        <v>0000</v>
      </c>
      <c r="S12" s="24" t="str">
        <f t="shared" si="14"/>
        <v>00000000</v>
      </c>
      <c r="T12" s="24" t="str">
        <f t="shared" si="15"/>
        <v>0</v>
      </c>
      <c r="U12" s="24" t="str">
        <f t="shared" si="16"/>
        <v>0</v>
      </c>
      <c r="V12" s="24" t="str">
        <f t="shared" si="17"/>
        <v>00000000,00</v>
      </c>
      <c r="W12" s="36" t="str">
        <f t="shared" si="1"/>
        <v/>
      </c>
      <c r="X12" t="str">
        <f t="shared" si="2"/>
        <v/>
      </c>
      <c r="Y12" t="str">
        <f t="shared" si="3"/>
        <v/>
      </c>
    </row>
    <row r="13" spans="1:25" x14ac:dyDescent="0.2">
      <c r="A13" s="38"/>
      <c r="B13" s="39"/>
      <c r="C13" s="40"/>
      <c r="D13" s="38"/>
      <c r="E13" s="38"/>
      <c r="F13" s="41"/>
      <c r="G13" s="45"/>
      <c r="H13" s="45"/>
      <c r="I13" s="23" t="str">
        <f t="shared" si="4"/>
        <v>0000000000000</v>
      </c>
      <c r="J13" s="23" t="str">
        <f t="shared" si="5"/>
        <v>000</v>
      </c>
      <c r="K13" s="23">
        <f t="shared" si="6"/>
        <v>0</v>
      </c>
      <c r="L13" s="23" t="str">
        <f t="shared" si="7"/>
        <v>00</v>
      </c>
      <c r="M13" s="23">
        <f t="shared" si="8"/>
        <v>1</v>
      </c>
      <c r="N13" s="23" t="str">
        <f t="shared" si="9"/>
        <v>01</v>
      </c>
      <c r="O13" s="23">
        <f t="shared" si="10"/>
        <v>1900</v>
      </c>
      <c r="P13" s="23" t="str">
        <f t="shared" si="11"/>
        <v>1900</v>
      </c>
      <c r="Q13" s="23" t="str">
        <f t="shared" si="12"/>
        <v>00/01/1900</v>
      </c>
      <c r="R13" s="24" t="str">
        <f t="shared" si="13"/>
        <v>0000</v>
      </c>
      <c r="S13" s="24" t="str">
        <f t="shared" si="14"/>
        <v>00000000</v>
      </c>
      <c r="T13" s="24" t="str">
        <f t="shared" si="15"/>
        <v>0</v>
      </c>
      <c r="U13" s="24" t="str">
        <f t="shared" si="16"/>
        <v>0</v>
      </c>
      <c r="V13" s="24" t="str">
        <f t="shared" si="17"/>
        <v>00000000,00</v>
      </c>
      <c r="W13" s="36" t="str">
        <f t="shared" si="1"/>
        <v/>
      </c>
      <c r="X13" t="str">
        <f t="shared" si="2"/>
        <v/>
      </c>
      <c r="Y13" t="str">
        <f t="shared" si="3"/>
        <v/>
      </c>
    </row>
    <row r="14" spans="1:25" x14ac:dyDescent="0.2">
      <c r="A14" s="38"/>
      <c r="B14" s="39"/>
      <c r="C14" s="40"/>
      <c r="D14" s="38"/>
      <c r="E14" s="38"/>
      <c r="F14" s="41"/>
      <c r="G14" s="45"/>
      <c r="H14" s="45"/>
      <c r="I14" s="23" t="str">
        <f t="shared" si="4"/>
        <v>0000000000000</v>
      </c>
      <c r="J14" s="23" t="str">
        <f t="shared" si="5"/>
        <v>000</v>
      </c>
      <c r="K14" s="23">
        <f t="shared" si="6"/>
        <v>0</v>
      </c>
      <c r="L14" s="23" t="str">
        <f t="shared" si="7"/>
        <v>00</v>
      </c>
      <c r="M14" s="23">
        <f t="shared" si="8"/>
        <v>1</v>
      </c>
      <c r="N14" s="23" t="str">
        <f t="shared" si="9"/>
        <v>01</v>
      </c>
      <c r="O14" s="23">
        <f t="shared" si="10"/>
        <v>1900</v>
      </c>
      <c r="P14" s="23" t="str">
        <f t="shared" si="11"/>
        <v>1900</v>
      </c>
      <c r="Q14" s="23" t="str">
        <f t="shared" si="12"/>
        <v>00/01/1900</v>
      </c>
      <c r="R14" s="24" t="str">
        <f t="shared" si="13"/>
        <v>0000</v>
      </c>
      <c r="S14" s="24" t="str">
        <f t="shared" si="14"/>
        <v>00000000</v>
      </c>
      <c r="T14" s="24" t="str">
        <f t="shared" si="15"/>
        <v>0</v>
      </c>
      <c r="U14" s="24" t="str">
        <f t="shared" si="16"/>
        <v>0</v>
      </c>
      <c r="V14" s="24" t="str">
        <f t="shared" si="17"/>
        <v>00000000,00</v>
      </c>
      <c r="W14" s="36" t="str">
        <f t="shared" si="1"/>
        <v/>
      </c>
      <c r="X14" t="str">
        <f t="shared" si="2"/>
        <v/>
      </c>
      <c r="Y14" t="str">
        <f t="shared" si="3"/>
        <v/>
      </c>
    </row>
    <row r="15" spans="1:25" x14ac:dyDescent="0.2">
      <c r="A15" s="38"/>
      <c r="B15" s="39"/>
      <c r="C15" s="40"/>
      <c r="D15" s="38"/>
      <c r="E15" s="38"/>
      <c r="F15" s="41"/>
      <c r="G15" s="45"/>
      <c r="H15" s="45"/>
      <c r="I15" s="23" t="str">
        <f t="shared" si="4"/>
        <v>0000000000000</v>
      </c>
      <c r="J15" s="23" t="str">
        <f t="shared" si="5"/>
        <v>000</v>
      </c>
      <c r="K15" s="23">
        <f t="shared" si="6"/>
        <v>0</v>
      </c>
      <c r="L15" s="23" t="str">
        <f t="shared" si="7"/>
        <v>00</v>
      </c>
      <c r="M15" s="23">
        <f t="shared" si="8"/>
        <v>1</v>
      </c>
      <c r="N15" s="23" t="str">
        <f t="shared" si="9"/>
        <v>01</v>
      </c>
      <c r="O15" s="23">
        <f t="shared" si="10"/>
        <v>1900</v>
      </c>
      <c r="P15" s="23" t="str">
        <f t="shared" si="11"/>
        <v>1900</v>
      </c>
      <c r="Q15" s="23" t="str">
        <f t="shared" si="12"/>
        <v>00/01/1900</v>
      </c>
      <c r="R15" s="24" t="str">
        <f t="shared" si="13"/>
        <v>0000</v>
      </c>
      <c r="S15" s="24" t="str">
        <f t="shared" si="14"/>
        <v>00000000</v>
      </c>
      <c r="T15" s="24" t="str">
        <f t="shared" si="15"/>
        <v>0</v>
      </c>
      <c r="U15" s="24" t="str">
        <f t="shared" si="16"/>
        <v>0</v>
      </c>
      <c r="V15" s="24" t="str">
        <f t="shared" si="17"/>
        <v>00000000,00</v>
      </c>
      <c r="W15" s="36" t="str">
        <f t="shared" si="1"/>
        <v/>
      </c>
      <c r="X15" t="str">
        <f t="shared" si="2"/>
        <v/>
      </c>
      <c r="Y15" t="str">
        <f t="shared" si="3"/>
        <v/>
      </c>
    </row>
    <row r="16" spans="1:25" x14ac:dyDescent="0.2">
      <c r="A16" s="38"/>
      <c r="B16" s="39"/>
      <c r="C16" s="40"/>
      <c r="D16" s="38"/>
      <c r="E16" s="38"/>
      <c r="F16" s="41"/>
      <c r="G16" s="45"/>
      <c r="H16" s="45"/>
      <c r="I16" s="23" t="str">
        <f t="shared" si="4"/>
        <v>0000000000000</v>
      </c>
      <c r="J16" s="23" t="str">
        <f t="shared" si="5"/>
        <v>000</v>
      </c>
      <c r="K16" s="23">
        <f t="shared" si="6"/>
        <v>0</v>
      </c>
      <c r="L16" s="23" t="str">
        <f t="shared" si="7"/>
        <v>00</v>
      </c>
      <c r="M16" s="23">
        <f t="shared" si="8"/>
        <v>1</v>
      </c>
      <c r="N16" s="23" t="str">
        <f t="shared" si="9"/>
        <v>01</v>
      </c>
      <c r="O16" s="23">
        <f t="shared" si="10"/>
        <v>1900</v>
      </c>
      <c r="P16" s="23" t="str">
        <f t="shared" si="11"/>
        <v>1900</v>
      </c>
      <c r="Q16" s="23" t="str">
        <f t="shared" si="12"/>
        <v>00/01/1900</v>
      </c>
      <c r="R16" s="24" t="str">
        <f t="shared" si="13"/>
        <v>0000</v>
      </c>
      <c r="S16" s="24" t="str">
        <f t="shared" si="14"/>
        <v>00000000</v>
      </c>
      <c r="T16" s="24" t="str">
        <f t="shared" si="15"/>
        <v>0</v>
      </c>
      <c r="U16" s="24" t="str">
        <f t="shared" si="16"/>
        <v>0</v>
      </c>
      <c r="V16" s="24" t="str">
        <f t="shared" si="17"/>
        <v>00000000,00</v>
      </c>
      <c r="W16" s="36" t="str">
        <f t="shared" si="1"/>
        <v/>
      </c>
      <c r="X16" t="str">
        <f t="shared" si="2"/>
        <v/>
      </c>
      <c r="Y16" t="str">
        <f t="shared" si="3"/>
        <v/>
      </c>
    </row>
    <row r="17" spans="1:25" x14ac:dyDescent="0.2">
      <c r="A17" s="38"/>
      <c r="B17" s="39"/>
      <c r="C17" s="40"/>
      <c r="D17" s="38"/>
      <c r="E17" s="38"/>
      <c r="F17" s="41"/>
      <c r="G17" s="45"/>
      <c r="H17" s="45"/>
      <c r="I17" s="23" t="str">
        <f t="shared" si="4"/>
        <v>0000000000000</v>
      </c>
      <c r="J17" s="23" t="str">
        <f t="shared" si="5"/>
        <v>000</v>
      </c>
      <c r="K17" s="23">
        <f t="shared" si="6"/>
        <v>0</v>
      </c>
      <c r="L17" s="23" t="str">
        <f t="shared" si="7"/>
        <v>00</v>
      </c>
      <c r="M17" s="23">
        <f t="shared" si="8"/>
        <v>1</v>
      </c>
      <c r="N17" s="23" t="str">
        <f t="shared" si="9"/>
        <v>01</v>
      </c>
      <c r="O17" s="23">
        <f t="shared" si="10"/>
        <v>1900</v>
      </c>
      <c r="P17" s="23" t="str">
        <f t="shared" si="11"/>
        <v>1900</v>
      </c>
      <c r="Q17" s="23" t="str">
        <f t="shared" si="12"/>
        <v>00/01/1900</v>
      </c>
      <c r="R17" s="24" t="str">
        <f t="shared" si="13"/>
        <v>0000</v>
      </c>
      <c r="S17" s="24" t="str">
        <f t="shared" si="14"/>
        <v>00000000</v>
      </c>
      <c r="T17" s="24" t="str">
        <f t="shared" si="15"/>
        <v>0</v>
      </c>
      <c r="U17" s="24" t="str">
        <f t="shared" si="16"/>
        <v>0</v>
      </c>
      <c r="V17" s="24" t="str">
        <f t="shared" si="17"/>
        <v>00000000,00</v>
      </c>
      <c r="W17" s="36" t="str">
        <f t="shared" si="1"/>
        <v/>
      </c>
      <c r="X17" t="str">
        <f t="shared" si="2"/>
        <v/>
      </c>
      <c r="Y17" t="str">
        <f t="shared" si="3"/>
        <v/>
      </c>
    </row>
    <row r="18" spans="1:25" x14ac:dyDescent="0.2">
      <c r="A18" s="38"/>
      <c r="B18" s="39"/>
      <c r="C18" s="40"/>
      <c r="D18" s="38"/>
      <c r="E18" s="38"/>
      <c r="F18" s="41"/>
      <c r="G18" s="45"/>
      <c r="H18" s="45"/>
      <c r="I18" s="23" t="str">
        <f t="shared" si="4"/>
        <v>0000000000000</v>
      </c>
      <c r="J18" s="23" t="str">
        <f t="shared" si="5"/>
        <v>000</v>
      </c>
      <c r="K18" s="23">
        <f t="shared" si="6"/>
        <v>0</v>
      </c>
      <c r="L18" s="23" t="str">
        <f t="shared" si="7"/>
        <v>00</v>
      </c>
      <c r="M18" s="23">
        <f t="shared" si="8"/>
        <v>1</v>
      </c>
      <c r="N18" s="23" t="str">
        <f t="shared" si="9"/>
        <v>01</v>
      </c>
      <c r="O18" s="23">
        <f t="shared" si="10"/>
        <v>1900</v>
      </c>
      <c r="P18" s="23" t="str">
        <f t="shared" si="11"/>
        <v>1900</v>
      </c>
      <c r="Q18" s="23" t="str">
        <f t="shared" si="12"/>
        <v>00/01/1900</v>
      </c>
      <c r="R18" s="24" t="str">
        <f t="shared" si="13"/>
        <v>0000</v>
      </c>
      <c r="S18" s="24" t="str">
        <f t="shared" si="14"/>
        <v>00000000</v>
      </c>
      <c r="T18" s="24" t="str">
        <f t="shared" si="15"/>
        <v>0</v>
      </c>
      <c r="U18" s="24" t="str">
        <f t="shared" si="16"/>
        <v>0</v>
      </c>
      <c r="V18" s="24" t="str">
        <f t="shared" si="17"/>
        <v>00000000,00</v>
      </c>
      <c r="W18" s="36" t="str">
        <f t="shared" si="1"/>
        <v/>
      </c>
      <c r="X18" t="str">
        <f t="shared" si="2"/>
        <v/>
      </c>
      <c r="Y18" t="str">
        <f t="shared" si="3"/>
        <v/>
      </c>
    </row>
    <row r="19" spans="1:25" x14ac:dyDescent="0.2">
      <c r="A19" s="38"/>
      <c r="B19" s="39"/>
      <c r="C19" s="40"/>
      <c r="D19" s="38"/>
      <c r="E19" s="38"/>
      <c r="F19" s="41"/>
      <c r="G19" s="45"/>
      <c r="H19" s="45"/>
      <c r="I19" s="23" t="str">
        <f t="shared" si="4"/>
        <v>0000000000000</v>
      </c>
      <c r="J19" s="23" t="str">
        <f t="shared" si="5"/>
        <v>000</v>
      </c>
      <c r="K19" s="23">
        <f t="shared" si="6"/>
        <v>0</v>
      </c>
      <c r="L19" s="23" t="str">
        <f t="shared" si="7"/>
        <v>00</v>
      </c>
      <c r="M19" s="23">
        <f t="shared" si="8"/>
        <v>1</v>
      </c>
      <c r="N19" s="23" t="str">
        <f t="shared" si="9"/>
        <v>01</v>
      </c>
      <c r="O19" s="23">
        <f t="shared" si="10"/>
        <v>1900</v>
      </c>
      <c r="P19" s="23" t="str">
        <f t="shared" si="11"/>
        <v>1900</v>
      </c>
      <c r="Q19" s="23" t="str">
        <f t="shared" si="12"/>
        <v>00/01/1900</v>
      </c>
      <c r="R19" s="24" t="str">
        <f t="shared" si="13"/>
        <v>0000</v>
      </c>
      <c r="S19" s="24" t="str">
        <f t="shared" si="14"/>
        <v>00000000</v>
      </c>
      <c r="T19" s="24" t="str">
        <f t="shared" si="15"/>
        <v>0</v>
      </c>
      <c r="U19" s="24" t="str">
        <f t="shared" si="16"/>
        <v>0</v>
      </c>
      <c r="V19" s="24" t="str">
        <f t="shared" si="17"/>
        <v>00000000,00</v>
      </c>
      <c r="W19" s="36" t="str">
        <f t="shared" si="1"/>
        <v/>
      </c>
      <c r="X19" t="str">
        <f t="shared" si="2"/>
        <v/>
      </c>
      <c r="Y19" t="str">
        <f t="shared" si="3"/>
        <v/>
      </c>
    </row>
    <row r="20" spans="1:25" x14ac:dyDescent="0.2">
      <c r="A20" s="38"/>
      <c r="B20" s="39"/>
      <c r="C20" s="40"/>
      <c r="D20" s="38"/>
      <c r="E20" s="38"/>
      <c r="F20" s="41"/>
      <c r="G20" s="45"/>
      <c r="H20" s="45"/>
      <c r="I20" s="23" t="str">
        <f t="shared" si="4"/>
        <v>0000000000000</v>
      </c>
      <c r="J20" s="23" t="str">
        <f t="shared" si="5"/>
        <v>000</v>
      </c>
      <c r="K20" s="23">
        <f t="shared" si="6"/>
        <v>0</v>
      </c>
      <c r="L20" s="23" t="str">
        <f t="shared" si="7"/>
        <v>00</v>
      </c>
      <c r="M20" s="23">
        <f t="shared" si="8"/>
        <v>1</v>
      </c>
      <c r="N20" s="23" t="str">
        <f t="shared" si="9"/>
        <v>01</v>
      </c>
      <c r="O20" s="23">
        <f t="shared" si="10"/>
        <v>1900</v>
      </c>
      <c r="P20" s="23" t="str">
        <f t="shared" si="11"/>
        <v>1900</v>
      </c>
      <c r="Q20" s="23" t="str">
        <f t="shared" si="12"/>
        <v>00/01/1900</v>
      </c>
      <c r="R20" s="24" t="str">
        <f t="shared" si="13"/>
        <v>0000</v>
      </c>
      <c r="S20" s="24" t="str">
        <f t="shared" si="14"/>
        <v>00000000</v>
      </c>
      <c r="T20" s="24" t="str">
        <f t="shared" si="15"/>
        <v>0</v>
      </c>
      <c r="U20" s="24" t="str">
        <f t="shared" si="16"/>
        <v>0</v>
      </c>
      <c r="V20" s="24" t="str">
        <f t="shared" si="17"/>
        <v>00000000,00</v>
      </c>
      <c r="W20" s="36" t="str">
        <f t="shared" si="1"/>
        <v/>
      </c>
      <c r="X20" t="str">
        <f t="shared" si="2"/>
        <v/>
      </c>
      <c r="Y20" t="str">
        <f t="shared" si="3"/>
        <v/>
      </c>
    </row>
    <row r="21" spans="1:25" x14ac:dyDescent="0.2">
      <c r="A21" s="38"/>
      <c r="B21" s="39"/>
      <c r="C21" s="40"/>
      <c r="D21" s="38"/>
      <c r="E21" s="38"/>
      <c r="F21" s="41"/>
      <c r="G21" s="45"/>
      <c r="H21" s="45"/>
      <c r="I21" s="23" t="str">
        <f t="shared" si="4"/>
        <v>0000000000000</v>
      </c>
      <c r="J21" s="23" t="str">
        <f t="shared" si="5"/>
        <v>000</v>
      </c>
      <c r="K21" s="23">
        <f t="shared" si="6"/>
        <v>0</v>
      </c>
      <c r="L21" s="23" t="str">
        <f t="shared" si="7"/>
        <v>00</v>
      </c>
      <c r="M21" s="23">
        <f t="shared" si="8"/>
        <v>1</v>
      </c>
      <c r="N21" s="23" t="str">
        <f t="shared" si="9"/>
        <v>01</v>
      </c>
      <c r="O21" s="23">
        <f t="shared" si="10"/>
        <v>1900</v>
      </c>
      <c r="P21" s="23" t="str">
        <f t="shared" si="11"/>
        <v>1900</v>
      </c>
      <c r="Q21" s="23" t="str">
        <f t="shared" si="12"/>
        <v>00/01/1900</v>
      </c>
      <c r="R21" s="24" t="str">
        <f t="shared" si="13"/>
        <v>0000</v>
      </c>
      <c r="S21" s="24" t="str">
        <f t="shared" si="14"/>
        <v>00000000</v>
      </c>
      <c r="T21" s="24" t="str">
        <f t="shared" si="15"/>
        <v>0</v>
      </c>
      <c r="U21" s="24" t="str">
        <f t="shared" si="16"/>
        <v>0</v>
      </c>
      <c r="V21" s="24" t="str">
        <f t="shared" si="17"/>
        <v>00000000,00</v>
      </c>
      <c r="W21" s="36" t="str">
        <f t="shared" si="1"/>
        <v/>
      </c>
      <c r="X21" t="str">
        <f t="shared" si="2"/>
        <v/>
      </c>
      <c r="Y21" t="str">
        <f t="shared" si="3"/>
        <v/>
      </c>
    </row>
    <row r="22" spans="1:25" x14ac:dyDescent="0.2">
      <c r="A22" s="38"/>
      <c r="B22" s="39"/>
      <c r="C22" s="40"/>
      <c r="D22" s="38"/>
      <c r="E22" s="38"/>
      <c r="F22" s="41"/>
      <c r="G22" s="45"/>
      <c r="H22" s="45"/>
      <c r="I22" s="23" t="str">
        <f t="shared" si="4"/>
        <v>0000000000000</v>
      </c>
      <c r="J22" s="23" t="str">
        <f t="shared" si="5"/>
        <v>000</v>
      </c>
      <c r="K22" s="23">
        <f t="shared" si="6"/>
        <v>0</v>
      </c>
      <c r="L22" s="23" t="str">
        <f t="shared" si="7"/>
        <v>00</v>
      </c>
      <c r="M22" s="23">
        <f t="shared" si="8"/>
        <v>1</v>
      </c>
      <c r="N22" s="23" t="str">
        <f t="shared" si="9"/>
        <v>01</v>
      </c>
      <c r="O22" s="23">
        <f t="shared" si="10"/>
        <v>1900</v>
      </c>
      <c r="P22" s="23" t="str">
        <f t="shared" si="11"/>
        <v>1900</v>
      </c>
      <c r="Q22" s="23" t="str">
        <f t="shared" si="12"/>
        <v>00/01/1900</v>
      </c>
      <c r="R22" s="24" t="str">
        <f t="shared" si="13"/>
        <v>0000</v>
      </c>
      <c r="S22" s="24" t="str">
        <f t="shared" si="14"/>
        <v>00000000</v>
      </c>
      <c r="T22" s="24" t="str">
        <f t="shared" si="15"/>
        <v>0</v>
      </c>
      <c r="U22" s="24" t="str">
        <f t="shared" si="16"/>
        <v>0</v>
      </c>
      <c r="V22" s="24" t="str">
        <f t="shared" si="17"/>
        <v>00000000,00</v>
      </c>
      <c r="W22" s="36" t="str">
        <f t="shared" si="1"/>
        <v/>
      </c>
      <c r="X22" t="str">
        <f t="shared" si="2"/>
        <v/>
      </c>
      <c r="Y22" t="str">
        <f t="shared" si="3"/>
        <v/>
      </c>
    </row>
    <row r="23" spans="1:25" x14ac:dyDescent="0.2">
      <c r="A23" s="38"/>
      <c r="B23" s="39"/>
      <c r="C23" s="40"/>
      <c r="D23" s="38"/>
      <c r="E23" s="38"/>
      <c r="F23" s="41"/>
      <c r="G23" s="45"/>
      <c r="H23" s="45"/>
      <c r="I23" s="23" t="str">
        <f t="shared" si="4"/>
        <v>0000000000000</v>
      </c>
      <c r="J23" s="23" t="str">
        <f t="shared" si="5"/>
        <v>000</v>
      </c>
      <c r="K23" s="23">
        <f t="shared" si="6"/>
        <v>0</v>
      </c>
      <c r="L23" s="23" t="str">
        <f t="shared" si="7"/>
        <v>00</v>
      </c>
      <c r="M23" s="23">
        <f t="shared" si="8"/>
        <v>1</v>
      </c>
      <c r="N23" s="23" t="str">
        <f t="shared" si="9"/>
        <v>01</v>
      </c>
      <c r="O23" s="23">
        <f t="shared" si="10"/>
        <v>1900</v>
      </c>
      <c r="P23" s="23" t="str">
        <f t="shared" si="11"/>
        <v>1900</v>
      </c>
      <c r="Q23" s="23" t="str">
        <f t="shared" si="12"/>
        <v>00/01/1900</v>
      </c>
      <c r="R23" s="24" t="str">
        <f t="shared" si="13"/>
        <v>0000</v>
      </c>
      <c r="S23" s="24" t="str">
        <f t="shared" si="14"/>
        <v>00000000</v>
      </c>
      <c r="T23" s="24" t="str">
        <f t="shared" si="15"/>
        <v>0</v>
      </c>
      <c r="U23" s="24" t="str">
        <f t="shared" si="16"/>
        <v>0</v>
      </c>
      <c r="V23" s="24" t="str">
        <f t="shared" si="17"/>
        <v>00000000,00</v>
      </c>
      <c r="W23" s="36" t="str">
        <f t="shared" si="1"/>
        <v/>
      </c>
      <c r="X23" t="str">
        <f t="shared" si="2"/>
        <v/>
      </c>
      <c r="Y23" t="str">
        <f t="shared" si="3"/>
        <v/>
      </c>
    </row>
    <row r="24" spans="1:25" x14ac:dyDescent="0.2">
      <c r="A24" s="38"/>
      <c r="B24" s="39"/>
      <c r="C24" s="40"/>
      <c r="D24" s="38"/>
      <c r="E24" s="38"/>
      <c r="F24" s="41"/>
      <c r="G24" s="45"/>
      <c r="H24" s="45"/>
      <c r="I24" s="23" t="str">
        <f t="shared" si="4"/>
        <v>0000000000000</v>
      </c>
      <c r="J24" s="23" t="str">
        <f t="shared" si="5"/>
        <v>000</v>
      </c>
      <c r="K24" s="23">
        <f t="shared" si="6"/>
        <v>0</v>
      </c>
      <c r="L24" s="23" t="str">
        <f t="shared" si="7"/>
        <v>00</v>
      </c>
      <c r="M24" s="23">
        <f t="shared" si="8"/>
        <v>1</v>
      </c>
      <c r="N24" s="23" t="str">
        <f t="shared" si="9"/>
        <v>01</v>
      </c>
      <c r="O24" s="23">
        <f t="shared" si="10"/>
        <v>1900</v>
      </c>
      <c r="P24" s="23" t="str">
        <f t="shared" si="11"/>
        <v>1900</v>
      </c>
      <c r="Q24" s="23" t="str">
        <f t="shared" si="12"/>
        <v>00/01/1900</v>
      </c>
      <c r="R24" s="24" t="str">
        <f t="shared" si="13"/>
        <v>0000</v>
      </c>
      <c r="S24" s="24" t="str">
        <f t="shared" si="14"/>
        <v>00000000</v>
      </c>
      <c r="T24" s="24" t="str">
        <f t="shared" si="15"/>
        <v>0</v>
      </c>
      <c r="U24" s="24" t="str">
        <f t="shared" si="16"/>
        <v>0</v>
      </c>
      <c r="V24" s="24" t="str">
        <f t="shared" si="17"/>
        <v>00000000,00</v>
      </c>
      <c r="W24" s="36" t="str">
        <f t="shared" si="1"/>
        <v/>
      </c>
      <c r="X24" t="str">
        <f t="shared" si="2"/>
        <v/>
      </c>
      <c r="Y24" t="str">
        <f t="shared" si="3"/>
        <v/>
      </c>
    </row>
    <row r="25" spans="1:25" x14ac:dyDescent="0.2">
      <c r="A25" s="38"/>
      <c r="B25" s="39"/>
      <c r="C25" s="40"/>
      <c r="D25" s="38"/>
      <c r="E25" s="38"/>
      <c r="F25" s="41"/>
      <c r="G25" s="45"/>
      <c r="H25" s="45"/>
      <c r="I25" s="23" t="str">
        <f t="shared" si="4"/>
        <v>0000000000000</v>
      </c>
      <c r="J25" s="23" t="str">
        <f t="shared" si="5"/>
        <v>000</v>
      </c>
      <c r="K25" s="23">
        <f t="shared" si="6"/>
        <v>0</v>
      </c>
      <c r="L25" s="23" t="str">
        <f t="shared" si="7"/>
        <v>00</v>
      </c>
      <c r="M25" s="23">
        <f t="shared" si="8"/>
        <v>1</v>
      </c>
      <c r="N25" s="23" t="str">
        <f t="shared" si="9"/>
        <v>01</v>
      </c>
      <c r="O25" s="23">
        <f t="shared" si="10"/>
        <v>1900</v>
      </c>
      <c r="P25" s="23" t="str">
        <f t="shared" si="11"/>
        <v>1900</v>
      </c>
      <c r="Q25" s="23" t="str">
        <f t="shared" si="12"/>
        <v>00/01/1900</v>
      </c>
      <c r="R25" s="24" t="str">
        <f t="shared" si="13"/>
        <v>0000</v>
      </c>
      <c r="S25" s="24" t="str">
        <f t="shared" si="14"/>
        <v>00000000</v>
      </c>
      <c r="T25" s="24" t="str">
        <f t="shared" si="15"/>
        <v>0</v>
      </c>
      <c r="U25" s="24" t="str">
        <f t="shared" si="16"/>
        <v>0</v>
      </c>
      <c r="V25" s="24" t="str">
        <f t="shared" si="17"/>
        <v>00000000,00</v>
      </c>
      <c r="W25" s="36" t="str">
        <f t="shared" si="1"/>
        <v/>
      </c>
      <c r="X25" t="str">
        <f t="shared" si="2"/>
        <v/>
      </c>
      <c r="Y25" t="str">
        <f t="shared" si="3"/>
        <v/>
      </c>
    </row>
    <row r="26" spans="1:25" x14ac:dyDescent="0.2">
      <c r="A26" s="38"/>
      <c r="B26" s="39"/>
      <c r="C26" s="40"/>
      <c r="D26" s="38"/>
      <c r="E26" s="38"/>
      <c r="F26" s="41"/>
      <c r="G26" s="45"/>
      <c r="H26" s="45"/>
      <c r="I26" s="23" t="str">
        <f t="shared" si="4"/>
        <v>0000000000000</v>
      </c>
      <c r="J26" s="23" t="str">
        <f t="shared" si="5"/>
        <v>000</v>
      </c>
      <c r="K26" s="23">
        <f t="shared" si="6"/>
        <v>0</v>
      </c>
      <c r="L26" s="23" t="str">
        <f t="shared" si="7"/>
        <v>00</v>
      </c>
      <c r="M26" s="23">
        <f t="shared" si="8"/>
        <v>1</v>
      </c>
      <c r="N26" s="23" t="str">
        <f t="shared" si="9"/>
        <v>01</v>
      </c>
      <c r="O26" s="23">
        <f t="shared" si="10"/>
        <v>1900</v>
      </c>
      <c r="P26" s="23" t="str">
        <f t="shared" si="11"/>
        <v>1900</v>
      </c>
      <c r="Q26" s="23" t="str">
        <f t="shared" si="12"/>
        <v>00/01/1900</v>
      </c>
      <c r="R26" s="24" t="str">
        <f t="shared" si="13"/>
        <v>0000</v>
      </c>
      <c r="S26" s="24" t="str">
        <f t="shared" si="14"/>
        <v>00000000</v>
      </c>
      <c r="T26" s="24" t="str">
        <f t="shared" si="15"/>
        <v>0</v>
      </c>
      <c r="U26" s="24" t="str">
        <f t="shared" si="16"/>
        <v>0</v>
      </c>
      <c r="V26" s="24" t="str">
        <f t="shared" si="17"/>
        <v>00000000,00</v>
      </c>
      <c r="W26" s="36" t="str">
        <f t="shared" si="1"/>
        <v/>
      </c>
      <c r="X26" t="str">
        <f t="shared" si="2"/>
        <v/>
      </c>
      <c r="Y26" t="str">
        <f t="shared" si="3"/>
        <v/>
      </c>
    </row>
    <row r="27" spans="1:25" x14ac:dyDescent="0.2">
      <c r="A27" s="38"/>
      <c r="B27" s="39"/>
      <c r="C27" s="40"/>
      <c r="D27" s="38"/>
      <c r="E27" s="38"/>
      <c r="F27" s="41"/>
      <c r="G27" s="45"/>
      <c r="H27" s="45"/>
      <c r="I27" s="23" t="str">
        <f t="shared" si="4"/>
        <v>0000000000000</v>
      </c>
      <c r="J27" s="23" t="str">
        <f t="shared" si="5"/>
        <v>000</v>
      </c>
      <c r="K27" s="23">
        <f t="shared" si="6"/>
        <v>0</v>
      </c>
      <c r="L27" s="23" t="str">
        <f t="shared" si="7"/>
        <v>00</v>
      </c>
      <c r="M27" s="23">
        <f t="shared" si="8"/>
        <v>1</v>
      </c>
      <c r="N27" s="23" t="str">
        <f t="shared" si="9"/>
        <v>01</v>
      </c>
      <c r="O27" s="23">
        <f t="shared" si="10"/>
        <v>1900</v>
      </c>
      <c r="P27" s="23" t="str">
        <f t="shared" si="11"/>
        <v>1900</v>
      </c>
      <c r="Q27" s="23" t="str">
        <f t="shared" si="12"/>
        <v>00/01/1900</v>
      </c>
      <c r="R27" s="24" t="str">
        <f t="shared" si="13"/>
        <v>0000</v>
      </c>
      <c r="S27" s="24" t="str">
        <f t="shared" si="14"/>
        <v>00000000</v>
      </c>
      <c r="T27" s="24" t="str">
        <f t="shared" si="15"/>
        <v>0</v>
      </c>
      <c r="U27" s="24" t="str">
        <f t="shared" si="16"/>
        <v>0</v>
      </c>
      <c r="V27" s="24" t="str">
        <f t="shared" si="17"/>
        <v>00000000,00</v>
      </c>
      <c r="W27" s="36" t="str">
        <f t="shared" si="1"/>
        <v/>
      </c>
      <c r="X27" t="str">
        <f t="shared" si="2"/>
        <v/>
      </c>
      <c r="Y27" t="str">
        <f t="shared" si="3"/>
        <v/>
      </c>
    </row>
    <row r="28" spans="1:25" x14ac:dyDescent="0.2">
      <c r="A28" s="38"/>
      <c r="B28" s="39"/>
      <c r="C28" s="40"/>
      <c r="D28" s="38"/>
      <c r="E28" s="38"/>
      <c r="F28" s="41"/>
      <c r="G28" s="45"/>
      <c r="H28" s="45"/>
      <c r="I28" s="23" t="str">
        <f t="shared" si="4"/>
        <v>0000000000000</v>
      </c>
      <c r="J28" s="23" t="str">
        <f t="shared" si="5"/>
        <v>000</v>
      </c>
      <c r="K28" s="23">
        <f t="shared" si="6"/>
        <v>0</v>
      </c>
      <c r="L28" s="23" t="str">
        <f t="shared" si="7"/>
        <v>00</v>
      </c>
      <c r="M28" s="23">
        <f t="shared" si="8"/>
        <v>1</v>
      </c>
      <c r="N28" s="23" t="str">
        <f t="shared" si="9"/>
        <v>01</v>
      </c>
      <c r="O28" s="23">
        <f t="shared" si="10"/>
        <v>1900</v>
      </c>
      <c r="P28" s="23" t="str">
        <f t="shared" si="11"/>
        <v>1900</v>
      </c>
      <c r="Q28" s="23" t="str">
        <f t="shared" si="12"/>
        <v>00/01/1900</v>
      </c>
      <c r="R28" s="24" t="str">
        <f t="shared" si="13"/>
        <v>0000</v>
      </c>
      <c r="S28" s="24" t="str">
        <f t="shared" si="14"/>
        <v>00000000</v>
      </c>
      <c r="T28" s="24" t="str">
        <f t="shared" si="15"/>
        <v>0</v>
      </c>
      <c r="U28" s="24" t="str">
        <f t="shared" si="16"/>
        <v>0</v>
      </c>
      <c r="V28" s="24" t="str">
        <f t="shared" si="17"/>
        <v>00000000,00</v>
      </c>
      <c r="W28" s="36" t="str">
        <f t="shared" si="1"/>
        <v/>
      </c>
      <c r="X28" t="str">
        <f t="shared" si="2"/>
        <v/>
      </c>
      <c r="Y28" t="str">
        <f t="shared" si="3"/>
        <v/>
      </c>
    </row>
    <row r="29" spans="1:25" x14ac:dyDescent="0.2">
      <c r="A29" s="38"/>
      <c r="B29" s="39"/>
      <c r="C29" s="40"/>
      <c r="D29" s="38"/>
      <c r="E29" s="38"/>
      <c r="F29" s="41"/>
      <c r="G29" s="45"/>
      <c r="H29" s="45"/>
      <c r="I29" s="23" t="str">
        <f t="shared" si="4"/>
        <v>0000000000000</v>
      </c>
      <c r="J29" s="23" t="str">
        <f t="shared" si="5"/>
        <v>000</v>
      </c>
      <c r="K29" s="23">
        <f t="shared" si="6"/>
        <v>0</v>
      </c>
      <c r="L29" s="23" t="str">
        <f t="shared" si="7"/>
        <v>00</v>
      </c>
      <c r="M29" s="23">
        <f t="shared" si="8"/>
        <v>1</v>
      </c>
      <c r="N29" s="23" t="str">
        <f t="shared" si="9"/>
        <v>01</v>
      </c>
      <c r="O29" s="23">
        <f t="shared" si="10"/>
        <v>1900</v>
      </c>
      <c r="P29" s="23" t="str">
        <f t="shared" si="11"/>
        <v>1900</v>
      </c>
      <c r="Q29" s="23" t="str">
        <f t="shared" si="12"/>
        <v>00/01/1900</v>
      </c>
      <c r="R29" s="24" t="str">
        <f t="shared" si="13"/>
        <v>0000</v>
      </c>
      <c r="S29" s="24" t="str">
        <f t="shared" si="14"/>
        <v>00000000</v>
      </c>
      <c r="T29" s="24" t="str">
        <f t="shared" si="15"/>
        <v>0</v>
      </c>
      <c r="U29" s="24" t="str">
        <f t="shared" si="16"/>
        <v>0</v>
      </c>
      <c r="V29" s="24" t="str">
        <f t="shared" si="17"/>
        <v>00000000,00</v>
      </c>
      <c r="W29" s="36" t="str">
        <f t="shared" si="1"/>
        <v/>
      </c>
      <c r="X29" t="str">
        <f t="shared" si="2"/>
        <v/>
      </c>
      <c r="Y29" t="str">
        <f t="shared" si="3"/>
        <v/>
      </c>
    </row>
    <row r="30" spans="1:25" x14ac:dyDescent="0.2">
      <c r="A30" s="38"/>
      <c r="B30" s="39"/>
      <c r="C30" s="40"/>
      <c r="D30" s="38"/>
      <c r="E30" s="38"/>
      <c r="F30" s="41"/>
      <c r="G30" s="45"/>
      <c r="H30" s="45"/>
      <c r="I30" s="23" t="str">
        <f t="shared" si="4"/>
        <v>0000000000000</v>
      </c>
      <c r="J30" s="23" t="str">
        <f t="shared" si="5"/>
        <v>000</v>
      </c>
      <c r="K30" s="23">
        <f t="shared" si="6"/>
        <v>0</v>
      </c>
      <c r="L30" s="23" t="str">
        <f t="shared" si="7"/>
        <v>00</v>
      </c>
      <c r="M30" s="23">
        <f t="shared" si="8"/>
        <v>1</v>
      </c>
      <c r="N30" s="23" t="str">
        <f t="shared" si="9"/>
        <v>01</v>
      </c>
      <c r="O30" s="23">
        <f t="shared" si="10"/>
        <v>1900</v>
      </c>
      <c r="P30" s="23" t="str">
        <f t="shared" si="11"/>
        <v>1900</v>
      </c>
      <c r="Q30" s="23" t="str">
        <f t="shared" si="12"/>
        <v>00/01/1900</v>
      </c>
      <c r="R30" s="24" t="str">
        <f t="shared" si="13"/>
        <v>0000</v>
      </c>
      <c r="S30" s="24" t="str">
        <f t="shared" si="14"/>
        <v>00000000</v>
      </c>
      <c r="T30" s="24" t="str">
        <f t="shared" si="15"/>
        <v>0</v>
      </c>
      <c r="U30" s="24" t="str">
        <f t="shared" si="16"/>
        <v>0</v>
      </c>
      <c r="V30" s="24" t="str">
        <f t="shared" si="17"/>
        <v>00000000,00</v>
      </c>
      <c r="W30" s="36" t="str">
        <f t="shared" si="1"/>
        <v/>
      </c>
      <c r="X30" t="str">
        <f t="shared" si="2"/>
        <v/>
      </c>
      <c r="Y30" t="str">
        <f t="shared" si="3"/>
        <v/>
      </c>
    </row>
    <row r="31" spans="1:25" x14ac:dyDescent="0.2">
      <c r="A31" s="38"/>
      <c r="B31" s="39"/>
      <c r="C31" s="40"/>
      <c r="D31" s="38"/>
      <c r="E31" s="38"/>
      <c r="F31" s="41"/>
      <c r="G31" s="45"/>
      <c r="H31" s="45"/>
      <c r="I31" s="23" t="str">
        <f t="shared" si="4"/>
        <v>0000000000000</v>
      </c>
      <c r="J31" s="23" t="str">
        <f t="shared" si="5"/>
        <v>000</v>
      </c>
      <c r="K31" s="23">
        <f t="shared" si="6"/>
        <v>0</v>
      </c>
      <c r="L31" s="23" t="str">
        <f t="shared" si="7"/>
        <v>00</v>
      </c>
      <c r="M31" s="23">
        <f t="shared" si="8"/>
        <v>1</v>
      </c>
      <c r="N31" s="23" t="str">
        <f t="shared" si="9"/>
        <v>01</v>
      </c>
      <c r="O31" s="23">
        <f t="shared" si="10"/>
        <v>1900</v>
      </c>
      <c r="P31" s="23" t="str">
        <f t="shared" si="11"/>
        <v>1900</v>
      </c>
      <c r="Q31" s="23" t="str">
        <f t="shared" si="12"/>
        <v>00/01/1900</v>
      </c>
      <c r="R31" s="24" t="str">
        <f t="shared" si="13"/>
        <v>0000</v>
      </c>
      <c r="S31" s="24" t="str">
        <f t="shared" si="14"/>
        <v>00000000</v>
      </c>
      <c r="T31" s="24" t="str">
        <f t="shared" si="15"/>
        <v>0</v>
      </c>
      <c r="U31" s="24" t="str">
        <f t="shared" si="16"/>
        <v>0</v>
      </c>
      <c r="V31" s="24" t="str">
        <f t="shared" si="17"/>
        <v>00000000,00</v>
      </c>
      <c r="W31" s="36" t="str">
        <f t="shared" si="1"/>
        <v/>
      </c>
      <c r="X31" t="str">
        <f t="shared" si="2"/>
        <v/>
      </c>
      <c r="Y31" t="str">
        <f t="shared" si="3"/>
        <v/>
      </c>
    </row>
    <row r="32" spans="1:25" x14ac:dyDescent="0.2">
      <c r="A32" s="38"/>
      <c r="B32" s="39"/>
      <c r="C32" s="40"/>
      <c r="D32" s="38"/>
      <c r="E32" s="38"/>
      <c r="F32" s="41"/>
      <c r="G32" s="45"/>
      <c r="H32" s="45"/>
      <c r="I32" s="23" t="str">
        <f t="shared" si="4"/>
        <v>0000000000000</v>
      </c>
      <c r="J32" s="23" t="str">
        <f t="shared" si="5"/>
        <v>000</v>
      </c>
      <c r="K32" s="23">
        <f t="shared" si="6"/>
        <v>0</v>
      </c>
      <c r="L32" s="23" t="str">
        <f t="shared" si="7"/>
        <v>00</v>
      </c>
      <c r="M32" s="23">
        <f t="shared" si="8"/>
        <v>1</v>
      </c>
      <c r="N32" s="23" t="str">
        <f t="shared" si="9"/>
        <v>01</v>
      </c>
      <c r="O32" s="23">
        <f t="shared" si="10"/>
        <v>1900</v>
      </c>
      <c r="P32" s="23" t="str">
        <f t="shared" si="11"/>
        <v>1900</v>
      </c>
      <c r="Q32" s="23" t="str">
        <f t="shared" si="12"/>
        <v>00/01/1900</v>
      </c>
      <c r="R32" s="24" t="str">
        <f t="shared" si="13"/>
        <v>0000</v>
      </c>
      <c r="S32" s="24" t="str">
        <f t="shared" si="14"/>
        <v>00000000</v>
      </c>
      <c r="T32" s="24" t="str">
        <f t="shared" si="15"/>
        <v>0</v>
      </c>
      <c r="U32" s="24" t="str">
        <f t="shared" si="16"/>
        <v>0</v>
      </c>
      <c r="V32" s="24" t="str">
        <f t="shared" si="17"/>
        <v>00000000,00</v>
      </c>
      <c r="W32" s="36" t="str">
        <f t="shared" si="1"/>
        <v/>
      </c>
      <c r="X32" t="str">
        <f t="shared" si="2"/>
        <v/>
      </c>
      <c r="Y32" t="str">
        <f t="shared" si="3"/>
        <v/>
      </c>
    </row>
    <row r="33" spans="1:25" x14ac:dyDescent="0.2">
      <c r="A33" s="38"/>
      <c r="B33" s="39"/>
      <c r="C33" s="40"/>
      <c r="D33" s="38"/>
      <c r="E33" s="38"/>
      <c r="F33" s="41"/>
      <c r="G33" s="45"/>
      <c r="H33" s="45"/>
      <c r="I33" s="23" t="str">
        <f t="shared" si="4"/>
        <v>0000000000000</v>
      </c>
      <c r="J33" s="23" t="str">
        <f t="shared" si="5"/>
        <v>000</v>
      </c>
      <c r="K33" s="23">
        <f t="shared" si="6"/>
        <v>0</v>
      </c>
      <c r="L33" s="23" t="str">
        <f t="shared" si="7"/>
        <v>00</v>
      </c>
      <c r="M33" s="23">
        <f t="shared" si="8"/>
        <v>1</v>
      </c>
      <c r="N33" s="23" t="str">
        <f t="shared" si="9"/>
        <v>01</v>
      </c>
      <c r="O33" s="23">
        <f t="shared" si="10"/>
        <v>1900</v>
      </c>
      <c r="P33" s="23" t="str">
        <f t="shared" si="11"/>
        <v>1900</v>
      </c>
      <c r="Q33" s="23" t="str">
        <f t="shared" si="12"/>
        <v>00/01/1900</v>
      </c>
      <c r="R33" s="24" t="str">
        <f t="shared" si="13"/>
        <v>0000</v>
      </c>
      <c r="S33" s="24" t="str">
        <f t="shared" si="14"/>
        <v>00000000</v>
      </c>
      <c r="T33" s="24" t="str">
        <f t="shared" si="15"/>
        <v>0</v>
      </c>
      <c r="U33" s="24" t="str">
        <f t="shared" si="16"/>
        <v>0</v>
      </c>
      <c r="V33" s="24" t="str">
        <f t="shared" si="17"/>
        <v>00000000,00</v>
      </c>
      <c r="W33" s="36" t="str">
        <f t="shared" si="1"/>
        <v/>
      </c>
      <c r="X33" t="str">
        <f t="shared" si="2"/>
        <v/>
      </c>
      <c r="Y33" t="str">
        <f t="shared" si="3"/>
        <v/>
      </c>
    </row>
    <row r="34" spans="1:25" x14ac:dyDescent="0.2">
      <c r="A34" s="38"/>
      <c r="B34" s="39"/>
      <c r="C34" s="40"/>
      <c r="D34" s="38"/>
      <c r="E34" s="38"/>
      <c r="F34" s="41"/>
      <c r="G34" s="45"/>
      <c r="H34" s="45"/>
      <c r="I34" s="23" t="str">
        <f t="shared" si="4"/>
        <v>0000000000000</v>
      </c>
      <c r="J34" s="23" t="str">
        <f t="shared" si="5"/>
        <v>000</v>
      </c>
      <c r="K34" s="23">
        <f t="shared" si="6"/>
        <v>0</v>
      </c>
      <c r="L34" s="23" t="str">
        <f t="shared" si="7"/>
        <v>00</v>
      </c>
      <c r="M34" s="23">
        <f t="shared" si="8"/>
        <v>1</v>
      </c>
      <c r="N34" s="23" t="str">
        <f t="shared" si="9"/>
        <v>01</v>
      </c>
      <c r="O34" s="23">
        <f t="shared" si="10"/>
        <v>1900</v>
      </c>
      <c r="P34" s="23" t="str">
        <f t="shared" si="11"/>
        <v>1900</v>
      </c>
      <c r="Q34" s="23" t="str">
        <f t="shared" si="12"/>
        <v>00/01/1900</v>
      </c>
      <c r="R34" s="24" t="str">
        <f t="shared" si="13"/>
        <v>0000</v>
      </c>
      <c r="S34" s="24" t="str">
        <f t="shared" si="14"/>
        <v>00000000</v>
      </c>
      <c r="T34" s="24" t="str">
        <f t="shared" si="15"/>
        <v>0</v>
      </c>
      <c r="U34" s="24" t="str">
        <f t="shared" si="16"/>
        <v>0</v>
      </c>
      <c r="V34" s="24" t="str">
        <f t="shared" si="17"/>
        <v>00000000,00</v>
      </c>
      <c r="W34" s="36" t="str">
        <f t="shared" si="1"/>
        <v/>
      </c>
      <c r="X34" t="str">
        <f t="shared" si="2"/>
        <v/>
      </c>
      <c r="Y34" t="str">
        <f t="shared" si="3"/>
        <v/>
      </c>
    </row>
    <row r="35" spans="1:25" x14ac:dyDescent="0.2">
      <c r="A35" s="38"/>
      <c r="B35" s="39"/>
      <c r="C35" s="40"/>
      <c r="D35" s="38"/>
      <c r="E35" s="38"/>
      <c r="F35" s="41"/>
      <c r="G35" s="45"/>
      <c r="H35" s="45"/>
      <c r="I35" s="23" t="str">
        <f t="shared" si="4"/>
        <v>0000000000000</v>
      </c>
      <c r="J35" s="23" t="str">
        <f t="shared" si="5"/>
        <v>000</v>
      </c>
      <c r="K35" s="23">
        <f t="shared" si="6"/>
        <v>0</v>
      </c>
      <c r="L35" s="23" t="str">
        <f t="shared" si="7"/>
        <v>00</v>
      </c>
      <c r="M35" s="23">
        <f t="shared" si="8"/>
        <v>1</v>
      </c>
      <c r="N35" s="23" t="str">
        <f t="shared" si="9"/>
        <v>01</v>
      </c>
      <c r="O35" s="23">
        <f t="shared" si="10"/>
        <v>1900</v>
      </c>
      <c r="P35" s="23" t="str">
        <f t="shared" si="11"/>
        <v>1900</v>
      </c>
      <c r="Q35" s="23" t="str">
        <f t="shared" si="12"/>
        <v>00/01/1900</v>
      </c>
      <c r="R35" s="24" t="str">
        <f t="shared" si="13"/>
        <v>0000</v>
      </c>
      <c r="S35" s="24" t="str">
        <f t="shared" si="14"/>
        <v>00000000</v>
      </c>
      <c r="T35" s="24" t="str">
        <f t="shared" si="15"/>
        <v>0</v>
      </c>
      <c r="U35" s="24" t="str">
        <f t="shared" si="16"/>
        <v>0</v>
      </c>
      <c r="V35" s="24" t="str">
        <f t="shared" si="17"/>
        <v>00000000,00</v>
      </c>
      <c r="W35" s="36" t="str">
        <f t="shared" si="1"/>
        <v/>
      </c>
      <c r="X35" t="str">
        <f t="shared" si="2"/>
        <v/>
      </c>
      <c r="Y35" t="str">
        <f t="shared" si="3"/>
        <v/>
      </c>
    </row>
    <row r="36" spans="1:25" x14ac:dyDescent="0.2">
      <c r="A36" s="38"/>
      <c r="B36" s="39"/>
      <c r="C36" s="40"/>
      <c r="D36" s="38"/>
      <c r="E36" s="38"/>
      <c r="F36" s="41"/>
      <c r="G36" s="45"/>
      <c r="H36" s="45"/>
      <c r="I36" s="23" t="str">
        <f t="shared" si="4"/>
        <v>0000000000000</v>
      </c>
      <c r="J36" s="23" t="str">
        <f t="shared" si="5"/>
        <v>000</v>
      </c>
      <c r="K36" s="23">
        <f t="shared" si="6"/>
        <v>0</v>
      </c>
      <c r="L36" s="23" t="str">
        <f t="shared" si="7"/>
        <v>00</v>
      </c>
      <c r="M36" s="23">
        <f t="shared" si="8"/>
        <v>1</v>
      </c>
      <c r="N36" s="23" t="str">
        <f t="shared" si="9"/>
        <v>01</v>
      </c>
      <c r="O36" s="23">
        <f t="shared" si="10"/>
        <v>1900</v>
      </c>
      <c r="P36" s="23" t="str">
        <f t="shared" si="11"/>
        <v>1900</v>
      </c>
      <c r="Q36" s="23" t="str">
        <f t="shared" si="12"/>
        <v>00/01/1900</v>
      </c>
      <c r="R36" s="24" t="str">
        <f t="shared" si="13"/>
        <v>0000</v>
      </c>
      <c r="S36" s="24" t="str">
        <f t="shared" si="14"/>
        <v>00000000</v>
      </c>
      <c r="T36" s="24" t="str">
        <f t="shared" si="15"/>
        <v>0</v>
      </c>
      <c r="U36" s="24" t="str">
        <f t="shared" si="16"/>
        <v>0</v>
      </c>
      <c r="V36" s="24" t="str">
        <f t="shared" si="17"/>
        <v>00000000,00</v>
      </c>
      <c r="W36" s="36" t="str">
        <f t="shared" si="1"/>
        <v/>
      </c>
      <c r="X36" t="str">
        <f t="shared" si="2"/>
        <v/>
      </c>
      <c r="Y36" t="str">
        <f t="shared" si="3"/>
        <v/>
      </c>
    </row>
    <row r="37" spans="1:25" x14ac:dyDescent="0.2">
      <c r="A37" s="38"/>
      <c r="B37" s="39"/>
      <c r="C37" s="40"/>
      <c r="D37" s="38"/>
      <c r="E37" s="38"/>
      <c r="F37" s="41"/>
      <c r="G37" s="45"/>
      <c r="H37" s="45"/>
      <c r="I37" s="23" t="str">
        <f t="shared" si="4"/>
        <v>0000000000000</v>
      </c>
      <c r="J37" s="23" t="str">
        <f t="shared" si="5"/>
        <v>000</v>
      </c>
      <c r="K37" s="23">
        <f t="shared" si="6"/>
        <v>0</v>
      </c>
      <c r="L37" s="23" t="str">
        <f t="shared" si="7"/>
        <v>00</v>
      </c>
      <c r="M37" s="23">
        <f t="shared" si="8"/>
        <v>1</v>
      </c>
      <c r="N37" s="23" t="str">
        <f t="shared" si="9"/>
        <v>01</v>
      </c>
      <c r="O37" s="23">
        <f t="shared" si="10"/>
        <v>1900</v>
      </c>
      <c r="P37" s="23" t="str">
        <f t="shared" si="11"/>
        <v>1900</v>
      </c>
      <c r="Q37" s="23" t="str">
        <f t="shared" si="12"/>
        <v>00/01/1900</v>
      </c>
      <c r="R37" s="24" t="str">
        <f t="shared" si="13"/>
        <v>0000</v>
      </c>
      <c r="S37" s="24" t="str">
        <f t="shared" si="14"/>
        <v>00000000</v>
      </c>
      <c r="T37" s="24" t="str">
        <f t="shared" si="15"/>
        <v>0</v>
      </c>
      <c r="U37" s="24" t="str">
        <f t="shared" si="16"/>
        <v>0</v>
      </c>
      <c r="V37" s="24" t="str">
        <f t="shared" si="17"/>
        <v>00000000,00</v>
      </c>
      <c r="W37" s="36" t="str">
        <f t="shared" si="1"/>
        <v/>
      </c>
      <c r="X37" t="str">
        <f t="shared" si="2"/>
        <v/>
      </c>
      <c r="Y37" t="str">
        <f t="shared" si="3"/>
        <v/>
      </c>
    </row>
    <row r="38" spans="1:25" x14ac:dyDescent="0.2">
      <c r="A38" s="38"/>
      <c r="B38" s="39"/>
      <c r="C38" s="40"/>
      <c r="D38" s="38"/>
      <c r="E38" s="38"/>
      <c r="F38" s="41"/>
      <c r="G38" s="45"/>
      <c r="H38" s="45"/>
      <c r="I38" s="23" t="str">
        <f t="shared" si="4"/>
        <v>0000000000000</v>
      </c>
      <c r="J38" s="23" t="str">
        <f t="shared" si="5"/>
        <v>000</v>
      </c>
      <c r="K38" s="23">
        <f t="shared" si="6"/>
        <v>0</v>
      </c>
      <c r="L38" s="23" t="str">
        <f t="shared" si="7"/>
        <v>00</v>
      </c>
      <c r="M38" s="23">
        <f t="shared" si="8"/>
        <v>1</v>
      </c>
      <c r="N38" s="23" t="str">
        <f t="shared" si="9"/>
        <v>01</v>
      </c>
      <c r="O38" s="23">
        <f t="shared" si="10"/>
        <v>1900</v>
      </c>
      <c r="P38" s="23" t="str">
        <f t="shared" si="11"/>
        <v>1900</v>
      </c>
      <c r="Q38" s="23" t="str">
        <f t="shared" si="12"/>
        <v>00/01/1900</v>
      </c>
      <c r="R38" s="24" t="str">
        <f t="shared" si="13"/>
        <v>0000</v>
      </c>
      <c r="S38" s="24" t="str">
        <f t="shared" si="14"/>
        <v>00000000</v>
      </c>
      <c r="T38" s="24" t="str">
        <f t="shared" si="15"/>
        <v>0</v>
      </c>
      <c r="U38" s="24" t="str">
        <f t="shared" si="16"/>
        <v>0</v>
      </c>
      <c r="V38" s="24" t="str">
        <f t="shared" si="17"/>
        <v>00000000,00</v>
      </c>
      <c r="W38" s="36" t="str">
        <f t="shared" si="1"/>
        <v/>
      </c>
      <c r="X38" t="str">
        <f t="shared" si="2"/>
        <v/>
      </c>
      <c r="Y38" t="str">
        <f t="shared" si="3"/>
        <v/>
      </c>
    </row>
    <row r="39" spans="1:25" x14ac:dyDescent="0.2">
      <c r="A39" s="38"/>
      <c r="B39" s="39"/>
      <c r="C39" s="40"/>
      <c r="D39" s="38"/>
      <c r="E39" s="38"/>
      <c r="F39" s="41"/>
      <c r="G39" s="45"/>
      <c r="H39" s="45"/>
      <c r="I39" s="23" t="str">
        <f t="shared" si="4"/>
        <v>0000000000000</v>
      </c>
      <c r="J39" s="23" t="str">
        <f t="shared" si="5"/>
        <v>000</v>
      </c>
      <c r="K39" s="23">
        <f t="shared" si="6"/>
        <v>0</v>
      </c>
      <c r="L39" s="23" t="str">
        <f t="shared" si="7"/>
        <v>00</v>
      </c>
      <c r="M39" s="23">
        <f t="shared" si="8"/>
        <v>1</v>
      </c>
      <c r="N39" s="23" t="str">
        <f t="shared" si="9"/>
        <v>01</v>
      </c>
      <c r="O39" s="23">
        <f t="shared" si="10"/>
        <v>1900</v>
      </c>
      <c r="P39" s="23" t="str">
        <f t="shared" si="11"/>
        <v>1900</v>
      </c>
      <c r="Q39" s="23" t="str">
        <f t="shared" si="12"/>
        <v>00/01/1900</v>
      </c>
      <c r="R39" s="24" t="str">
        <f t="shared" si="13"/>
        <v>0000</v>
      </c>
      <c r="S39" s="24" t="str">
        <f t="shared" si="14"/>
        <v>00000000</v>
      </c>
      <c r="T39" s="24" t="str">
        <f t="shared" si="15"/>
        <v>0</v>
      </c>
      <c r="U39" s="24" t="str">
        <f t="shared" si="16"/>
        <v>0</v>
      </c>
      <c r="V39" s="24" t="str">
        <f t="shared" si="17"/>
        <v>00000000,00</v>
      </c>
      <c r="W39" s="36" t="str">
        <f t="shared" si="1"/>
        <v/>
      </c>
      <c r="X39" t="str">
        <f t="shared" si="2"/>
        <v/>
      </c>
      <c r="Y39" t="str">
        <f t="shared" si="3"/>
        <v/>
      </c>
    </row>
    <row r="40" spans="1:25" x14ac:dyDescent="0.2">
      <c r="A40" s="38"/>
      <c r="B40" s="39"/>
      <c r="C40" s="40"/>
      <c r="D40" s="38"/>
      <c r="E40" s="38"/>
      <c r="F40" s="41"/>
      <c r="G40" s="45"/>
      <c r="H40" s="45"/>
      <c r="I40" s="23" t="str">
        <f t="shared" si="4"/>
        <v>0000000000000</v>
      </c>
      <c r="J40" s="23" t="str">
        <f t="shared" si="5"/>
        <v>000</v>
      </c>
      <c r="K40" s="23">
        <f t="shared" si="6"/>
        <v>0</v>
      </c>
      <c r="L40" s="23" t="str">
        <f t="shared" si="7"/>
        <v>00</v>
      </c>
      <c r="M40" s="23">
        <f t="shared" si="8"/>
        <v>1</v>
      </c>
      <c r="N40" s="23" t="str">
        <f t="shared" si="9"/>
        <v>01</v>
      </c>
      <c r="O40" s="23">
        <f t="shared" si="10"/>
        <v>1900</v>
      </c>
      <c r="P40" s="23" t="str">
        <f t="shared" si="11"/>
        <v>1900</v>
      </c>
      <c r="Q40" s="23" t="str">
        <f t="shared" si="12"/>
        <v>00/01/1900</v>
      </c>
      <c r="R40" s="24" t="str">
        <f t="shared" si="13"/>
        <v>0000</v>
      </c>
      <c r="S40" s="24" t="str">
        <f t="shared" si="14"/>
        <v>00000000</v>
      </c>
      <c r="T40" s="24" t="str">
        <f t="shared" si="15"/>
        <v>0</v>
      </c>
      <c r="U40" s="24" t="str">
        <f t="shared" si="16"/>
        <v>0</v>
      </c>
      <c r="V40" s="24" t="str">
        <f t="shared" si="17"/>
        <v>00000000,00</v>
      </c>
      <c r="W40" s="36" t="str">
        <f t="shared" si="1"/>
        <v/>
      </c>
      <c r="X40" t="str">
        <f t="shared" si="2"/>
        <v/>
      </c>
      <c r="Y40" t="str">
        <f t="shared" si="3"/>
        <v/>
      </c>
    </row>
    <row r="41" spans="1:25" x14ac:dyDescent="0.2">
      <c r="A41" s="38"/>
      <c r="B41" s="39"/>
      <c r="C41" s="40"/>
      <c r="D41" s="38"/>
      <c r="E41" s="38"/>
      <c r="F41" s="41"/>
      <c r="G41" s="45"/>
      <c r="H41" s="45"/>
      <c r="I41" s="23" t="str">
        <f t="shared" si="4"/>
        <v>0000000000000</v>
      </c>
      <c r="J41" s="23" t="str">
        <f t="shared" si="5"/>
        <v>000</v>
      </c>
      <c r="K41" s="23">
        <f t="shared" si="6"/>
        <v>0</v>
      </c>
      <c r="L41" s="23" t="str">
        <f t="shared" si="7"/>
        <v>00</v>
      </c>
      <c r="M41" s="23">
        <f t="shared" si="8"/>
        <v>1</v>
      </c>
      <c r="N41" s="23" t="str">
        <f t="shared" si="9"/>
        <v>01</v>
      </c>
      <c r="O41" s="23">
        <f t="shared" si="10"/>
        <v>1900</v>
      </c>
      <c r="P41" s="23" t="str">
        <f t="shared" si="11"/>
        <v>1900</v>
      </c>
      <c r="Q41" s="23" t="str">
        <f t="shared" si="12"/>
        <v>00/01/1900</v>
      </c>
      <c r="R41" s="24" t="str">
        <f t="shared" si="13"/>
        <v>0000</v>
      </c>
      <c r="S41" s="24" t="str">
        <f t="shared" si="14"/>
        <v>00000000</v>
      </c>
      <c r="T41" s="24" t="str">
        <f t="shared" si="15"/>
        <v>0</v>
      </c>
      <c r="U41" s="24" t="str">
        <f t="shared" si="16"/>
        <v>0</v>
      </c>
      <c r="V41" s="24" t="str">
        <f t="shared" si="17"/>
        <v>00000000,00</v>
      </c>
      <c r="W41" s="36" t="str">
        <f t="shared" si="1"/>
        <v/>
      </c>
      <c r="X41" t="str">
        <f t="shared" si="2"/>
        <v/>
      </c>
      <c r="Y41" t="str">
        <f t="shared" si="3"/>
        <v/>
      </c>
    </row>
    <row r="42" spans="1:25" x14ac:dyDescent="0.2">
      <c r="A42" s="38"/>
      <c r="B42" s="39"/>
      <c r="C42" s="40"/>
      <c r="D42" s="38"/>
      <c r="E42" s="38"/>
      <c r="F42" s="41"/>
      <c r="G42" s="45"/>
      <c r="H42" s="45"/>
      <c r="I42" s="23" t="str">
        <f t="shared" si="4"/>
        <v>0000000000000</v>
      </c>
      <c r="J42" s="23" t="str">
        <f t="shared" si="5"/>
        <v>000</v>
      </c>
      <c r="K42" s="23">
        <f t="shared" si="6"/>
        <v>0</v>
      </c>
      <c r="L42" s="23" t="str">
        <f t="shared" si="7"/>
        <v>00</v>
      </c>
      <c r="M42" s="23">
        <f t="shared" si="8"/>
        <v>1</v>
      </c>
      <c r="N42" s="23" t="str">
        <f t="shared" si="9"/>
        <v>01</v>
      </c>
      <c r="O42" s="23">
        <f t="shared" si="10"/>
        <v>1900</v>
      </c>
      <c r="P42" s="23" t="str">
        <f t="shared" si="11"/>
        <v>1900</v>
      </c>
      <c r="Q42" s="23" t="str">
        <f t="shared" si="12"/>
        <v>00/01/1900</v>
      </c>
      <c r="R42" s="24" t="str">
        <f t="shared" si="13"/>
        <v>0000</v>
      </c>
      <c r="S42" s="24" t="str">
        <f t="shared" si="14"/>
        <v>00000000</v>
      </c>
      <c r="T42" s="24" t="str">
        <f t="shared" si="15"/>
        <v>0</v>
      </c>
      <c r="U42" s="24" t="str">
        <f t="shared" si="16"/>
        <v>0</v>
      </c>
      <c r="V42" s="24" t="str">
        <f t="shared" si="17"/>
        <v>00000000,00</v>
      </c>
      <c r="W42" s="36" t="str">
        <f t="shared" si="1"/>
        <v/>
      </c>
      <c r="X42" t="str">
        <f t="shared" si="2"/>
        <v/>
      </c>
      <c r="Y42" t="str">
        <f t="shared" si="3"/>
        <v/>
      </c>
    </row>
    <row r="43" spans="1:25" x14ac:dyDescent="0.2">
      <c r="A43" s="38"/>
      <c r="B43" s="39"/>
      <c r="C43" s="40"/>
      <c r="D43" s="38"/>
      <c r="E43" s="38"/>
      <c r="F43" s="41"/>
      <c r="G43" s="45"/>
      <c r="H43" s="45"/>
      <c r="I43" s="23" t="str">
        <f t="shared" si="4"/>
        <v>0000000000000</v>
      </c>
      <c r="J43" s="23" t="str">
        <f t="shared" si="5"/>
        <v>000</v>
      </c>
      <c r="K43" s="23">
        <f t="shared" si="6"/>
        <v>0</v>
      </c>
      <c r="L43" s="23" t="str">
        <f t="shared" si="7"/>
        <v>00</v>
      </c>
      <c r="M43" s="23">
        <f t="shared" si="8"/>
        <v>1</v>
      </c>
      <c r="N43" s="23" t="str">
        <f t="shared" si="9"/>
        <v>01</v>
      </c>
      <c r="O43" s="23">
        <f t="shared" si="10"/>
        <v>1900</v>
      </c>
      <c r="P43" s="23" t="str">
        <f t="shared" si="11"/>
        <v>1900</v>
      </c>
      <c r="Q43" s="23" t="str">
        <f t="shared" si="12"/>
        <v>00/01/1900</v>
      </c>
      <c r="R43" s="24" t="str">
        <f t="shared" si="13"/>
        <v>0000</v>
      </c>
      <c r="S43" s="24" t="str">
        <f t="shared" si="14"/>
        <v>00000000</v>
      </c>
      <c r="T43" s="24" t="str">
        <f t="shared" si="15"/>
        <v>0</v>
      </c>
      <c r="U43" s="24" t="str">
        <f t="shared" si="16"/>
        <v>0</v>
      </c>
      <c r="V43" s="24" t="str">
        <f t="shared" si="17"/>
        <v>00000000,00</v>
      </c>
      <c r="W43" s="36" t="str">
        <f t="shared" si="1"/>
        <v/>
      </c>
      <c r="X43" t="str">
        <f t="shared" si="2"/>
        <v/>
      </c>
      <c r="Y43" t="str">
        <f t="shared" si="3"/>
        <v/>
      </c>
    </row>
    <row r="44" spans="1:25" x14ac:dyDescent="0.2">
      <c r="A44" s="38"/>
      <c r="B44" s="39"/>
      <c r="C44" s="40"/>
      <c r="D44" s="38"/>
      <c r="E44" s="38"/>
      <c r="F44" s="41"/>
      <c r="G44" s="45"/>
      <c r="H44" s="45"/>
      <c r="I44" s="23" t="str">
        <f t="shared" si="4"/>
        <v>0000000000000</v>
      </c>
      <c r="J44" s="23" t="str">
        <f t="shared" si="5"/>
        <v>000</v>
      </c>
      <c r="K44" s="23">
        <f t="shared" si="6"/>
        <v>0</v>
      </c>
      <c r="L44" s="23" t="str">
        <f t="shared" si="7"/>
        <v>00</v>
      </c>
      <c r="M44" s="23">
        <f t="shared" si="8"/>
        <v>1</v>
      </c>
      <c r="N44" s="23" t="str">
        <f t="shared" si="9"/>
        <v>01</v>
      </c>
      <c r="O44" s="23">
        <f t="shared" si="10"/>
        <v>1900</v>
      </c>
      <c r="P44" s="23" t="str">
        <f t="shared" si="11"/>
        <v>1900</v>
      </c>
      <c r="Q44" s="23" t="str">
        <f t="shared" si="12"/>
        <v>00/01/1900</v>
      </c>
      <c r="R44" s="24" t="str">
        <f t="shared" si="13"/>
        <v>0000</v>
      </c>
      <c r="S44" s="24" t="str">
        <f t="shared" si="14"/>
        <v>00000000</v>
      </c>
      <c r="T44" s="24" t="str">
        <f t="shared" si="15"/>
        <v>0</v>
      </c>
      <c r="U44" s="24" t="str">
        <f t="shared" si="16"/>
        <v>0</v>
      </c>
      <c r="V44" s="24" t="str">
        <f t="shared" si="17"/>
        <v>00000000,00</v>
      </c>
      <c r="W44" s="36" t="str">
        <f t="shared" si="1"/>
        <v/>
      </c>
      <c r="X44" t="str">
        <f t="shared" si="2"/>
        <v/>
      </c>
      <c r="Y44" t="str">
        <f t="shared" si="3"/>
        <v/>
      </c>
    </row>
    <row r="45" spans="1:25" x14ac:dyDescent="0.2">
      <c r="A45" s="38"/>
      <c r="B45" s="39"/>
      <c r="C45" s="40"/>
      <c r="D45" s="38"/>
      <c r="E45" s="38"/>
      <c r="F45" s="41"/>
      <c r="G45" s="45"/>
      <c r="H45" s="45"/>
      <c r="I45" s="23" t="str">
        <f t="shared" si="4"/>
        <v>0000000000000</v>
      </c>
      <c r="J45" s="23" t="str">
        <f t="shared" si="5"/>
        <v>000</v>
      </c>
      <c r="K45" s="23">
        <f t="shared" si="6"/>
        <v>0</v>
      </c>
      <c r="L45" s="23" t="str">
        <f t="shared" si="7"/>
        <v>00</v>
      </c>
      <c r="M45" s="23">
        <f t="shared" si="8"/>
        <v>1</v>
      </c>
      <c r="N45" s="23" t="str">
        <f t="shared" si="9"/>
        <v>01</v>
      </c>
      <c r="O45" s="23">
        <f t="shared" si="10"/>
        <v>1900</v>
      </c>
      <c r="P45" s="23" t="str">
        <f t="shared" si="11"/>
        <v>1900</v>
      </c>
      <c r="Q45" s="23" t="str">
        <f t="shared" si="12"/>
        <v>00/01/1900</v>
      </c>
      <c r="R45" s="24" t="str">
        <f t="shared" si="13"/>
        <v>0000</v>
      </c>
      <c r="S45" s="24" t="str">
        <f t="shared" si="14"/>
        <v>00000000</v>
      </c>
      <c r="T45" s="24" t="str">
        <f t="shared" si="15"/>
        <v>0</v>
      </c>
      <c r="U45" s="24" t="str">
        <f t="shared" si="16"/>
        <v>0</v>
      </c>
      <c r="V45" s="24" t="str">
        <f t="shared" si="17"/>
        <v>00000000,00</v>
      </c>
      <c r="W45" s="36" t="str">
        <f t="shared" si="1"/>
        <v/>
      </c>
      <c r="X45" t="str">
        <f t="shared" si="2"/>
        <v/>
      </c>
      <c r="Y45" t="str">
        <f t="shared" si="3"/>
        <v/>
      </c>
    </row>
    <row r="46" spans="1:25" x14ac:dyDescent="0.2">
      <c r="A46" s="38"/>
      <c r="B46" s="39"/>
      <c r="C46" s="40"/>
      <c r="D46" s="38"/>
      <c r="E46" s="38"/>
      <c r="F46" s="41"/>
      <c r="G46" s="45"/>
      <c r="H46" s="45"/>
      <c r="I46" s="23" t="str">
        <f t="shared" si="4"/>
        <v>0000000000000</v>
      </c>
      <c r="J46" s="23" t="str">
        <f t="shared" si="5"/>
        <v>000</v>
      </c>
      <c r="K46" s="23">
        <f t="shared" si="6"/>
        <v>0</v>
      </c>
      <c r="L46" s="23" t="str">
        <f t="shared" si="7"/>
        <v>00</v>
      </c>
      <c r="M46" s="23">
        <f t="shared" si="8"/>
        <v>1</v>
      </c>
      <c r="N46" s="23" t="str">
        <f t="shared" si="9"/>
        <v>01</v>
      </c>
      <c r="O46" s="23">
        <f t="shared" si="10"/>
        <v>1900</v>
      </c>
      <c r="P46" s="23" t="str">
        <f t="shared" si="11"/>
        <v>1900</v>
      </c>
      <c r="Q46" s="23" t="str">
        <f t="shared" si="12"/>
        <v>00/01/1900</v>
      </c>
      <c r="R46" s="24" t="str">
        <f t="shared" si="13"/>
        <v>0000</v>
      </c>
      <c r="S46" s="24" t="str">
        <f t="shared" si="14"/>
        <v>00000000</v>
      </c>
      <c r="T46" s="24" t="str">
        <f t="shared" si="15"/>
        <v>0</v>
      </c>
      <c r="U46" s="24" t="str">
        <f t="shared" si="16"/>
        <v>0</v>
      </c>
      <c r="V46" s="24" t="str">
        <f t="shared" si="17"/>
        <v>00000000,00</v>
      </c>
      <c r="W46" s="36" t="str">
        <f t="shared" si="1"/>
        <v/>
      </c>
      <c r="X46" t="str">
        <f t="shared" si="2"/>
        <v/>
      </c>
      <c r="Y46" t="str">
        <f t="shared" si="3"/>
        <v/>
      </c>
    </row>
    <row r="47" spans="1:25" x14ac:dyDescent="0.2">
      <c r="A47" s="38"/>
      <c r="B47" s="39"/>
      <c r="C47" s="40"/>
      <c r="D47" s="38"/>
      <c r="E47" s="38"/>
      <c r="F47" s="41"/>
      <c r="G47" s="45"/>
      <c r="H47" s="45"/>
      <c r="I47" s="23" t="str">
        <f t="shared" si="4"/>
        <v>0000000000000</v>
      </c>
      <c r="J47" s="23" t="str">
        <f t="shared" si="5"/>
        <v>000</v>
      </c>
      <c r="K47" s="23">
        <f t="shared" si="6"/>
        <v>0</v>
      </c>
      <c r="L47" s="23" t="str">
        <f t="shared" si="7"/>
        <v>00</v>
      </c>
      <c r="M47" s="23">
        <f t="shared" si="8"/>
        <v>1</v>
      </c>
      <c r="N47" s="23" t="str">
        <f t="shared" si="9"/>
        <v>01</v>
      </c>
      <c r="O47" s="23">
        <f t="shared" si="10"/>
        <v>1900</v>
      </c>
      <c r="P47" s="23" t="str">
        <f t="shared" si="11"/>
        <v>1900</v>
      </c>
      <c r="Q47" s="23" t="str">
        <f t="shared" si="12"/>
        <v>00/01/1900</v>
      </c>
      <c r="R47" s="24" t="str">
        <f t="shared" si="13"/>
        <v>0000</v>
      </c>
      <c r="S47" s="24" t="str">
        <f t="shared" si="14"/>
        <v>00000000</v>
      </c>
      <c r="T47" s="24" t="str">
        <f t="shared" si="15"/>
        <v>0</v>
      </c>
      <c r="U47" s="24" t="str">
        <f t="shared" si="16"/>
        <v>0</v>
      </c>
      <c r="V47" s="24" t="str">
        <f t="shared" si="17"/>
        <v>00000000,00</v>
      </c>
      <c r="W47" s="36" t="str">
        <f t="shared" si="1"/>
        <v/>
      </c>
      <c r="X47" t="str">
        <f t="shared" si="2"/>
        <v/>
      </c>
      <c r="Y47" t="str">
        <f t="shared" si="3"/>
        <v/>
      </c>
    </row>
    <row r="48" spans="1:25" x14ac:dyDescent="0.2">
      <c r="A48" s="38"/>
      <c r="B48" s="39"/>
      <c r="C48" s="40"/>
      <c r="D48" s="38"/>
      <c r="E48" s="38"/>
      <c r="F48" s="41"/>
      <c r="G48" s="45"/>
      <c r="H48" s="45"/>
      <c r="I48" s="23" t="str">
        <f t="shared" si="4"/>
        <v>0000000000000</v>
      </c>
      <c r="J48" s="23" t="str">
        <f t="shared" si="5"/>
        <v>000</v>
      </c>
      <c r="K48" s="23">
        <f t="shared" si="6"/>
        <v>0</v>
      </c>
      <c r="L48" s="23" t="str">
        <f t="shared" si="7"/>
        <v>00</v>
      </c>
      <c r="M48" s="23">
        <f t="shared" si="8"/>
        <v>1</v>
      </c>
      <c r="N48" s="23" t="str">
        <f t="shared" si="9"/>
        <v>01</v>
      </c>
      <c r="O48" s="23">
        <f t="shared" si="10"/>
        <v>1900</v>
      </c>
      <c r="P48" s="23" t="str">
        <f t="shared" si="11"/>
        <v>1900</v>
      </c>
      <c r="Q48" s="23" t="str">
        <f t="shared" si="12"/>
        <v>00/01/1900</v>
      </c>
      <c r="R48" s="24" t="str">
        <f t="shared" si="13"/>
        <v>0000</v>
      </c>
      <c r="S48" s="24" t="str">
        <f t="shared" si="14"/>
        <v>00000000</v>
      </c>
      <c r="T48" s="24" t="str">
        <f t="shared" si="15"/>
        <v>0</v>
      </c>
      <c r="U48" s="24" t="str">
        <f t="shared" si="16"/>
        <v>0</v>
      </c>
      <c r="V48" s="24" t="str">
        <f t="shared" si="17"/>
        <v>00000000,00</v>
      </c>
      <c r="W48" s="36" t="str">
        <f t="shared" si="1"/>
        <v/>
      </c>
      <c r="X48" t="str">
        <f t="shared" si="2"/>
        <v/>
      </c>
      <c r="Y48" t="str">
        <f t="shared" si="3"/>
        <v/>
      </c>
    </row>
    <row r="49" spans="1:25" x14ac:dyDescent="0.2">
      <c r="A49" s="38"/>
      <c r="B49" s="39"/>
      <c r="C49" s="40"/>
      <c r="D49" s="38"/>
      <c r="E49" s="38"/>
      <c r="F49" s="41"/>
      <c r="G49" s="45"/>
      <c r="H49" s="45"/>
      <c r="I49" s="23" t="str">
        <f t="shared" si="4"/>
        <v>0000000000000</v>
      </c>
      <c r="J49" s="23" t="str">
        <f t="shared" si="5"/>
        <v>000</v>
      </c>
      <c r="K49" s="23">
        <f t="shared" si="6"/>
        <v>0</v>
      </c>
      <c r="L49" s="23" t="str">
        <f t="shared" si="7"/>
        <v>00</v>
      </c>
      <c r="M49" s="23">
        <f t="shared" si="8"/>
        <v>1</v>
      </c>
      <c r="N49" s="23" t="str">
        <f t="shared" si="9"/>
        <v>01</v>
      </c>
      <c r="O49" s="23">
        <f t="shared" si="10"/>
        <v>1900</v>
      </c>
      <c r="P49" s="23" t="str">
        <f t="shared" si="11"/>
        <v>1900</v>
      </c>
      <c r="Q49" s="23" t="str">
        <f t="shared" si="12"/>
        <v>00/01/1900</v>
      </c>
      <c r="R49" s="24" t="str">
        <f t="shared" si="13"/>
        <v>0000</v>
      </c>
      <c r="S49" s="24" t="str">
        <f t="shared" si="14"/>
        <v>00000000</v>
      </c>
      <c r="T49" s="24" t="str">
        <f t="shared" si="15"/>
        <v>0</v>
      </c>
      <c r="U49" s="24" t="str">
        <f t="shared" si="16"/>
        <v>0</v>
      </c>
      <c r="V49" s="24" t="str">
        <f t="shared" si="17"/>
        <v>00000000,00</v>
      </c>
      <c r="W49" s="36" t="str">
        <f t="shared" si="1"/>
        <v/>
      </c>
      <c r="X49" t="str">
        <f t="shared" si="2"/>
        <v/>
      </c>
      <c r="Y49" t="str">
        <f t="shared" si="3"/>
        <v/>
      </c>
    </row>
    <row r="50" spans="1:25" x14ac:dyDescent="0.2">
      <c r="A50" s="38"/>
      <c r="B50" s="39"/>
      <c r="C50" s="40"/>
      <c r="D50" s="38"/>
      <c r="E50" s="38"/>
      <c r="F50" s="41"/>
      <c r="G50" s="45"/>
      <c r="H50" s="45"/>
      <c r="I50" s="23" t="str">
        <f t="shared" si="4"/>
        <v>0000000000000</v>
      </c>
      <c r="J50" s="23" t="str">
        <f t="shared" si="5"/>
        <v>000</v>
      </c>
      <c r="K50" s="23">
        <f t="shared" si="6"/>
        <v>0</v>
      </c>
      <c r="L50" s="23" t="str">
        <f t="shared" si="7"/>
        <v>00</v>
      </c>
      <c r="M50" s="23">
        <f t="shared" si="8"/>
        <v>1</v>
      </c>
      <c r="N50" s="23" t="str">
        <f t="shared" si="9"/>
        <v>01</v>
      </c>
      <c r="O50" s="23">
        <f t="shared" si="10"/>
        <v>1900</v>
      </c>
      <c r="P50" s="23" t="str">
        <f t="shared" si="11"/>
        <v>1900</v>
      </c>
      <c r="Q50" s="23" t="str">
        <f t="shared" si="12"/>
        <v>00/01/1900</v>
      </c>
      <c r="R50" s="24" t="str">
        <f t="shared" si="13"/>
        <v>0000</v>
      </c>
      <c r="S50" s="24" t="str">
        <f t="shared" si="14"/>
        <v>00000000</v>
      </c>
      <c r="T50" s="24" t="str">
        <f t="shared" si="15"/>
        <v>0</v>
      </c>
      <c r="U50" s="24" t="str">
        <f t="shared" si="16"/>
        <v>0</v>
      </c>
      <c r="V50" s="24" t="str">
        <f t="shared" si="17"/>
        <v>00000000,00</v>
      </c>
      <c r="W50" s="36" t="str">
        <f t="shared" si="1"/>
        <v/>
      </c>
      <c r="X50" t="str">
        <f t="shared" si="2"/>
        <v/>
      </c>
      <c r="Y50" t="str">
        <f t="shared" si="3"/>
        <v/>
      </c>
    </row>
    <row r="51" spans="1:25" x14ac:dyDescent="0.2">
      <c r="A51" s="38"/>
      <c r="B51" s="39"/>
      <c r="C51" s="40"/>
      <c r="D51" s="38"/>
      <c r="E51" s="38"/>
      <c r="F51" s="41"/>
      <c r="G51" s="45"/>
      <c r="H51" s="45"/>
      <c r="I51" s="23" t="str">
        <f t="shared" si="4"/>
        <v>0000000000000</v>
      </c>
      <c r="J51" s="23" t="str">
        <f t="shared" si="5"/>
        <v>000</v>
      </c>
      <c r="K51" s="23">
        <f t="shared" si="6"/>
        <v>0</v>
      </c>
      <c r="L51" s="23" t="str">
        <f t="shared" si="7"/>
        <v>00</v>
      </c>
      <c r="M51" s="23">
        <f t="shared" si="8"/>
        <v>1</v>
      </c>
      <c r="N51" s="23" t="str">
        <f t="shared" si="9"/>
        <v>01</v>
      </c>
      <c r="O51" s="23">
        <f t="shared" si="10"/>
        <v>1900</v>
      </c>
      <c r="P51" s="23" t="str">
        <f t="shared" si="11"/>
        <v>1900</v>
      </c>
      <c r="Q51" s="23" t="str">
        <f t="shared" si="12"/>
        <v>00/01/1900</v>
      </c>
      <c r="R51" s="24" t="str">
        <f t="shared" si="13"/>
        <v>0000</v>
      </c>
      <c r="S51" s="24" t="str">
        <f t="shared" si="14"/>
        <v>00000000</v>
      </c>
      <c r="T51" s="24" t="str">
        <f t="shared" si="15"/>
        <v>0</v>
      </c>
      <c r="U51" s="24" t="str">
        <f t="shared" si="16"/>
        <v>0</v>
      </c>
      <c r="V51" s="24" t="str">
        <f t="shared" si="17"/>
        <v>00000000,00</v>
      </c>
      <c r="W51" s="36" t="str">
        <f t="shared" si="1"/>
        <v/>
      </c>
      <c r="X51" t="str">
        <f t="shared" si="2"/>
        <v/>
      </c>
      <c r="Y51" t="str">
        <f t="shared" si="3"/>
        <v/>
      </c>
    </row>
    <row r="52" spans="1:25" x14ac:dyDescent="0.2">
      <c r="A52" s="38"/>
      <c r="B52" s="39"/>
      <c r="C52" s="40"/>
      <c r="D52" s="38"/>
      <c r="E52" s="38"/>
      <c r="F52" s="41"/>
      <c r="G52" s="45"/>
      <c r="H52" s="45"/>
      <c r="I52" s="23" t="str">
        <f t="shared" si="4"/>
        <v>0000000000000</v>
      </c>
      <c r="J52" s="23" t="str">
        <f t="shared" si="5"/>
        <v>000</v>
      </c>
      <c r="K52" s="23">
        <f t="shared" si="6"/>
        <v>0</v>
      </c>
      <c r="L52" s="23" t="str">
        <f t="shared" si="7"/>
        <v>00</v>
      </c>
      <c r="M52" s="23">
        <f t="shared" si="8"/>
        <v>1</v>
      </c>
      <c r="N52" s="23" t="str">
        <f t="shared" si="9"/>
        <v>01</v>
      </c>
      <c r="O52" s="23">
        <f t="shared" si="10"/>
        <v>1900</v>
      </c>
      <c r="P52" s="23" t="str">
        <f t="shared" si="11"/>
        <v>1900</v>
      </c>
      <c r="Q52" s="23" t="str">
        <f t="shared" si="12"/>
        <v>00/01/1900</v>
      </c>
      <c r="R52" s="24" t="str">
        <f t="shared" si="13"/>
        <v>0000</v>
      </c>
      <c r="S52" s="24" t="str">
        <f t="shared" si="14"/>
        <v>00000000</v>
      </c>
      <c r="T52" s="24" t="str">
        <f t="shared" si="15"/>
        <v>0</v>
      </c>
      <c r="U52" s="24" t="str">
        <f t="shared" si="16"/>
        <v>0</v>
      </c>
      <c r="V52" s="24" t="str">
        <f t="shared" si="17"/>
        <v>00000000,00</v>
      </c>
      <c r="W52" s="36" t="str">
        <f t="shared" si="1"/>
        <v/>
      </c>
      <c r="X52" t="str">
        <f t="shared" si="2"/>
        <v/>
      </c>
      <c r="Y52" t="str">
        <f t="shared" si="3"/>
        <v/>
      </c>
    </row>
    <row r="53" spans="1:25" x14ac:dyDescent="0.2">
      <c r="A53" s="38"/>
      <c r="B53" s="39"/>
      <c r="C53" s="40"/>
      <c r="D53" s="38"/>
      <c r="E53" s="38"/>
      <c r="F53" s="41"/>
      <c r="G53" s="45"/>
      <c r="H53" s="45"/>
      <c r="I53" s="23" t="str">
        <f t="shared" si="4"/>
        <v>0000000000000</v>
      </c>
      <c r="J53" s="23" t="str">
        <f t="shared" si="5"/>
        <v>000</v>
      </c>
      <c r="K53" s="23">
        <f t="shared" si="6"/>
        <v>0</v>
      </c>
      <c r="L53" s="23" t="str">
        <f t="shared" si="7"/>
        <v>00</v>
      </c>
      <c r="M53" s="23">
        <f t="shared" si="8"/>
        <v>1</v>
      </c>
      <c r="N53" s="23" t="str">
        <f t="shared" si="9"/>
        <v>01</v>
      </c>
      <c r="O53" s="23">
        <f t="shared" si="10"/>
        <v>1900</v>
      </c>
      <c r="P53" s="23" t="str">
        <f t="shared" si="11"/>
        <v>1900</v>
      </c>
      <c r="Q53" s="23" t="str">
        <f t="shared" si="12"/>
        <v>00/01/1900</v>
      </c>
      <c r="R53" s="24" t="str">
        <f t="shared" si="13"/>
        <v>0000</v>
      </c>
      <c r="S53" s="24" t="str">
        <f t="shared" si="14"/>
        <v>00000000</v>
      </c>
      <c r="T53" s="24" t="str">
        <f t="shared" si="15"/>
        <v>0</v>
      </c>
      <c r="U53" s="24" t="str">
        <f t="shared" si="16"/>
        <v>0</v>
      </c>
      <c r="V53" s="24" t="str">
        <f t="shared" si="17"/>
        <v>00000000,00</v>
      </c>
      <c r="W53" s="36" t="str">
        <f t="shared" si="1"/>
        <v/>
      </c>
      <c r="X53" t="str">
        <f t="shared" si="2"/>
        <v/>
      </c>
      <c r="Y53" t="str">
        <f t="shared" si="3"/>
        <v/>
      </c>
    </row>
    <row r="54" spans="1:25" x14ac:dyDescent="0.2">
      <c r="A54" s="38"/>
      <c r="B54" s="39"/>
      <c r="C54" s="40"/>
      <c r="D54" s="38"/>
      <c r="E54" s="38"/>
      <c r="F54" s="41"/>
      <c r="G54" s="45"/>
      <c r="H54" s="45"/>
      <c r="I54" s="23" t="str">
        <f t="shared" si="4"/>
        <v>0000000000000</v>
      </c>
      <c r="J54" s="23" t="str">
        <f t="shared" si="5"/>
        <v>000</v>
      </c>
      <c r="K54" s="23">
        <f t="shared" si="6"/>
        <v>0</v>
      </c>
      <c r="L54" s="23" t="str">
        <f t="shared" si="7"/>
        <v>00</v>
      </c>
      <c r="M54" s="23">
        <f t="shared" si="8"/>
        <v>1</v>
      </c>
      <c r="N54" s="23" t="str">
        <f t="shared" si="9"/>
        <v>01</v>
      </c>
      <c r="O54" s="23">
        <f t="shared" si="10"/>
        <v>1900</v>
      </c>
      <c r="P54" s="23" t="str">
        <f t="shared" si="11"/>
        <v>1900</v>
      </c>
      <c r="Q54" s="23" t="str">
        <f t="shared" si="12"/>
        <v>00/01/1900</v>
      </c>
      <c r="R54" s="24" t="str">
        <f t="shared" si="13"/>
        <v>0000</v>
      </c>
      <c r="S54" s="24" t="str">
        <f t="shared" si="14"/>
        <v>00000000</v>
      </c>
      <c r="T54" s="24" t="str">
        <f t="shared" si="15"/>
        <v>0</v>
      </c>
      <c r="U54" s="24" t="str">
        <f t="shared" si="16"/>
        <v>0</v>
      </c>
      <c r="V54" s="24" t="str">
        <f t="shared" si="17"/>
        <v>00000000,00</v>
      </c>
      <c r="W54" s="36" t="str">
        <f t="shared" si="1"/>
        <v/>
      </c>
      <c r="X54" t="str">
        <f t="shared" si="2"/>
        <v/>
      </c>
      <c r="Y54" t="str">
        <f t="shared" si="3"/>
        <v/>
      </c>
    </row>
    <row r="55" spans="1:25" x14ac:dyDescent="0.2">
      <c r="A55" s="38"/>
      <c r="B55" s="39"/>
      <c r="C55" s="40"/>
      <c r="D55" s="38"/>
      <c r="E55" s="38"/>
      <c r="F55" s="41"/>
      <c r="G55" s="45"/>
      <c r="H55" s="45"/>
      <c r="I55" s="23" t="str">
        <f t="shared" si="4"/>
        <v>0000000000000</v>
      </c>
      <c r="J55" s="23" t="str">
        <f t="shared" si="5"/>
        <v>000</v>
      </c>
      <c r="K55" s="23">
        <f t="shared" si="6"/>
        <v>0</v>
      </c>
      <c r="L55" s="23" t="str">
        <f t="shared" si="7"/>
        <v>00</v>
      </c>
      <c r="M55" s="23">
        <f t="shared" si="8"/>
        <v>1</v>
      </c>
      <c r="N55" s="23" t="str">
        <f t="shared" si="9"/>
        <v>01</v>
      </c>
      <c r="O55" s="23">
        <f t="shared" si="10"/>
        <v>1900</v>
      </c>
      <c r="P55" s="23" t="str">
        <f t="shared" si="11"/>
        <v>1900</v>
      </c>
      <c r="Q55" s="23" t="str">
        <f t="shared" si="12"/>
        <v>00/01/1900</v>
      </c>
      <c r="R55" s="24" t="str">
        <f t="shared" si="13"/>
        <v>0000</v>
      </c>
      <c r="S55" s="24" t="str">
        <f t="shared" si="14"/>
        <v>00000000</v>
      </c>
      <c r="T55" s="24" t="str">
        <f t="shared" si="15"/>
        <v>0</v>
      </c>
      <c r="U55" s="24" t="str">
        <f t="shared" si="16"/>
        <v>0</v>
      </c>
      <c r="V55" s="24" t="str">
        <f t="shared" si="17"/>
        <v>00000000,00</v>
      </c>
      <c r="W55" s="36" t="str">
        <f t="shared" si="1"/>
        <v/>
      </c>
      <c r="X55" t="str">
        <f t="shared" si="2"/>
        <v/>
      </c>
      <c r="Y55" t="str">
        <f t="shared" si="3"/>
        <v/>
      </c>
    </row>
    <row r="56" spans="1:25" x14ac:dyDescent="0.2">
      <c r="A56" s="38"/>
      <c r="B56" s="39"/>
      <c r="C56" s="40"/>
      <c r="D56" s="38"/>
      <c r="E56" s="38"/>
      <c r="F56" s="41"/>
      <c r="G56" s="45"/>
      <c r="H56" s="45"/>
      <c r="I56" s="23" t="str">
        <f t="shared" si="4"/>
        <v>0000000000000</v>
      </c>
      <c r="J56" s="23" t="str">
        <f t="shared" si="5"/>
        <v>000</v>
      </c>
      <c r="K56" s="23">
        <f t="shared" si="6"/>
        <v>0</v>
      </c>
      <c r="L56" s="23" t="str">
        <f t="shared" si="7"/>
        <v>00</v>
      </c>
      <c r="M56" s="23">
        <f t="shared" si="8"/>
        <v>1</v>
      </c>
      <c r="N56" s="23" t="str">
        <f t="shared" si="9"/>
        <v>01</v>
      </c>
      <c r="O56" s="23">
        <f t="shared" si="10"/>
        <v>1900</v>
      </c>
      <c r="P56" s="23" t="str">
        <f t="shared" si="11"/>
        <v>1900</v>
      </c>
      <c r="Q56" s="23" t="str">
        <f t="shared" si="12"/>
        <v>00/01/1900</v>
      </c>
      <c r="R56" s="24" t="str">
        <f t="shared" si="13"/>
        <v>0000</v>
      </c>
      <c r="S56" s="24" t="str">
        <f t="shared" si="14"/>
        <v>00000000</v>
      </c>
      <c r="T56" s="24" t="str">
        <f t="shared" si="15"/>
        <v>0</v>
      </c>
      <c r="U56" s="24" t="str">
        <f t="shared" si="16"/>
        <v>0</v>
      </c>
      <c r="V56" s="24" t="str">
        <f t="shared" si="17"/>
        <v>00000000,00</v>
      </c>
      <c r="W56" s="36" t="str">
        <f t="shared" si="1"/>
        <v/>
      </c>
      <c r="X56" t="str">
        <f t="shared" si="2"/>
        <v/>
      </c>
      <c r="Y56" t="str">
        <f t="shared" si="3"/>
        <v/>
      </c>
    </row>
    <row r="57" spans="1:25" x14ac:dyDescent="0.2">
      <c r="A57" s="38"/>
      <c r="B57" s="39"/>
      <c r="C57" s="40"/>
      <c r="D57" s="38"/>
      <c r="E57" s="38"/>
      <c r="F57" s="41"/>
      <c r="G57" s="45"/>
      <c r="H57" s="45"/>
      <c r="I57" s="23" t="str">
        <f t="shared" si="4"/>
        <v>0000000000000</v>
      </c>
      <c r="J57" s="23" t="str">
        <f t="shared" si="5"/>
        <v>000</v>
      </c>
      <c r="K57" s="23">
        <f t="shared" si="6"/>
        <v>0</v>
      </c>
      <c r="L57" s="23" t="str">
        <f t="shared" si="7"/>
        <v>00</v>
      </c>
      <c r="M57" s="23">
        <f t="shared" si="8"/>
        <v>1</v>
      </c>
      <c r="N57" s="23" t="str">
        <f t="shared" si="9"/>
        <v>01</v>
      </c>
      <c r="O57" s="23">
        <f t="shared" si="10"/>
        <v>1900</v>
      </c>
      <c r="P57" s="23" t="str">
        <f t="shared" si="11"/>
        <v>1900</v>
      </c>
      <c r="Q57" s="23" t="str">
        <f t="shared" si="12"/>
        <v>00/01/1900</v>
      </c>
      <c r="R57" s="24" t="str">
        <f t="shared" si="13"/>
        <v>0000</v>
      </c>
      <c r="S57" s="24" t="str">
        <f t="shared" si="14"/>
        <v>00000000</v>
      </c>
      <c r="T57" s="24" t="str">
        <f t="shared" si="15"/>
        <v>0</v>
      </c>
      <c r="U57" s="24" t="str">
        <f t="shared" si="16"/>
        <v>0</v>
      </c>
      <c r="V57" s="24" t="str">
        <f t="shared" si="17"/>
        <v>00000000,00</v>
      </c>
      <c r="W57" s="36" t="str">
        <f t="shared" si="1"/>
        <v/>
      </c>
      <c r="X57" t="str">
        <f t="shared" si="2"/>
        <v/>
      </c>
      <c r="Y57" t="str">
        <f t="shared" si="3"/>
        <v/>
      </c>
    </row>
    <row r="58" spans="1:25" x14ac:dyDescent="0.2">
      <c r="A58" s="38">
        <v>901</v>
      </c>
      <c r="B58" s="46">
        <v>30500006613</v>
      </c>
      <c r="C58" s="2">
        <v>43838</v>
      </c>
      <c r="D58" s="38">
        <v>1</v>
      </c>
      <c r="E58" s="65">
        <v>20003890</v>
      </c>
      <c r="F58" t="s">
        <v>50</v>
      </c>
      <c r="G58" s="45" t="s">
        <v>51</v>
      </c>
      <c r="H58" s="61" t="s">
        <v>146</v>
      </c>
      <c r="I58" s="23" t="str">
        <f t="shared" si="4"/>
        <v>0030500006613</v>
      </c>
      <c r="J58" s="23" t="str">
        <f t="shared" si="5"/>
        <v>901</v>
      </c>
      <c r="K58" s="23">
        <f t="shared" si="6"/>
        <v>8</v>
      </c>
      <c r="L58" s="23" t="str">
        <f t="shared" si="7"/>
        <v>08</v>
      </c>
      <c r="M58" s="23">
        <f t="shared" si="8"/>
        <v>1</v>
      </c>
      <c r="N58" s="23" t="str">
        <f t="shared" si="9"/>
        <v>01</v>
      </c>
      <c r="O58" s="23">
        <f t="shared" si="10"/>
        <v>2020</v>
      </c>
      <c r="P58" s="23" t="str">
        <f t="shared" si="11"/>
        <v>2020</v>
      </c>
      <c r="Q58" s="23" t="str">
        <f t="shared" si="12"/>
        <v>08/01/2020</v>
      </c>
      <c r="R58" s="24" t="str">
        <f t="shared" si="13"/>
        <v>0001</v>
      </c>
      <c r="S58" s="24" t="str">
        <f t="shared" si="14"/>
        <v>20003890</v>
      </c>
      <c r="T58" s="24" t="str">
        <f t="shared" si="15"/>
        <v>F</v>
      </c>
      <c r="U58" s="24" t="str">
        <f t="shared" si="16"/>
        <v>A</v>
      </c>
      <c r="V58" s="24" t="str">
        <f t="shared" si="17"/>
        <v>00000045,00</v>
      </c>
      <c r="W58" s="36" t="str">
        <f t="shared" si="1"/>
        <v>901003050000661308/01/2020000120003890FA00000045,00</v>
      </c>
      <c r="X58">
        <f t="shared" si="2"/>
        <v>51</v>
      </c>
      <c r="Y58" t="str">
        <f t="shared" si="3"/>
        <v>OK</v>
      </c>
    </row>
    <row r="59" spans="1:25" x14ac:dyDescent="0.2">
      <c r="A59" s="38">
        <v>901</v>
      </c>
      <c r="B59" s="46">
        <v>30500006613</v>
      </c>
      <c r="C59" s="2">
        <v>43861</v>
      </c>
      <c r="D59" s="38">
        <v>1</v>
      </c>
      <c r="E59" s="65">
        <v>20019880</v>
      </c>
      <c r="F59" t="s">
        <v>50</v>
      </c>
      <c r="G59" s="45" t="s">
        <v>51</v>
      </c>
      <c r="H59" s="61" t="s">
        <v>147</v>
      </c>
      <c r="I59" s="23" t="str">
        <f t="shared" si="4"/>
        <v>0030500006613</v>
      </c>
      <c r="J59" s="23" t="str">
        <f t="shared" si="5"/>
        <v>901</v>
      </c>
      <c r="K59" s="23">
        <f t="shared" si="6"/>
        <v>31</v>
      </c>
      <c r="L59" s="23" t="str">
        <f t="shared" si="7"/>
        <v>31</v>
      </c>
      <c r="M59" s="23">
        <f t="shared" si="8"/>
        <v>1</v>
      </c>
      <c r="N59" s="23" t="str">
        <f t="shared" si="9"/>
        <v>01</v>
      </c>
      <c r="O59" s="23">
        <f t="shared" si="10"/>
        <v>2020</v>
      </c>
      <c r="P59" s="23" t="str">
        <f t="shared" si="11"/>
        <v>2020</v>
      </c>
      <c r="Q59" s="23" t="str">
        <f t="shared" si="12"/>
        <v>31/01/2020</v>
      </c>
      <c r="R59" s="24" t="str">
        <f t="shared" si="13"/>
        <v>0001</v>
      </c>
      <c r="S59" s="24" t="str">
        <f t="shared" si="14"/>
        <v>20019880</v>
      </c>
      <c r="T59" s="24" t="str">
        <f t="shared" si="15"/>
        <v>F</v>
      </c>
      <c r="U59" s="24" t="str">
        <f t="shared" si="16"/>
        <v>A</v>
      </c>
      <c r="V59" s="24" t="str">
        <f t="shared" si="17"/>
        <v>00000036,00</v>
      </c>
      <c r="W59" s="36" t="str">
        <f t="shared" si="1"/>
        <v>901003050000661331/01/2020000120019880FA00000036,00</v>
      </c>
      <c r="X59">
        <f t="shared" si="2"/>
        <v>51</v>
      </c>
      <c r="Y59" t="str">
        <f t="shared" si="3"/>
        <v>OK</v>
      </c>
    </row>
    <row r="60" spans="1:25" x14ac:dyDescent="0.2">
      <c r="A60" s="38">
        <v>901</v>
      </c>
      <c r="B60" s="46">
        <v>30500037217</v>
      </c>
      <c r="C60" s="2">
        <v>43852</v>
      </c>
      <c r="D60" s="38">
        <v>1</v>
      </c>
      <c r="E60" s="65">
        <v>21340019</v>
      </c>
      <c r="F60" t="s">
        <v>50</v>
      </c>
      <c r="G60" s="45" t="s">
        <v>51</v>
      </c>
      <c r="H60" s="61" t="s">
        <v>148</v>
      </c>
      <c r="I60" s="23" t="str">
        <f t="shared" si="4"/>
        <v>0030500037217</v>
      </c>
      <c r="J60" s="23" t="str">
        <f t="shared" si="5"/>
        <v>901</v>
      </c>
      <c r="K60" s="23">
        <f t="shared" si="6"/>
        <v>22</v>
      </c>
      <c r="L60" s="23" t="str">
        <f t="shared" si="7"/>
        <v>22</v>
      </c>
      <c r="M60" s="23">
        <f t="shared" si="8"/>
        <v>1</v>
      </c>
      <c r="N60" s="23" t="str">
        <f t="shared" si="9"/>
        <v>01</v>
      </c>
      <c r="O60" s="23">
        <f t="shared" si="10"/>
        <v>2020</v>
      </c>
      <c r="P60" s="23" t="str">
        <f t="shared" si="11"/>
        <v>2020</v>
      </c>
      <c r="Q60" s="23" t="str">
        <f t="shared" si="12"/>
        <v>22/01/2020</v>
      </c>
      <c r="R60" s="24" t="str">
        <f t="shared" si="13"/>
        <v>0001</v>
      </c>
      <c r="S60" s="24" t="str">
        <f t="shared" si="14"/>
        <v>21340019</v>
      </c>
      <c r="T60" s="24" t="str">
        <f t="shared" si="15"/>
        <v>F</v>
      </c>
      <c r="U60" s="24" t="str">
        <f t="shared" si="16"/>
        <v>A</v>
      </c>
      <c r="V60" s="24" t="str">
        <f t="shared" si="17"/>
        <v>00000050,02</v>
      </c>
      <c r="W60" s="36" t="str">
        <f t="shared" si="1"/>
        <v>901003050003721722/01/2020000121340019FA00000050,02</v>
      </c>
      <c r="X60">
        <f t="shared" si="2"/>
        <v>51</v>
      </c>
      <c r="Y60" t="str">
        <f t="shared" si="3"/>
        <v>OK</v>
      </c>
    </row>
    <row r="61" spans="1:25" x14ac:dyDescent="0.2">
      <c r="A61" s="38">
        <v>901</v>
      </c>
      <c r="B61" s="46">
        <v>30505459179</v>
      </c>
      <c r="C61" s="2">
        <v>43844</v>
      </c>
      <c r="D61" s="38">
        <v>1</v>
      </c>
      <c r="E61" s="65">
        <v>15935000</v>
      </c>
      <c r="F61" t="s">
        <v>50</v>
      </c>
      <c r="G61" s="45" t="s">
        <v>51</v>
      </c>
      <c r="H61" s="61" t="s">
        <v>145</v>
      </c>
      <c r="I61" s="23" t="str">
        <f t="shared" si="4"/>
        <v>0030505459179</v>
      </c>
      <c r="J61" s="23" t="str">
        <f t="shared" si="5"/>
        <v>901</v>
      </c>
      <c r="K61" s="23">
        <f t="shared" si="6"/>
        <v>14</v>
      </c>
      <c r="L61" s="23" t="str">
        <f t="shared" si="7"/>
        <v>14</v>
      </c>
      <c r="M61" s="23">
        <f t="shared" si="8"/>
        <v>1</v>
      </c>
      <c r="N61" s="23" t="str">
        <f t="shared" si="9"/>
        <v>01</v>
      </c>
      <c r="O61" s="23">
        <f t="shared" si="10"/>
        <v>2020</v>
      </c>
      <c r="P61" s="23" t="str">
        <f t="shared" si="11"/>
        <v>2020</v>
      </c>
      <c r="Q61" s="23" t="str">
        <f t="shared" si="12"/>
        <v>14/01/2020</v>
      </c>
      <c r="R61" s="24" t="str">
        <f t="shared" si="13"/>
        <v>0001</v>
      </c>
      <c r="S61" s="24" t="str">
        <f t="shared" si="14"/>
        <v>15935000</v>
      </c>
      <c r="T61" s="24" t="str">
        <f t="shared" si="15"/>
        <v>F</v>
      </c>
      <c r="U61" s="24" t="str">
        <f t="shared" si="16"/>
        <v>A</v>
      </c>
      <c r="V61" s="24" t="str">
        <f t="shared" si="17"/>
        <v>00000051,32</v>
      </c>
      <c r="W61" s="36" t="str">
        <f t="shared" si="1"/>
        <v>901003050545917914/01/2020000115935000FA00000051,32</v>
      </c>
      <c r="X61">
        <f t="shared" si="2"/>
        <v>51</v>
      </c>
      <c r="Y61" t="str">
        <f t="shared" si="3"/>
        <v>OK</v>
      </c>
    </row>
    <row r="62" spans="1:25" x14ac:dyDescent="0.2">
      <c r="A62" s="38">
        <v>901</v>
      </c>
      <c r="B62" s="46">
        <v>30516186670</v>
      </c>
      <c r="C62" s="2">
        <v>43838</v>
      </c>
      <c r="D62" s="38">
        <v>1</v>
      </c>
      <c r="E62" s="65">
        <v>48026000</v>
      </c>
      <c r="F62" t="s">
        <v>50</v>
      </c>
      <c r="G62" s="45" t="s">
        <v>51</v>
      </c>
      <c r="H62" s="61" t="s">
        <v>149</v>
      </c>
      <c r="I62" s="23" t="str">
        <f t="shared" si="4"/>
        <v>0030516186670</v>
      </c>
      <c r="J62" s="23" t="str">
        <f t="shared" si="5"/>
        <v>901</v>
      </c>
      <c r="K62" s="23">
        <f t="shared" si="6"/>
        <v>8</v>
      </c>
      <c r="L62" s="23" t="str">
        <f t="shared" si="7"/>
        <v>08</v>
      </c>
      <c r="M62" s="23">
        <f t="shared" si="8"/>
        <v>1</v>
      </c>
      <c r="N62" s="23" t="str">
        <f t="shared" si="9"/>
        <v>01</v>
      </c>
      <c r="O62" s="23">
        <f t="shared" si="10"/>
        <v>2020</v>
      </c>
      <c r="P62" s="23" t="str">
        <f t="shared" si="11"/>
        <v>2020</v>
      </c>
      <c r="Q62" s="23" t="str">
        <f t="shared" si="12"/>
        <v>08/01/2020</v>
      </c>
      <c r="R62" s="24" t="str">
        <f t="shared" si="13"/>
        <v>0001</v>
      </c>
      <c r="S62" s="24" t="str">
        <f t="shared" si="14"/>
        <v>48026000</v>
      </c>
      <c r="T62" s="24" t="str">
        <f t="shared" si="15"/>
        <v>F</v>
      </c>
      <c r="U62" s="24" t="str">
        <f t="shared" si="16"/>
        <v>A</v>
      </c>
      <c r="V62" s="24" t="str">
        <f t="shared" si="17"/>
        <v>00000105,95</v>
      </c>
      <c r="W62" s="36" t="str">
        <f t="shared" si="1"/>
        <v>901003051618667008/01/2020000148026000FA00000105,95</v>
      </c>
      <c r="X62">
        <f t="shared" si="2"/>
        <v>51</v>
      </c>
      <c r="Y62" t="str">
        <f t="shared" si="3"/>
        <v>OK</v>
      </c>
    </row>
    <row r="63" spans="1:25" x14ac:dyDescent="0.2">
      <c r="A63" s="38">
        <v>901</v>
      </c>
      <c r="B63" s="46">
        <v>30537882871</v>
      </c>
      <c r="C63" s="2">
        <v>43843</v>
      </c>
      <c r="D63" s="38">
        <v>1</v>
      </c>
      <c r="E63" s="65">
        <v>59806500</v>
      </c>
      <c r="F63" t="s">
        <v>50</v>
      </c>
      <c r="G63" s="45" t="s">
        <v>51</v>
      </c>
      <c r="H63" s="61" t="s">
        <v>150</v>
      </c>
      <c r="I63" s="23" t="str">
        <f t="shared" si="4"/>
        <v>0030537882871</v>
      </c>
      <c r="J63" s="23" t="str">
        <f t="shared" si="5"/>
        <v>901</v>
      </c>
      <c r="K63" s="23">
        <f t="shared" si="6"/>
        <v>13</v>
      </c>
      <c r="L63" s="23" t="str">
        <f t="shared" si="7"/>
        <v>13</v>
      </c>
      <c r="M63" s="23">
        <f t="shared" si="8"/>
        <v>1</v>
      </c>
      <c r="N63" s="23" t="str">
        <f t="shared" si="9"/>
        <v>01</v>
      </c>
      <c r="O63" s="23">
        <f t="shared" si="10"/>
        <v>2020</v>
      </c>
      <c r="P63" s="23" t="str">
        <f t="shared" si="11"/>
        <v>2020</v>
      </c>
      <c r="Q63" s="23" t="str">
        <f t="shared" si="12"/>
        <v>13/01/2020</v>
      </c>
      <c r="R63" s="24" t="str">
        <f t="shared" si="13"/>
        <v>0001</v>
      </c>
      <c r="S63" s="24" t="str">
        <f t="shared" si="14"/>
        <v>59806500</v>
      </c>
      <c r="T63" s="24" t="str">
        <f t="shared" si="15"/>
        <v>F</v>
      </c>
      <c r="U63" s="24" t="str">
        <f t="shared" si="16"/>
        <v>A</v>
      </c>
      <c r="V63" s="24" t="str">
        <f t="shared" si="17"/>
        <v>00000012,15</v>
      </c>
      <c r="W63" s="36" t="str">
        <f t="shared" si="1"/>
        <v>901003053788287113/01/2020000159806500FA00000012,15</v>
      </c>
      <c r="X63">
        <f t="shared" si="2"/>
        <v>51</v>
      </c>
      <c r="Y63" t="str">
        <f t="shared" si="3"/>
        <v>OK</v>
      </c>
    </row>
    <row r="64" spans="1:25" x14ac:dyDescent="0.2">
      <c r="A64" s="38">
        <v>901</v>
      </c>
      <c r="B64" s="46">
        <v>30537882871</v>
      </c>
      <c r="C64" s="2">
        <v>43857</v>
      </c>
      <c r="D64" s="38">
        <v>1</v>
      </c>
      <c r="E64" s="65">
        <v>60777900</v>
      </c>
      <c r="F64" t="s">
        <v>50</v>
      </c>
      <c r="G64" s="45" t="s">
        <v>51</v>
      </c>
      <c r="H64" s="61" t="s">
        <v>150</v>
      </c>
      <c r="I64" s="23" t="str">
        <f t="shared" si="4"/>
        <v>0030537882871</v>
      </c>
      <c r="J64" s="23" t="str">
        <f t="shared" si="5"/>
        <v>901</v>
      </c>
      <c r="K64" s="23">
        <f t="shared" si="6"/>
        <v>27</v>
      </c>
      <c r="L64" s="23" t="str">
        <f t="shared" si="7"/>
        <v>27</v>
      </c>
      <c r="M64" s="23">
        <f t="shared" si="8"/>
        <v>1</v>
      </c>
      <c r="N64" s="23" t="str">
        <f t="shared" si="9"/>
        <v>01</v>
      </c>
      <c r="O64" s="23">
        <f t="shared" si="10"/>
        <v>2020</v>
      </c>
      <c r="P64" s="23" t="str">
        <f t="shared" si="11"/>
        <v>2020</v>
      </c>
      <c r="Q64" s="23" t="str">
        <f t="shared" si="12"/>
        <v>27/01/2020</v>
      </c>
      <c r="R64" s="24" t="str">
        <f t="shared" si="13"/>
        <v>0001</v>
      </c>
      <c r="S64" s="24" t="str">
        <f t="shared" si="14"/>
        <v>60777900</v>
      </c>
      <c r="T64" s="24" t="str">
        <f t="shared" si="15"/>
        <v>F</v>
      </c>
      <c r="U64" s="24" t="str">
        <f t="shared" si="16"/>
        <v>A</v>
      </c>
      <c r="V64" s="24" t="str">
        <f t="shared" si="17"/>
        <v>00000012,15</v>
      </c>
      <c r="W64" s="36" t="str">
        <f t="shared" si="1"/>
        <v>901003053788287127/01/2020000160777900FA00000012,15</v>
      </c>
      <c r="X64">
        <f t="shared" si="2"/>
        <v>51</v>
      </c>
      <c r="Y64" t="str">
        <f t="shared" si="3"/>
        <v>OK</v>
      </c>
    </row>
    <row r="65" spans="1:25" x14ac:dyDescent="0.2">
      <c r="A65" s="38">
        <v>901</v>
      </c>
      <c r="B65" s="46">
        <v>30541849307</v>
      </c>
      <c r="C65" s="2">
        <v>43854</v>
      </c>
      <c r="D65" s="38">
        <v>1</v>
      </c>
      <c r="E65" s="65">
        <v>17390000</v>
      </c>
      <c r="F65" t="s">
        <v>50</v>
      </c>
      <c r="G65" s="45" t="s">
        <v>51</v>
      </c>
      <c r="H65" s="61" t="s">
        <v>151</v>
      </c>
      <c r="I65" s="23" t="str">
        <f t="shared" si="4"/>
        <v>0030541849307</v>
      </c>
      <c r="J65" s="23" t="str">
        <f t="shared" si="5"/>
        <v>901</v>
      </c>
      <c r="K65" s="23">
        <f t="shared" si="6"/>
        <v>24</v>
      </c>
      <c r="L65" s="23" t="str">
        <f t="shared" si="7"/>
        <v>24</v>
      </c>
      <c r="M65" s="23">
        <f t="shared" si="8"/>
        <v>1</v>
      </c>
      <c r="N65" s="23" t="str">
        <f t="shared" si="9"/>
        <v>01</v>
      </c>
      <c r="O65" s="23">
        <f t="shared" si="10"/>
        <v>2020</v>
      </c>
      <c r="P65" s="23" t="str">
        <f t="shared" si="11"/>
        <v>2020</v>
      </c>
      <c r="Q65" s="23" t="str">
        <f t="shared" si="12"/>
        <v>24/01/2020</v>
      </c>
      <c r="R65" s="24" t="str">
        <f t="shared" si="13"/>
        <v>0001</v>
      </c>
      <c r="S65" s="24" t="str">
        <f t="shared" si="14"/>
        <v>17390000</v>
      </c>
      <c r="T65" s="24" t="str">
        <f t="shared" si="15"/>
        <v>F</v>
      </c>
      <c r="U65" s="24" t="str">
        <f t="shared" si="16"/>
        <v>A</v>
      </c>
      <c r="V65" s="24" t="str">
        <f t="shared" si="17"/>
        <v>00000629,68</v>
      </c>
      <c r="W65" s="36" t="str">
        <f t="shared" si="1"/>
        <v>901003054184930724/01/2020000117390000FA00000629,68</v>
      </c>
      <c r="X65">
        <f t="shared" si="2"/>
        <v>51</v>
      </c>
      <c r="Y65" t="str">
        <f t="shared" si="3"/>
        <v>OK</v>
      </c>
    </row>
    <row r="66" spans="1:25" x14ac:dyDescent="0.2">
      <c r="A66" s="38">
        <v>901</v>
      </c>
      <c r="B66" s="46">
        <v>30571421352</v>
      </c>
      <c r="C66" s="2">
        <v>43861</v>
      </c>
      <c r="D66" s="38">
        <v>1</v>
      </c>
      <c r="E66" s="65">
        <v>26036653</v>
      </c>
      <c r="F66" t="s">
        <v>50</v>
      </c>
      <c r="G66" s="45" t="s">
        <v>51</v>
      </c>
      <c r="H66" s="61" t="s">
        <v>152</v>
      </c>
      <c r="I66" s="23" t="str">
        <f t="shared" si="4"/>
        <v>0030571421352</v>
      </c>
      <c r="J66" s="23" t="str">
        <f t="shared" si="5"/>
        <v>901</v>
      </c>
      <c r="K66" s="23">
        <f t="shared" si="6"/>
        <v>31</v>
      </c>
      <c r="L66" s="23" t="str">
        <f t="shared" si="7"/>
        <v>31</v>
      </c>
      <c r="M66" s="23">
        <f t="shared" si="8"/>
        <v>1</v>
      </c>
      <c r="N66" s="23" t="str">
        <f t="shared" si="9"/>
        <v>01</v>
      </c>
      <c r="O66" s="23">
        <f t="shared" si="10"/>
        <v>2020</v>
      </c>
      <c r="P66" s="23" t="str">
        <f t="shared" si="11"/>
        <v>2020</v>
      </c>
      <c r="Q66" s="23" t="str">
        <f t="shared" si="12"/>
        <v>31/01/2020</v>
      </c>
      <c r="R66" s="24" t="str">
        <f t="shared" si="13"/>
        <v>0001</v>
      </c>
      <c r="S66" s="24" t="str">
        <f t="shared" si="14"/>
        <v>26036653</v>
      </c>
      <c r="T66" s="24" t="str">
        <f t="shared" si="15"/>
        <v>F</v>
      </c>
      <c r="U66" s="24" t="str">
        <f t="shared" si="16"/>
        <v>A</v>
      </c>
      <c r="V66" s="24" t="str">
        <f t="shared" si="17"/>
        <v>00000021,42</v>
      </c>
      <c r="W66" s="36" t="str">
        <f t="shared" si="1"/>
        <v>901003057142135231/01/2020000126036653FA00000021,42</v>
      </c>
      <c r="X66">
        <f t="shared" si="2"/>
        <v>51</v>
      </c>
      <c r="Y66" t="str">
        <f t="shared" si="3"/>
        <v>OK</v>
      </c>
    </row>
    <row r="67" spans="1:25" x14ac:dyDescent="0.2">
      <c r="A67" s="38">
        <v>901</v>
      </c>
      <c r="B67" s="46">
        <v>30571421352</v>
      </c>
      <c r="C67" s="2">
        <v>43861</v>
      </c>
      <c r="D67" s="38">
        <v>1</v>
      </c>
      <c r="E67" s="65">
        <v>26036653</v>
      </c>
      <c r="F67" t="s">
        <v>50</v>
      </c>
      <c r="G67" s="45" t="s">
        <v>51</v>
      </c>
      <c r="H67" s="61" t="s">
        <v>147</v>
      </c>
      <c r="I67" s="23" t="str">
        <f t="shared" si="4"/>
        <v>0030571421352</v>
      </c>
      <c r="J67" s="23" t="str">
        <f t="shared" si="5"/>
        <v>901</v>
      </c>
      <c r="K67" s="23">
        <f t="shared" si="6"/>
        <v>31</v>
      </c>
      <c r="L67" s="23" t="str">
        <f t="shared" si="7"/>
        <v>31</v>
      </c>
      <c r="M67" s="23">
        <f t="shared" si="8"/>
        <v>1</v>
      </c>
      <c r="N67" s="23" t="str">
        <f t="shared" si="9"/>
        <v>01</v>
      </c>
      <c r="O67" s="23">
        <f t="shared" si="10"/>
        <v>2020</v>
      </c>
      <c r="P67" s="23" t="str">
        <f t="shared" si="11"/>
        <v>2020</v>
      </c>
      <c r="Q67" s="23" t="str">
        <f t="shared" si="12"/>
        <v>31/01/2020</v>
      </c>
      <c r="R67" s="24" t="str">
        <f t="shared" si="13"/>
        <v>0001</v>
      </c>
      <c r="S67" s="24" t="str">
        <f t="shared" si="14"/>
        <v>26036653</v>
      </c>
      <c r="T67" s="24" t="str">
        <f t="shared" si="15"/>
        <v>F</v>
      </c>
      <c r="U67" s="24" t="str">
        <f t="shared" si="16"/>
        <v>A</v>
      </c>
      <c r="V67" s="24" t="str">
        <f t="shared" si="17"/>
        <v>00000036,00</v>
      </c>
      <c r="W67" s="36" t="str">
        <f t="shared" si="1"/>
        <v>901003057142135231/01/2020000126036653FA00000036,00</v>
      </c>
      <c r="X67">
        <f t="shared" si="2"/>
        <v>51</v>
      </c>
      <c r="Y67" t="str">
        <f t="shared" si="3"/>
        <v>OK</v>
      </c>
    </row>
    <row r="68" spans="1:25" x14ac:dyDescent="0.2">
      <c r="A68" s="38">
        <v>901</v>
      </c>
      <c r="B68" s="46">
        <v>30620177497</v>
      </c>
      <c r="C68" s="2">
        <v>43861</v>
      </c>
      <c r="D68" s="38">
        <v>1</v>
      </c>
      <c r="E68" s="65">
        <v>60803289</v>
      </c>
      <c r="F68" t="s">
        <v>50</v>
      </c>
      <c r="G68" s="45" t="s">
        <v>51</v>
      </c>
      <c r="H68" s="61" t="s">
        <v>153</v>
      </c>
      <c r="I68" s="23" t="str">
        <f t="shared" si="4"/>
        <v>0030620177497</v>
      </c>
      <c r="J68" s="23" t="str">
        <f t="shared" si="5"/>
        <v>901</v>
      </c>
      <c r="K68" s="23">
        <f t="shared" si="6"/>
        <v>31</v>
      </c>
      <c r="L68" s="23" t="str">
        <f t="shared" si="7"/>
        <v>31</v>
      </c>
      <c r="M68" s="23">
        <f t="shared" si="8"/>
        <v>1</v>
      </c>
      <c r="N68" s="23" t="str">
        <f t="shared" si="9"/>
        <v>01</v>
      </c>
      <c r="O68" s="23">
        <f t="shared" si="10"/>
        <v>2020</v>
      </c>
      <c r="P68" s="23" t="str">
        <f t="shared" si="11"/>
        <v>2020</v>
      </c>
      <c r="Q68" s="23" t="str">
        <f t="shared" si="12"/>
        <v>31/01/2020</v>
      </c>
      <c r="R68" s="24" t="str">
        <f t="shared" si="13"/>
        <v>0001</v>
      </c>
      <c r="S68" s="24" t="str">
        <f t="shared" si="14"/>
        <v>60803289</v>
      </c>
      <c r="T68" s="24" t="str">
        <f t="shared" si="15"/>
        <v>F</v>
      </c>
      <c r="U68" s="24" t="str">
        <f t="shared" si="16"/>
        <v>A</v>
      </c>
      <c r="V68" s="24" t="str">
        <f t="shared" si="17"/>
        <v>00000029,02</v>
      </c>
      <c r="W68" s="36" t="str">
        <f t="shared" si="1"/>
        <v>901003062017749731/01/2020000160803289FA00000029,02</v>
      </c>
      <c r="X68">
        <f t="shared" si="2"/>
        <v>51</v>
      </c>
      <c r="Y68" t="str">
        <f t="shared" si="3"/>
        <v>OK</v>
      </c>
    </row>
    <row r="69" spans="1:25" x14ac:dyDescent="0.2">
      <c r="A69" s="38">
        <v>901</v>
      </c>
      <c r="B69" s="46">
        <v>30639453738</v>
      </c>
      <c r="C69" s="2">
        <v>43849</v>
      </c>
      <c r="D69" s="38">
        <v>1</v>
      </c>
      <c r="E69" s="65">
        <v>36410510</v>
      </c>
      <c r="F69" t="s">
        <v>50</v>
      </c>
      <c r="G69" s="45" t="s">
        <v>51</v>
      </c>
      <c r="H69" s="61" t="s">
        <v>154</v>
      </c>
      <c r="I69" s="23" t="str">
        <f t="shared" si="4"/>
        <v>0030639453738</v>
      </c>
      <c r="J69" s="23" t="str">
        <f t="shared" si="5"/>
        <v>901</v>
      </c>
      <c r="K69" s="23">
        <f t="shared" si="6"/>
        <v>19</v>
      </c>
      <c r="L69" s="23" t="str">
        <f t="shared" si="7"/>
        <v>19</v>
      </c>
      <c r="M69" s="23">
        <f t="shared" si="8"/>
        <v>1</v>
      </c>
      <c r="N69" s="23" t="str">
        <f t="shared" si="9"/>
        <v>01</v>
      </c>
      <c r="O69" s="23">
        <f t="shared" si="10"/>
        <v>2020</v>
      </c>
      <c r="P69" s="23" t="str">
        <f t="shared" si="11"/>
        <v>2020</v>
      </c>
      <c r="Q69" s="23" t="str">
        <f t="shared" si="12"/>
        <v>19/01/2020</v>
      </c>
      <c r="R69" s="24" t="str">
        <f t="shared" si="13"/>
        <v>0001</v>
      </c>
      <c r="S69" s="24" t="str">
        <f t="shared" si="14"/>
        <v>36410510</v>
      </c>
      <c r="T69" s="24" t="str">
        <f t="shared" si="15"/>
        <v>F</v>
      </c>
      <c r="U69" s="24" t="str">
        <f t="shared" si="16"/>
        <v>A</v>
      </c>
      <c r="V69" s="24" t="str">
        <f t="shared" si="17"/>
        <v>00000080,79</v>
      </c>
      <c r="W69" s="36" t="str">
        <f t="shared" si="1"/>
        <v>901003063945373819/01/2020000136410510FA00000080,79</v>
      </c>
      <c r="X69">
        <f t="shared" si="2"/>
        <v>51</v>
      </c>
      <c r="Y69" t="str">
        <f t="shared" si="3"/>
        <v>OK</v>
      </c>
    </row>
    <row r="70" spans="1:25" x14ac:dyDescent="0.2">
      <c r="A70" s="38">
        <v>901</v>
      </c>
      <c r="B70" s="46">
        <v>30639453975</v>
      </c>
      <c r="C70" s="2">
        <v>43853</v>
      </c>
      <c r="D70" s="38">
        <v>1</v>
      </c>
      <c r="E70" s="65">
        <v>53467000</v>
      </c>
      <c r="F70" t="s">
        <v>50</v>
      </c>
      <c r="G70" s="45" t="s">
        <v>51</v>
      </c>
      <c r="H70" s="61" t="s">
        <v>55</v>
      </c>
      <c r="I70" s="23" t="str">
        <f t="shared" si="4"/>
        <v>0030639453975</v>
      </c>
      <c r="J70" s="23" t="str">
        <f t="shared" si="5"/>
        <v>901</v>
      </c>
      <c r="K70" s="23">
        <f t="shared" si="6"/>
        <v>23</v>
      </c>
      <c r="L70" s="23" t="str">
        <f t="shared" si="7"/>
        <v>23</v>
      </c>
      <c r="M70" s="23">
        <f t="shared" si="8"/>
        <v>1</v>
      </c>
      <c r="N70" s="23" t="str">
        <f t="shared" si="9"/>
        <v>01</v>
      </c>
      <c r="O70" s="23">
        <f t="shared" si="10"/>
        <v>2020</v>
      </c>
      <c r="P70" s="23" t="str">
        <f t="shared" si="11"/>
        <v>2020</v>
      </c>
      <c r="Q70" s="23" t="str">
        <f t="shared" si="12"/>
        <v>23/01/2020</v>
      </c>
      <c r="R70" s="24" t="str">
        <f t="shared" si="13"/>
        <v>0001</v>
      </c>
      <c r="S70" s="24" t="str">
        <f t="shared" si="14"/>
        <v>53467000</v>
      </c>
      <c r="T70" s="24" t="str">
        <f t="shared" si="15"/>
        <v>F</v>
      </c>
      <c r="U70" s="24" t="str">
        <f t="shared" si="16"/>
        <v>A</v>
      </c>
      <c r="V70" s="24" t="str">
        <f t="shared" si="17"/>
        <v>00000010,54</v>
      </c>
      <c r="W70" s="36" t="str">
        <f t="shared" si="1"/>
        <v>901003063945397523/01/2020000153467000FA00000010,54</v>
      </c>
      <c r="X70">
        <f t="shared" si="2"/>
        <v>51</v>
      </c>
      <c r="Y70" t="str">
        <f t="shared" si="3"/>
        <v>OK</v>
      </c>
    </row>
    <row r="71" spans="1:25" x14ac:dyDescent="0.2">
      <c r="A71" s="38">
        <v>901</v>
      </c>
      <c r="B71" s="46">
        <v>30639453975</v>
      </c>
      <c r="C71" s="2">
        <v>43858</v>
      </c>
      <c r="D71" s="38">
        <v>1</v>
      </c>
      <c r="E71" s="65">
        <v>44684000</v>
      </c>
      <c r="F71" t="s">
        <v>50</v>
      </c>
      <c r="G71" s="45" t="s">
        <v>51</v>
      </c>
      <c r="H71" s="61" t="s">
        <v>155</v>
      </c>
      <c r="I71" s="23" t="str">
        <f t="shared" si="4"/>
        <v>0030639453975</v>
      </c>
      <c r="J71" s="23" t="str">
        <f t="shared" si="5"/>
        <v>901</v>
      </c>
      <c r="K71" s="23">
        <f t="shared" si="6"/>
        <v>28</v>
      </c>
      <c r="L71" s="23" t="str">
        <f t="shared" si="7"/>
        <v>28</v>
      </c>
      <c r="M71" s="23">
        <f t="shared" si="8"/>
        <v>1</v>
      </c>
      <c r="N71" s="23" t="str">
        <f t="shared" si="9"/>
        <v>01</v>
      </c>
      <c r="O71" s="23">
        <f t="shared" si="10"/>
        <v>2020</v>
      </c>
      <c r="P71" s="23" t="str">
        <f t="shared" si="11"/>
        <v>2020</v>
      </c>
      <c r="Q71" s="23" t="str">
        <f t="shared" si="12"/>
        <v>28/01/2020</v>
      </c>
      <c r="R71" s="24" t="str">
        <f t="shared" si="13"/>
        <v>0001</v>
      </c>
      <c r="S71" s="24" t="str">
        <f t="shared" si="14"/>
        <v>44684000</v>
      </c>
      <c r="T71" s="24" t="str">
        <f t="shared" si="15"/>
        <v>F</v>
      </c>
      <c r="U71" s="24" t="str">
        <f t="shared" si="16"/>
        <v>A</v>
      </c>
      <c r="V71" s="24" t="str">
        <f t="shared" si="17"/>
        <v>00000052,57</v>
      </c>
      <c r="W71" s="36" t="str">
        <f t="shared" ref="W71:W110" si="18">IF(A71="","",CONCATENATE(J71,I71,Q71,R71,S71,T71,U71,V71))</f>
        <v>901003063945397528/01/2020000144684000FA00000052,57</v>
      </c>
      <c r="X71">
        <f t="shared" ref="X71:X110" si="19">IF(A71="","",LEN(W71))</f>
        <v>51</v>
      </c>
      <c r="Y71" t="str">
        <f t="shared" ref="Y71:Y110" si="20">IF(A71="","",IF(X71=51,"OK","ERROR DE LONGITUD DEL TEXTO"))</f>
        <v>OK</v>
      </c>
    </row>
    <row r="72" spans="1:25" x14ac:dyDescent="0.2">
      <c r="A72" s="38">
        <v>901</v>
      </c>
      <c r="B72" s="46">
        <v>30678814357</v>
      </c>
      <c r="C72" s="2">
        <v>43851</v>
      </c>
      <c r="D72" s="38">
        <v>1</v>
      </c>
      <c r="E72" s="65">
        <v>24020000</v>
      </c>
      <c r="F72" t="s">
        <v>50</v>
      </c>
      <c r="G72" s="45" t="s">
        <v>51</v>
      </c>
      <c r="H72" s="61" t="s">
        <v>156</v>
      </c>
      <c r="I72" s="23" t="str">
        <f t="shared" si="4"/>
        <v>0030678814357</v>
      </c>
      <c r="J72" s="23" t="str">
        <f t="shared" si="5"/>
        <v>901</v>
      </c>
      <c r="K72" s="23">
        <f t="shared" si="6"/>
        <v>21</v>
      </c>
      <c r="L72" s="23" t="str">
        <f t="shared" si="7"/>
        <v>21</v>
      </c>
      <c r="M72" s="23">
        <f t="shared" si="8"/>
        <v>1</v>
      </c>
      <c r="N72" s="23" t="str">
        <f t="shared" si="9"/>
        <v>01</v>
      </c>
      <c r="O72" s="23">
        <f t="shared" si="10"/>
        <v>2020</v>
      </c>
      <c r="P72" s="23" t="str">
        <f t="shared" si="11"/>
        <v>2020</v>
      </c>
      <c r="Q72" s="23" t="str">
        <f t="shared" si="12"/>
        <v>21/01/2020</v>
      </c>
      <c r="R72" s="24" t="str">
        <f t="shared" si="13"/>
        <v>0001</v>
      </c>
      <c r="S72" s="24" t="str">
        <f t="shared" si="14"/>
        <v>24020000</v>
      </c>
      <c r="T72" s="24" t="str">
        <f t="shared" si="15"/>
        <v>F</v>
      </c>
      <c r="U72" s="24" t="str">
        <f t="shared" si="16"/>
        <v>A</v>
      </c>
      <c r="V72" s="24" t="str">
        <f t="shared" si="17"/>
        <v>00000032,84</v>
      </c>
      <c r="W72" s="36" t="str">
        <f t="shared" si="18"/>
        <v>901003067881435721/01/2020000124020000FA00000032,84</v>
      </c>
      <c r="X72">
        <f t="shared" si="19"/>
        <v>51</v>
      </c>
      <c r="Y72" t="str">
        <f t="shared" si="20"/>
        <v>OK</v>
      </c>
    </row>
    <row r="73" spans="1:25" x14ac:dyDescent="0.2">
      <c r="A73" s="38">
        <v>901</v>
      </c>
      <c r="B73" s="46">
        <v>30687310434</v>
      </c>
      <c r="C73" s="2">
        <v>43860</v>
      </c>
      <c r="D73" s="38">
        <v>1</v>
      </c>
      <c r="E73" s="65">
        <v>80027446</v>
      </c>
      <c r="F73" t="s">
        <v>50</v>
      </c>
      <c r="G73" s="45" t="s">
        <v>51</v>
      </c>
      <c r="H73" s="61" t="s">
        <v>157</v>
      </c>
      <c r="I73" s="23" t="str">
        <f t="shared" ref="I73:I110" si="21">TEXT(B73,"0000000000000")</f>
        <v>0030687310434</v>
      </c>
      <c r="J73" s="23" t="str">
        <f t="shared" ref="J73:J110" si="22">TEXT(A73,"000")</f>
        <v>901</v>
      </c>
      <c r="K73" s="23">
        <f t="shared" ref="K73:K110" si="23">DAY(C73)</f>
        <v>30</v>
      </c>
      <c r="L73" s="23" t="str">
        <f t="shared" ref="L73:L110" si="24">TEXT(K73,"00")</f>
        <v>30</v>
      </c>
      <c r="M73" s="23">
        <f t="shared" ref="M73:M110" si="25">MONTH(C73)</f>
        <v>1</v>
      </c>
      <c r="N73" s="23" t="str">
        <f t="shared" ref="N73:N110" si="26">TEXT(M73,"00")</f>
        <v>01</v>
      </c>
      <c r="O73" s="23">
        <f t="shared" ref="O73:O110" si="27">YEAR(C73)</f>
        <v>2020</v>
      </c>
      <c r="P73" s="23" t="str">
        <f t="shared" ref="P73:P110" si="28">TEXT(O73,"0000")</f>
        <v>2020</v>
      </c>
      <c r="Q73" s="23" t="str">
        <f t="shared" ref="Q73:Q110" si="29">CONCATENATE(L73,"/",N73,"/",P73)</f>
        <v>30/01/2020</v>
      </c>
      <c r="R73" s="24" t="str">
        <f t="shared" ref="R73:R110" si="30">TEXT(D73,"0000")</f>
        <v>0001</v>
      </c>
      <c r="S73" s="24" t="str">
        <f t="shared" ref="S73:S110" si="31">TEXT(E73,"00000000")</f>
        <v>80027446</v>
      </c>
      <c r="T73" s="24" t="str">
        <f t="shared" ref="T73:T110" si="32">TEXT(F73,"0")</f>
        <v>F</v>
      </c>
      <c r="U73" s="24" t="str">
        <f t="shared" ref="U73:U110" si="33">TEXT(G73,"0")</f>
        <v>A</v>
      </c>
      <c r="V73" s="24" t="str">
        <f t="shared" ref="V73:V110" si="34">TEXT(H73,"00000000,00")</f>
        <v>00000133,52</v>
      </c>
      <c r="W73" s="36" t="str">
        <f t="shared" si="18"/>
        <v>901003068731043430/01/2020000180027446FA00000133,52</v>
      </c>
      <c r="X73">
        <f t="shared" si="19"/>
        <v>51</v>
      </c>
      <c r="Y73" t="str">
        <f t="shared" si="20"/>
        <v>OK</v>
      </c>
    </row>
    <row r="74" spans="1:25" x14ac:dyDescent="0.2">
      <c r="A74" s="38">
        <v>901</v>
      </c>
      <c r="B74" s="46">
        <v>30687310434</v>
      </c>
      <c r="C74" s="2">
        <v>43840</v>
      </c>
      <c r="D74" s="38">
        <v>1</v>
      </c>
      <c r="E74" s="65">
        <v>36100000</v>
      </c>
      <c r="F74" t="s">
        <v>50</v>
      </c>
      <c r="G74" s="45" t="s">
        <v>51</v>
      </c>
      <c r="H74" s="61" t="s">
        <v>158</v>
      </c>
      <c r="I74" s="23" t="str">
        <f t="shared" si="21"/>
        <v>0030687310434</v>
      </c>
      <c r="J74" s="23" t="str">
        <f t="shared" si="22"/>
        <v>901</v>
      </c>
      <c r="K74" s="23">
        <f t="shared" si="23"/>
        <v>10</v>
      </c>
      <c r="L74" s="23" t="str">
        <f t="shared" si="24"/>
        <v>10</v>
      </c>
      <c r="M74" s="23">
        <f t="shared" si="25"/>
        <v>1</v>
      </c>
      <c r="N74" s="23" t="str">
        <f t="shared" si="26"/>
        <v>01</v>
      </c>
      <c r="O74" s="23">
        <f t="shared" si="27"/>
        <v>2020</v>
      </c>
      <c r="P74" s="23" t="str">
        <f t="shared" si="28"/>
        <v>2020</v>
      </c>
      <c r="Q74" s="23" t="str">
        <f t="shared" si="29"/>
        <v>10/01/2020</v>
      </c>
      <c r="R74" s="24" t="str">
        <f t="shared" si="30"/>
        <v>0001</v>
      </c>
      <c r="S74" s="24" t="str">
        <f t="shared" si="31"/>
        <v>36100000</v>
      </c>
      <c r="T74" s="24" t="str">
        <f t="shared" si="32"/>
        <v>F</v>
      </c>
      <c r="U74" s="24" t="str">
        <f t="shared" si="33"/>
        <v>A</v>
      </c>
      <c r="V74" s="24" t="str">
        <f t="shared" si="34"/>
        <v>00000051,35</v>
      </c>
      <c r="W74" s="36" t="str">
        <f t="shared" si="18"/>
        <v>901003068731043410/01/2020000136100000FA00000051,35</v>
      </c>
      <c r="X74">
        <f t="shared" si="19"/>
        <v>51</v>
      </c>
      <c r="Y74" t="str">
        <f t="shared" si="20"/>
        <v>OK</v>
      </c>
    </row>
    <row r="75" spans="1:25" x14ac:dyDescent="0.2">
      <c r="A75" s="38">
        <v>901</v>
      </c>
      <c r="B75" s="46">
        <v>30687310434</v>
      </c>
      <c r="C75" s="2">
        <v>43860</v>
      </c>
      <c r="D75" s="38">
        <v>1</v>
      </c>
      <c r="E75" s="65">
        <v>37400000</v>
      </c>
      <c r="F75" t="s">
        <v>50</v>
      </c>
      <c r="G75" s="45" t="s">
        <v>51</v>
      </c>
      <c r="H75" s="61" t="s">
        <v>159</v>
      </c>
      <c r="I75" s="23" t="str">
        <f t="shared" si="21"/>
        <v>0030687310434</v>
      </c>
      <c r="J75" s="23" t="str">
        <f t="shared" si="22"/>
        <v>901</v>
      </c>
      <c r="K75" s="23">
        <f t="shared" si="23"/>
        <v>30</v>
      </c>
      <c r="L75" s="23" t="str">
        <f t="shared" si="24"/>
        <v>30</v>
      </c>
      <c r="M75" s="23">
        <f t="shared" si="25"/>
        <v>1</v>
      </c>
      <c r="N75" s="23" t="str">
        <f t="shared" si="26"/>
        <v>01</v>
      </c>
      <c r="O75" s="23">
        <f t="shared" si="27"/>
        <v>2020</v>
      </c>
      <c r="P75" s="23" t="str">
        <f t="shared" si="28"/>
        <v>2020</v>
      </c>
      <c r="Q75" s="23" t="str">
        <f t="shared" si="29"/>
        <v>30/01/2020</v>
      </c>
      <c r="R75" s="24" t="str">
        <f t="shared" si="30"/>
        <v>0001</v>
      </c>
      <c r="S75" s="24" t="str">
        <f t="shared" si="31"/>
        <v>37400000</v>
      </c>
      <c r="T75" s="24" t="str">
        <f t="shared" si="32"/>
        <v>F</v>
      </c>
      <c r="U75" s="24" t="str">
        <f t="shared" si="33"/>
        <v>A</v>
      </c>
      <c r="V75" s="24" t="str">
        <f t="shared" si="34"/>
        <v>00000002,95</v>
      </c>
      <c r="W75" s="36" t="str">
        <f t="shared" si="18"/>
        <v>901003068731043430/01/2020000137400000FA00000002,95</v>
      </c>
      <c r="X75">
        <f t="shared" si="19"/>
        <v>51</v>
      </c>
      <c r="Y75" t="str">
        <f t="shared" si="20"/>
        <v>OK</v>
      </c>
    </row>
    <row r="76" spans="1:25" x14ac:dyDescent="0.2">
      <c r="A76" s="38">
        <v>901</v>
      </c>
      <c r="B76" s="46">
        <v>30696850972</v>
      </c>
      <c r="C76" s="2">
        <v>43861</v>
      </c>
      <c r="D76" s="38">
        <v>1</v>
      </c>
      <c r="E76" s="65">
        <v>20020169</v>
      </c>
      <c r="F76" t="s">
        <v>50</v>
      </c>
      <c r="G76" s="45" t="s">
        <v>51</v>
      </c>
      <c r="H76" s="61" t="s">
        <v>160</v>
      </c>
      <c r="I76" s="23" t="str">
        <f t="shared" si="21"/>
        <v>0030696850972</v>
      </c>
      <c r="J76" s="23" t="str">
        <f t="shared" si="22"/>
        <v>901</v>
      </c>
      <c r="K76" s="23">
        <f t="shared" si="23"/>
        <v>31</v>
      </c>
      <c r="L76" s="23" t="str">
        <f t="shared" si="24"/>
        <v>31</v>
      </c>
      <c r="M76" s="23">
        <f t="shared" si="25"/>
        <v>1</v>
      </c>
      <c r="N76" s="23" t="str">
        <f t="shared" si="26"/>
        <v>01</v>
      </c>
      <c r="O76" s="23">
        <f t="shared" si="27"/>
        <v>2020</v>
      </c>
      <c r="P76" s="23" t="str">
        <f t="shared" si="28"/>
        <v>2020</v>
      </c>
      <c r="Q76" s="23" t="str">
        <f t="shared" si="29"/>
        <v>31/01/2020</v>
      </c>
      <c r="R76" s="24" t="str">
        <f t="shared" si="30"/>
        <v>0001</v>
      </c>
      <c r="S76" s="24" t="str">
        <f t="shared" si="31"/>
        <v>20020169</v>
      </c>
      <c r="T76" s="24" t="str">
        <f t="shared" si="32"/>
        <v>F</v>
      </c>
      <c r="U76" s="24" t="str">
        <f t="shared" si="33"/>
        <v>A</v>
      </c>
      <c r="V76" s="24" t="str">
        <f t="shared" si="34"/>
        <v>00000029,36</v>
      </c>
      <c r="W76" s="36" t="str">
        <f t="shared" si="18"/>
        <v>901003069685097231/01/2020000120020169FA00000029,36</v>
      </c>
      <c r="X76">
        <f t="shared" si="19"/>
        <v>51</v>
      </c>
      <c r="Y76" t="str">
        <f t="shared" si="20"/>
        <v>OK</v>
      </c>
    </row>
    <row r="77" spans="1:25" x14ac:dyDescent="0.2">
      <c r="A77" s="38">
        <v>901</v>
      </c>
      <c r="B77" s="46">
        <v>30701307115</v>
      </c>
      <c r="C77" s="2">
        <v>43855</v>
      </c>
      <c r="D77" s="38">
        <v>1</v>
      </c>
      <c r="E77" s="65">
        <v>47182700</v>
      </c>
      <c r="F77" t="s">
        <v>50</v>
      </c>
      <c r="G77" s="45" t="s">
        <v>51</v>
      </c>
      <c r="H77" s="61" t="s">
        <v>161</v>
      </c>
      <c r="I77" s="23" t="str">
        <f t="shared" si="21"/>
        <v>0030701307115</v>
      </c>
      <c r="J77" s="23" t="str">
        <f t="shared" si="22"/>
        <v>901</v>
      </c>
      <c r="K77" s="23">
        <f t="shared" si="23"/>
        <v>25</v>
      </c>
      <c r="L77" s="23" t="str">
        <f t="shared" si="24"/>
        <v>25</v>
      </c>
      <c r="M77" s="23">
        <f t="shared" si="25"/>
        <v>1</v>
      </c>
      <c r="N77" s="23" t="str">
        <f t="shared" si="26"/>
        <v>01</v>
      </c>
      <c r="O77" s="23">
        <f t="shared" si="27"/>
        <v>2020</v>
      </c>
      <c r="P77" s="23" t="str">
        <f t="shared" si="28"/>
        <v>2020</v>
      </c>
      <c r="Q77" s="23" t="str">
        <f t="shared" si="29"/>
        <v>25/01/2020</v>
      </c>
      <c r="R77" s="24" t="str">
        <f t="shared" si="30"/>
        <v>0001</v>
      </c>
      <c r="S77" s="24" t="str">
        <f t="shared" si="31"/>
        <v>47182700</v>
      </c>
      <c r="T77" s="24" t="str">
        <f t="shared" si="32"/>
        <v>F</v>
      </c>
      <c r="U77" s="24" t="str">
        <f t="shared" si="33"/>
        <v>A</v>
      </c>
      <c r="V77" s="24" t="str">
        <f t="shared" si="34"/>
        <v>00000161,43</v>
      </c>
      <c r="W77" s="36" t="str">
        <f t="shared" si="18"/>
        <v>901003070130711525/01/2020000147182700FA00000161,43</v>
      </c>
      <c r="X77">
        <f t="shared" si="19"/>
        <v>51</v>
      </c>
      <c r="Y77" t="str">
        <f t="shared" si="20"/>
        <v>OK</v>
      </c>
    </row>
    <row r="78" spans="1:25" x14ac:dyDescent="0.2">
      <c r="A78" s="38">
        <v>901</v>
      </c>
      <c r="B78" s="63">
        <v>30703088534</v>
      </c>
      <c r="C78" s="40">
        <v>43837</v>
      </c>
      <c r="D78" s="38">
        <v>1</v>
      </c>
      <c r="E78" s="66">
        <v>52481019</v>
      </c>
      <c r="F78" t="s">
        <v>50</v>
      </c>
      <c r="G78" s="45" t="s">
        <v>51</v>
      </c>
      <c r="H78" s="64" t="s">
        <v>162</v>
      </c>
      <c r="I78" s="23" t="str">
        <f t="shared" si="21"/>
        <v>0030703088534</v>
      </c>
      <c r="J78" s="23" t="str">
        <f t="shared" si="22"/>
        <v>901</v>
      </c>
      <c r="K78" s="23">
        <f t="shared" si="23"/>
        <v>7</v>
      </c>
      <c r="L78" s="23" t="str">
        <f t="shared" si="24"/>
        <v>07</v>
      </c>
      <c r="M78" s="23">
        <f t="shared" si="25"/>
        <v>1</v>
      </c>
      <c r="N78" s="23" t="str">
        <f t="shared" si="26"/>
        <v>01</v>
      </c>
      <c r="O78" s="23">
        <f t="shared" si="27"/>
        <v>2020</v>
      </c>
      <c r="P78" s="23" t="str">
        <f t="shared" si="28"/>
        <v>2020</v>
      </c>
      <c r="Q78" s="23" t="str">
        <f t="shared" si="29"/>
        <v>07/01/2020</v>
      </c>
      <c r="R78" s="24" t="str">
        <f t="shared" si="30"/>
        <v>0001</v>
      </c>
      <c r="S78" s="24" t="str">
        <f t="shared" si="31"/>
        <v>52481019</v>
      </c>
      <c r="T78" s="24" t="str">
        <f t="shared" si="32"/>
        <v>F</v>
      </c>
      <c r="U78" s="24" t="str">
        <f t="shared" si="33"/>
        <v>A</v>
      </c>
      <c r="V78" s="24" t="str">
        <f t="shared" si="34"/>
        <v>00000005,94</v>
      </c>
      <c r="W78" s="36" t="str">
        <f t="shared" si="18"/>
        <v>901003070308853407/01/2020000152481019FA00000005,94</v>
      </c>
      <c r="X78">
        <f t="shared" si="19"/>
        <v>51</v>
      </c>
      <c r="Y78" t="str">
        <f t="shared" si="20"/>
        <v>OK</v>
      </c>
    </row>
    <row r="79" spans="1:25" x14ac:dyDescent="0.2">
      <c r="A79" s="38">
        <v>901</v>
      </c>
      <c r="B79" s="63">
        <v>30703088534</v>
      </c>
      <c r="C79" s="40">
        <v>43844</v>
      </c>
      <c r="D79" s="38">
        <v>1</v>
      </c>
      <c r="E79" s="66">
        <v>52481019</v>
      </c>
      <c r="F79" t="s">
        <v>50</v>
      </c>
      <c r="G79" s="45" t="s">
        <v>51</v>
      </c>
      <c r="H79" s="64" t="s">
        <v>163</v>
      </c>
      <c r="I79" s="23" t="str">
        <f t="shared" si="21"/>
        <v>0030703088534</v>
      </c>
      <c r="J79" s="23" t="str">
        <f t="shared" si="22"/>
        <v>901</v>
      </c>
      <c r="K79" s="23">
        <f t="shared" si="23"/>
        <v>14</v>
      </c>
      <c r="L79" s="23" t="str">
        <f t="shared" si="24"/>
        <v>14</v>
      </c>
      <c r="M79" s="23">
        <f t="shared" si="25"/>
        <v>1</v>
      </c>
      <c r="N79" s="23" t="str">
        <f t="shared" si="26"/>
        <v>01</v>
      </c>
      <c r="O79" s="23">
        <f t="shared" si="27"/>
        <v>2020</v>
      </c>
      <c r="P79" s="23" t="str">
        <f t="shared" si="28"/>
        <v>2020</v>
      </c>
      <c r="Q79" s="23" t="str">
        <f t="shared" si="29"/>
        <v>14/01/2020</v>
      </c>
      <c r="R79" s="24" t="str">
        <f t="shared" si="30"/>
        <v>0001</v>
      </c>
      <c r="S79" s="24" t="str">
        <f t="shared" si="31"/>
        <v>52481019</v>
      </c>
      <c r="T79" s="24" t="str">
        <f t="shared" si="32"/>
        <v>F</v>
      </c>
      <c r="U79" s="24" t="str">
        <f t="shared" si="33"/>
        <v>A</v>
      </c>
      <c r="V79" s="24" t="str">
        <f t="shared" si="34"/>
        <v>00000113,94</v>
      </c>
      <c r="W79" s="36" t="str">
        <f t="shared" si="18"/>
        <v>901003070308853414/01/2020000152481019FA00000113,94</v>
      </c>
      <c r="X79">
        <f t="shared" si="19"/>
        <v>51</v>
      </c>
      <c r="Y79" t="str">
        <f t="shared" si="20"/>
        <v>OK</v>
      </c>
    </row>
    <row r="80" spans="1:25" x14ac:dyDescent="0.2">
      <c r="A80" s="38">
        <v>901</v>
      </c>
      <c r="B80" s="63">
        <v>30709776564</v>
      </c>
      <c r="C80" s="40">
        <v>43838</v>
      </c>
      <c r="D80" s="38">
        <v>1</v>
      </c>
      <c r="E80" s="66">
        <v>11960470</v>
      </c>
      <c r="F80" t="s">
        <v>50</v>
      </c>
      <c r="G80" s="45" t="s">
        <v>51</v>
      </c>
      <c r="H80" s="64" t="s">
        <v>164</v>
      </c>
      <c r="I80" s="23" t="str">
        <f t="shared" si="21"/>
        <v>0030709776564</v>
      </c>
      <c r="J80" s="23" t="str">
        <f t="shared" si="22"/>
        <v>901</v>
      </c>
      <c r="K80" s="23">
        <f t="shared" si="23"/>
        <v>8</v>
      </c>
      <c r="L80" s="23" t="str">
        <f t="shared" si="24"/>
        <v>08</v>
      </c>
      <c r="M80" s="23">
        <f t="shared" si="25"/>
        <v>1</v>
      </c>
      <c r="N80" s="23" t="str">
        <f t="shared" si="26"/>
        <v>01</v>
      </c>
      <c r="O80" s="23">
        <f t="shared" si="27"/>
        <v>2020</v>
      </c>
      <c r="P80" s="23" t="str">
        <f t="shared" si="28"/>
        <v>2020</v>
      </c>
      <c r="Q80" s="23" t="str">
        <f t="shared" si="29"/>
        <v>08/01/2020</v>
      </c>
      <c r="R80" s="24" t="str">
        <f t="shared" si="30"/>
        <v>0001</v>
      </c>
      <c r="S80" s="24" t="str">
        <f t="shared" si="31"/>
        <v>11960470</v>
      </c>
      <c r="T80" s="24" t="str">
        <f t="shared" si="32"/>
        <v>F</v>
      </c>
      <c r="U80" s="24" t="str">
        <f t="shared" si="33"/>
        <v>A</v>
      </c>
      <c r="V80" s="24" t="str">
        <f t="shared" si="34"/>
        <v>00000047,40</v>
      </c>
      <c r="W80" s="36" t="str">
        <f t="shared" si="18"/>
        <v>901003070977656408/01/2020000111960470FA00000047,40</v>
      </c>
      <c r="X80">
        <f t="shared" si="19"/>
        <v>51</v>
      </c>
      <c r="Y80" t="str">
        <f t="shared" si="20"/>
        <v>OK</v>
      </c>
    </row>
    <row r="81" spans="1:25" x14ac:dyDescent="0.2">
      <c r="A81" s="38">
        <v>901</v>
      </c>
      <c r="B81" s="39"/>
      <c r="C81" s="40"/>
      <c r="D81" s="38"/>
      <c r="E81" s="38"/>
      <c r="F81" s="41"/>
      <c r="G81" s="45"/>
      <c r="H81" s="45"/>
      <c r="I81" s="23" t="str">
        <f t="shared" si="21"/>
        <v>0000000000000</v>
      </c>
      <c r="J81" s="23" t="str">
        <f t="shared" si="22"/>
        <v>901</v>
      </c>
      <c r="K81" s="23">
        <f t="shared" si="23"/>
        <v>0</v>
      </c>
      <c r="L81" s="23" t="str">
        <f t="shared" si="24"/>
        <v>00</v>
      </c>
      <c r="M81" s="23">
        <f t="shared" si="25"/>
        <v>1</v>
      </c>
      <c r="N81" s="23" t="str">
        <f t="shared" si="26"/>
        <v>01</v>
      </c>
      <c r="O81" s="23">
        <f t="shared" si="27"/>
        <v>1900</v>
      </c>
      <c r="P81" s="23" t="str">
        <f t="shared" si="28"/>
        <v>1900</v>
      </c>
      <c r="Q81" s="23" t="str">
        <f t="shared" si="29"/>
        <v>00/01/1900</v>
      </c>
      <c r="R81" s="24" t="str">
        <f t="shared" si="30"/>
        <v>0000</v>
      </c>
      <c r="S81" s="24" t="str">
        <f t="shared" si="31"/>
        <v>00000000</v>
      </c>
      <c r="T81" s="24" t="str">
        <f t="shared" si="32"/>
        <v>0</v>
      </c>
      <c r="U81" s="24" t="str">
        <f t="shared" si="33"/>
        <v>0</v>
      </c>
      <c r="V81" s="24" t="str">
        <f t="shared" si="34"/>
        <v>0,000,000,000</v>
      </c>
      <c r="W81" s="36" t="str">
        <f t="shared" si="18"/>
        <v>901000000000000000/01/1900000000000000000,000,000,000</v>
      </c>
      <c r="X81">
        <f t="shared" si="19"/>
        <v>53</v>
      </c>
      <c r="Y81" t="str">
        <f t="shared" si="20"/>
        <v>ERROR DE LONGITUD DEL TEXTO</v>
      </c>
    </row>
    <row r="82" spans="1:25" x14ac:dyDescent="0.2">
      <c r="A82" s="38">
        <v>901</v>
      </c>
      <c r="B82" s="39"/>
      <c r="C82" s="40"/>
      <c r="D82" s="38"/>
      <c r="E82" s="38"/>
      <c r="F82" s="41"/>
      <c r="G82" s="45"/>
      <c r="H82" s="45"/>
      <c r="I82" s="23" t="str">
        <f t="shared" si="21"/>
        <v>0000000000000</v>
      </c>
      <c r="J82" s="23" t="str">
        <f t="shared" si="22"/>
        <v>901</v>
      </c>
      <c r="K82" s="23">
        <f t="shared" si="23"/>
        <v>0</v>
      </c>
      <c r="L82" s="23" t="str">
        <f t="shared" si="24"/>
        <v>00</v>
      </c>
      <c r="M82" s="23">
        <f t="shared" si="25"/>
        <v>1</v>
      </c>
      <c r="N82" s="23" t="str">
        <f t="shared" si="26"/>
        <v>01</v>
      </c>
      <c r="O82" s="23">
        <f t="shared" si="27"/>
        <v>1900</v>
      </c>
      <c r="P82" s="23" t="str">
        <f t="shared" si="28"/>
        <v>1900</v>
      </c>
      <c r="Q82" s="23" t="str">
        <f t="shared" si="29"/>
        <v>00/01/1900</v>
      </c>
      <c r="R82" s="24" t="str">
        <f t="shared" si="30"/>
        <v>0000</v>
      </c>
      <c r="S82" s="24" t="str">
        <f t="shared" si="31"/>
        <v>00000000</v>
      </c>
      <c r="T82" s="24" t="str">
        <f t="shared" si="32"/>
        <v>0</v>
      </c>
      <c r="U82" s="24" t="str">
        <f t="shared" si="33"/>
        <v>0</v>
      </c>
      <c r="V82" s="24" t="str">
        <f t="shared" si="34"/>
        <v>0,000,000,000</v>
      </c>
      <c r="W82" s="36" t="str">
        <f t="shared" si="18"/>
        <v>901000000000000000/01/1900000000000000000,000,000,000</v>
      </c>
      <c r="X82">
        <f t="shared" si="19"/>
        <v>53</v>
      </c>
      <c r="Y82" t="str">
        <f t="shared" si="20"/>
        <v>ERROR DE LONGITUD DEL TEXTO</v>
      </c>
    </row>
    <row r="83" spans="1:25" x14ac:dyDescent="0.2">
      <c r="A83" s="38">
        <v>901</v>
      </c>
      <c r="B83" s="39"/>
      <c r="C83" s="40"/>
      <c r="D83" s="38"/>
      <c r="E83" s="38"/>
      <c r="F83" s="41"/>
      <c r="G83" s="45"/>
      <c r="H83" s="45"/>
      <c r="I83" s="23" t="str">
        <f t="shared" si="21"/>
        <v>0000000000000</v>
      </c>
      <c r="J83" s="23" t="str">
        <f t="shared" si="22"/>
        <v>901</v>
      </c>
      <c r="K83" s="23">
        <f t="shared" si="23"/>
        <v>0</v>
      </c>
      <c r="L83" s="23" t="str">
        <f t="shared" si="24"/>
        <v>00</v>
      </c>
      <c r="M83" s="23">
        <f t="shared" si="25"/>
        <v>1</v>
      </c>
      <c r="N83" s="23" t="str">
        <f t="shared" si="26"/>
        <v>01</v>
      </c>
      <c r="O83" s="23">
        <f t="shared" si="27"/>
        <v>1900</v>
      </c>
      <c r="P83" s="23" t="str">
        <f t="shared" si="28"/>
        <v>1900</v>
      </c>
      <c r="Q83" s="23" t="str">
        <f t="shared" si="29"/>
        <v>00/01/1900</v>
      </c>
      <c r="R83" s="24" t="str">
        <f t="shared" si="30"/>
        <v>0000</v>
      </c>
      <c r="S83" s="24" t="str">
        <f t="shared" si="31"/>
        <v>00000000</v>
      </c>
      <c r="T83" s="24" t="str">
        <f t="shared" si="32"/>
        <v>0</v>
      </c>
      <c r="U83" s="24" t="str">
        <f t="shared" si="33"/>
        <v>0</v>
      </c>
      <c r="V83" s="24" t="str">
        <f t="shared" si="34"/>
        <v>0,000,000,000</v>
      </c>
      <c r="W83" s="36" t="str">
        <f t="shared" si="18"/>
        <v>901000000000000000/01/1900000000000000000,000,000,000</v>
      </c>
      <c r="X83">
        <f t="shared" si="19"/>
        <v>53</v>
      </c>
      <c r="Y83" t="str">
        <f t="shared" si="20"/>
        <v>ERROR DE LONGITUD DEL TEXTO</v>
      </c>
    </row>
    <row r="84" spans="1:25" x14ac:dyDescent="0.2">
      <c r="A84" s="38">
        <v>901</v>
      </c>
      <c r="B84" s="39"/>
      <c r="C84" s="40"/>
      <c r="D84" s="38"/>
      <c r="E84" s="38"/>
      <c r="F84" s="41"/>
      <c r="G84" s="45"/>
      <c r="H84" s="45"/>
      <c r="I84" s="23" t="str">
        <f t="shared" si="21"/>
        <v>0000000000000</v>
      </c>
      <c r="J84" s="23" t="str">
        <f t="shared" si="22"/>
        <v>901</v>
      </c>
      <c r="K84" s="23">
        <f t="shared" si="23"/>
        <v>0</v>
      </c>
      <c r="L84" s="23" t="str">
        <f t="shared" si="24"/>
        <v>00</v>
      </c>
      <c r="M84" s="23">
        <f t="shared" si="25"/>
        <v>1</v>
      </c>
      <c r="N84" s="23" t="str">
        <f t="shared" si="26"/>
        <v>01</v>
      </c>
      <c r="O84" s="23">
        <f t="shared" si="27"/>
        <v>1900</v>
      </c>
      <c r="P84" s="23" t="str">
        <f t="shared" si="28"/>
        <v>1900</v>
      </c>
      <c r="Q84" s="23" t="str">
        <f t="shared" si="29"/>
        <v>00/01/1900</v>
      </c>
      <c r="R84" s="24" t="str">
        <f t="shared" si="30"/>
        <v>0000</v>
      </c>
      <c r="S84" s="24" t="str">
        <f t="shared" si="31"/>
        <v>00000000</v>
      </c>
      <c r="T84" s="24" t="str">
        <f t="shared" si="32"/>
        <v>0</v>
      </c>
      <c r="U84" s="24" t="str">
        <f t="shared" si="33"/>
        <v>0</v>
      </c>
      <c r="V84" s="24" t="str">
        <f t="shared" si="34"/>
        <v>0,000,000,000</v>
      </c>
      <c r="W84" s="36" t="str">
        <f t="shared" si="18"/>
        <v>901000000000000000/01/1900000000000000000,000,000,000</v>
      </c>
      <c r="X84">
        <f t="shared" si="19"/>
        <v>53</v>
      </c>
      <c r="Y84" t="str">
        <f t="shared" si="20"/>
        <v>ERROR DE LONGITUD DEL TEXTO</v>
      </c>
    </row>
    <row r="85" spans="1:25" x14ac:dyDescent="0.2">
      <c r="A85" s="38">
        <v>901</v>
      </c>
      <c r="B85" s="39"/>
      <c r="C85" s="40"/>
      <c r="D85" s="38"/>
      <c r="E85" s="38"/>
      <c r="F85" s="41"/>
      <c r="G85" s="45"/>
      <c r="H85" s="45"/>
      <c r="I85" s="23" t="str">
        <f t="shared" si="21"/>
        <v>0000000000000</v>
      </c>
      <c r="J85" s="23" t="str">
        <f t="shared" si="22"/>
        <v>901</v>
      </c>
      <c r="K85" s="23">
        <f t="shared" si="23"/>
        <v>0</v>
      </c>
      <c r="L85" s="23" t="str">
        <f t="shared" si="24"/>
        <v>00</v>
      </c>
      <c r="M85" s="23">
        <f t="shared" si="25"/>
        <v>1</v>
      </c>
      <c r="N85" s="23" t="str">
        <f t="shared" si="26"/>
        <v>01</v>
      </c>
      <c r="O85" s="23">
        <f t="shared" si="27"/>
        <v>1900</v>
      </c>
      <c r="P85" s="23" t="str">
        <f t="shared" si="28"/>
        <v>1900</v>
      </c>
      <c r="Q85" s="23" t="str">
        <f t="shared" si="29"/>
        <v>00/01/1900</v>
      </c>
      <c r="R85" s="24" t="str">
        <f t="shared" si="30"/>
        <v>0000</v>
      </c>
      <c r="S85" s="24" t="str">
        <f t="shared" si="31"/>
        <v>00000000</v>
      </c>
      <c r="T85" s="24" t="str">
        <f t="shared" si="32"/>
        <v>0</v>
      </c>
      <c r="U85" s="24" t="str">
        <f t="shared" si="33"/>
        <v>0</v>
      </c>
      <c r="V85" s="24" t="str">
        <f t="shared" si="34"/>
        <v>0,000,000,000</v>
      </c>
      <c r="W85" s="36" t="str">
        <f t="shared" si="18"/>
        <v>901000000000000000/01/1900000000000000000,000,000,000</v>
      </c>
      <c r="X85">
        <f t="shared" si="19"/>
        <v>53</v>
      </c>
      <c r="Y85" t="str">
        <f t="shared" si="20"/>
        <v>ERROR DE LONGITUD DEL TEXTO</v>
      </c>
    </row>
    <row r="86" spans="1:25" x14ac:dyDescent="0.2">
      <c r="A86" s="38">
        <v>901</v>
      </c>
      <c r="B86" s="39"/>
      <c r="C86" s="40"/>
      <c r="D86" s="38"/>
      <c r="E86" s="38"/>
      <c r="F86" s="41"/>
      <c r="G86" s="45"/>
      <c r="H86" s="45"/>
      <c r="I86" s="23" t="str">
        <f t="shared" si="21"/>
        <v>0000000000000</v>
      </c>
      <c r="J86" s="23" t="str">
        <f t="shared" si="22"/>
        <v>901</v>
      </c>
      <c r="K86" s="23">
        <f t="shared" si="23"/>
        <v>0</v>
      </c>
      <c r="L86" s="23" t="str">
        <f t="shared" si="24"/>
        <v>00</v>
      </c>
      <c r="M86" s="23">
        <f t="shared" si="25"/>
        <v>1</v>
      </c>
      <c r="N86" s="23" t="str">
        <f t="shared" si="26"/>
        <v>01</v>
      </c>
      <c r="O86" s="23">
        <f t="shared" si="27"/>
        <v>1900</v>
      </c>
      <c r="P86" s="23" t="str">
        <f t="shared" si="28"/>
        <v>1900</v>
      </c>
      <c r="Q86" s="23" t="str">
        <f t="shared" si="29"/>
        <v>00/01/1900</v>
      </c>
      <c r="R86" s="24" t="str">
        <f t="shared" si="30"/>
        <v>0000</v>
      </c>
      <c r="S86" s="24" t="str">
        <f t="shared" si="31"/>
        <v>00000000</v>
      </c>
      <c r="T86" s="24" t="str">
        <f t="shared" si="32"/>
        <v>0</v>
      </c>
      <c r="U86" s="24" t="str">
        <f t="shared" si="33"/>
        <v>0</v>
      </c>
      <c r="V86" s="24" t="str">
        <f t="shared" si="34"/>
        <v>0,000,000,000</v>
      </c>
      <c r="W86" s="36" t="str">
        <f t="shared" si="18"/>
        <v>901000000000000000/01/1900000000000000000,000,000,000</v>
      </c>
      <c r="X86">
        <f t="shared" si="19"/>
        <v>53</v>
      </c>
      <c r="Y86" t="str">
        <f t="shared" si="20"/>
        <v>ERROR DE LONGITUD DEL TEXTO</v>
      </c>
    </row>
    <row r="87" spans="1:25" x14ac:dyDescent="0.2">
      <c r="A87" s="38">
        <v>901</v>
      </c>
      <c r="B87" s="39"/>
      <c r="C87" s="40"/>
      <c r="D87" s="38"/>
      <c r="E87" s="38"/>
      <c r="F87" s="41"/>
      <c r="G87" s="45"/>
      <c r="H87" s="45"/>
      <c r="I87" s="23" t="str">
        <f t="shared" si="21"/>
        <v>0000000000000</v>
      </c>
      <c r="J87" s="23" t="str">
        <f t="shared" si="22"/>
        <v>901</v>
      </c>
      <c r="K87" s="23">
        <f t="shared" si="23"/>
        <v>0</v>
      </c>
      <c r="L87" s="23" t="str">
        <f t="shared" si="24"/>
        <v>00</v>
      </c>
      <c r="M87" s="23">
        <f t="shared" si="25"/>
        <v>1</v>
      </c>
      <c r="N87" s="23" t="str">
        <f t="shared" si="26"/>
        <v>01</v>
      </c>
      <c r="O87" s="23">
        <f t="shared" si="27"/>
        <v>1900</v>
      </c>
      <c r="P87" s="23" t="str">
        <f t="shared" si="28"/>
        <v>1900</v>
      </c>
      <c r="Q87" s="23" t="str">
        <f t="shared" si="29"/>
        <v>00/01/1900</v>
      </c>
      <c r="R87" s="24" t="str">
        <f t="shared" si="30"/>
        <v>0000</v>
      </c>
      <c r="S87" s="24" t="str">
        <f t="shared" si="31"/>
        <v>00000000</v>
      </c>
      <c r="T87" s="24" t="str">
        <f t="shared" si="32"/>
        <v>0</v>
      </c>
      <c r="U87" s="24" t="str">
        <f t="shared" si="33"/>
        <v>0</v>
      </c>
      <c r="V87" s="24" t="str">
        <f t="shared" si="34"/>
        <v>00000000,00</v>
      </c>
      <c r="W87" s="36" t="str">
        <f t="shared" si="18"/>
        <v>901000000000000000/01/19000000000000000000000000,00</v>
      </c>
      <c r="X87">
        <f t="shared" si="19"/>
        <v>51</v>
      </c>
      <c r="Y87" t="str">
        <f t="shared" si="20"/>
        <v>OK</v>
      </c>
    </row>
    <row r="88" spans="1:25" x14ac:dyDescent="0.2">
      <c r="A88" s="38">
        <v>901</v>
      </c>
      <c r="B88" s="39"/>
      <c r="C88" s="40"/>
      <c r="D88" s="38"/>
      <c r="E88" s="38"/>
      <c r="F88" s="41"/>
      <c r="G88" s="45"/>
      <c r="H88" s="45"/>
      <c r="I88" s="23" t="str">
        <f t="shared" si="21"/>
        <v>0000000000000</v>
      </c>
      <c r="J88" s="23" t="str">
        <f t="shared" si="22"/>
        <v>901</v>
      </c>
      <c r="K88" s="23">
        <f t="shared" si="23"/>
        <v>0</v>
      </c>
      <c r="L88" s="23" t="str">
        <f t="shared" si="24"/>
        <v>00</v>
      </c>
      <c r="M88" s="23">
        <f t="shared" si="25"/>
        <v>1</v>
      </c>
      <c r="N88" s="23" t="str">
        <f t="shared" si="26"/>
        <v>01</v>
      </c>
      <c r="O88" s="23">
        <f t="shared" si="27"/>
        <v>1900</v>
      </c>
      <c r="P88" s="23" t="str">
        <f t="shared" si="28"/>
        <v>1900</v>
      </c>
      <c r="Q88" s="23" t="str">
        <f t="shared" si="29"/>
        <v>00/01/1900</v>
      </c>
      <c r="R88" s="24" t="str">
        <f t="shared" si="30"/>
        <v>0000</v>
      </c>
      <c r="S88" s="24" t="str">
        <f t="shared" si="31"/>
        <v>00000000</v>
      </c>
      <c r="T88" s="24" t="str">
        <f t="shared" si="32"/>
        <v>0</v>
      </c>
      <c r="U88" s="24" t="str">
        <f t="shared" si="33"/>
        <v>0</v>
      </c>
      <c r="V88" s="24" t="str">
        <f t="shared" si="34"/>
        <v>00000000,00</v>
      </c>
      <c r="W88" s="36" t="str">
        <f t="shared" si="18"/>
        <v>901000000000000000/01/19000000000000000000000000,00</v>
      </c>
      <c r="X88">
        <f t="shared" si="19"/>
        <v>51</v>
      </c>
      <c r="Y88" t="str">
        <f t="shared" si="20"/>
        <v>OK</v>
      </c>
    </row>
    <row r="89" spans="1:25" x14ac:dyDescent="0.2">
      <c r="A89" s="38">
        <v>901</v>
      </c>
      <c r="B89" s="39"/>
      <c r="C89" s="40"/>
      <c r="D89" s="38"/>
      <c r="E89" s="38"/>
      <c r="F89" s="41"/>
      <c r="G89" s="45"/>
      <c r="H89" s="45"/>
      <c r="I89" s="23" t="str">
        <f t="shared" si="21"/>
        <v>0000000000000</v>
      </c>
      <c r="J89" s="23" t="str">
        <f t="shared" si="22"/>
        <v>901</v>
      </c>
      <c r="K89" s="23">
        <f t="shared" si="23"/>
        <v>0</v>
      </c>
      <c r="L89" s="23" t="str">
        <f t="shared" si="24"/>
        <v>00</v>
      </c>
      <c r="M89" s="23">
        <f t="shared" si="25"/>
        <v>1</v>
      </c>
      <c r="N89" s="23" t="str">
        <f t="shared" si="26"/>
        <v>01</v>
      </c>
      <c r="O89" s="23">
        <f t="shared" si="27"/>
        <v>1900</v>
      </c>
      <c r="P89" s="23" t="str">
        <f t="shared" si="28"/>
        <v>1900</v>
      </c>
      <c r="Q89" s="23" t="str">
        <f t="shared" si="29"/>
        <v>00/01/1900</v>
      </c>
      <c r="R89" s="24" t="str">
        <f t="shared" si="30"/>
        <v>0000</v>
      </c>
      <c r="S89" s="24" t="str">
        <f t="shared" si="31"/>
        <v>00000000</v>
      </c>
      <c r="T89" s="24" t="str">
        <f t="shared" si="32"/>
        <v>0</v>
      </c>
      <c r="U89" s="24" t="str">
        <f t="shared" si="33"/>
        <v>0</v>
      </c>
      <c r="V89" s="24" t="str">
        <f t="shared" si="34"/>
        <v>00000000,00</v>
      </c>
      <c r="W89" s="36" t="str">
        <f t="shared" si="18"/>
        <v>901000000000000000/01/19000000000000000000000000,00</v>
      </c>
      <c r="X89">
        <f t="shared" si="19"/>
        <v>51</v>
      </c>
      <c r="Y89" t="str">
        <f t="shared" si="20"/>
        <v>OK</v>
      </c>
    </row>
    <row r="90" spans="1:25" x14ac:dyDescent="0.2">
      <c r="A90" s="38">
        <v>901</v>
      </c>
      <c r="B90" s="39"/>
      <c r="C90" s="40"/>
      <c r="D90" s="38"/>
      <c r="E90" s="38"/>
      <c r="F90" s="41"/>
      <c r="G90" s="45"/>
      <c r="H90" s="45"/>
      <c r="I90" s="23" t="str">
        <f t="shared" si="21"/>
        <v>0000000000000</v>
      </c>
      <c r="J90" s="23" t="str">
        <f t="shared" si="22"/>
        <v>901</v>
      </c>
      <c r="K90" s="23">
        <f t="shared" si="23"/>
        <v>0</v>
      </c>
      <c r="L90" s="23" t="str">
        <f t="shared" si="24"/>
        <v>00</v>
      </c>
      <c r="M90" s="23">
        <f t="shared" si="25"/>
        <v>1</v>
      </c>
      <c r="N90" s="23" t="str">
        <f t="shared" si="26"/>
        <v>01</v>
      </c>
      <c r="O90" s="23">
        <f t="shared" si="27"/>
        <v>1900</v>
      </c>
      <c r="P90" s="23" t="str">
        <f t="shared" si="28"/>
        <v>1900</v>
      </c>
      <c r="Q90" s="23" t="str">
        <f t="shared" si="29"/>
        <v>00/01/1900</v>
      </c>
      <c r="R90" s="24" t="str">
        <f t="shared" si="30"/>
        <v>0000</v>
      </c>
      <c r="S90" s="24" t="str">
        <f t="shared" si="31"/>
        <v>00000000</v>
      </c>
      <c r="T90" s="24" t="str">
        <f t="shared" si="32"/>
        <v>0</v>
      </c>
      <c r="U90" s="24" t="str">
        <f t="shared" si="33"/>
        <v>0</v>
      </c>
      <c r="V90" s="24" t="str">
        <f t="shared" si="34"/>
        <v>00000000,00</v>
      </c>
      <c r="W90" s="36" t="str">
        <f t="shared" si="18"/>
        <v>901000000000000000/01/19000000000000000000000000,00</v>
      </c>
      <c r="X90">
        <f t="shared" si="19"/>
        <v>51</v>
      </c>
      <c r="Y90" t="str">
        <f t="shared" si="20"/>
        <v>OK</v>
      </c>
    </row>
    <row r="91" spans="1:25" x14ac:dyDescent="0.2">
      <c r="A91" s="38">
        <v>901</v>
      </c>
      <c r="B91" s="39"/>
      <c r="C91" s="40"/>
      <c r="D91" s="38"/>
      <c r="E91" s="38"/>
      <c r="F91" s="41"/>
      <c r="G91" s="45"/>
      <c r="H91" s="45"/>
      <c r="I91" s="23" t="str">
        <f t="shared" si="21"/>
        <v>0000000000000</v>
      </c>
      <c r="J91" s="23" t="str">
        <f t="shared" si="22"/>
        <v>901</v>
      </c>
      <c r="K91" s="23">
        <f t="shared" si="23"/>
        <v>0</v>
      </c>
      <c r="L91" s="23" t="str">
        <f t="shared" si="24"/>
        <v>00</v>
      </c>
      <c r="M91" s="23">
        <f t="shared" si="25"/>
        <v>1</v>
      </c>
      <c r="N91" s="23" t="str">
        <f t="shared" si="26"/>
        <v>01</v>
      </c>
      <c r="O91" s="23">
        <f t="shared" si="27"/>
        <v>1900</v>
      </c>
      <c r="P91" s="23" t="str">
        <f t="shared" si="28"/>
        <v>1900</v>
      </c>
      <c r="Q91" s="23" t="str">
        <f t="shared" si="29"/>
        <v>00/01/1900</v>
      </c>
      <c r="R91" s="24" t="str">
        <f t="shared" si="30"/>
        <v>0000</v>
      </c>
      <c r="S91" s="24" t="str">
        <f t="shared" si="31"/>
        <v>00000000</v>
      </c>
      <c r="T91" s="24" t="str">
        <f t="shared" si="32"/>
        <v>0</v>
      </c>
      <c r="U91" s="24" t="str">
        <f t="shared" si="33"/>
        <v>0</v>
      </c>
      <c r="V91" s="24" t="str">
        <f t="shared" si="34"/>
        <v>00000000,00</v>
      </c>
      <c r="W91" s="36" t="str">
        <f t="shared" si="18"/>
        <v>901000000000000000/01/19000000000000000000000000,00</v>
      </c>
      <c r="X91">
        <f t="shared" si="19"/>
        <v>51</v>
      </c>
      <c r="Y91" t="str">
        <f t="shared" si="20"/>
        <v>OK</v>
      </c>
    </row>
    <row r="92" spans="1:25" x14ac:dyDescent="0.2">
      <c r="A92" s="38">
        <v>901</v>
      </c>
      <c r="B92" s="39"/>
      <c r="C92" s="40"/>
      <c r="D92" s="38"/>
      <c r="E92" s="38"/>
      <c r="F92" s="41"/>
      <c r="G92" s="45"/>
      <c r="H92" s="45"/>
      <c r="I92" s="23" t="str">
        <f t="shared" si="21"/>
        <v>0000000000000</v>
      </c>
      <c r="J92" s="23" t="str">
        <f t="shared" si="22"/>
        <v>901</v>
      </c>
      <c r="K92" s="23">
        <f t="shared" si="23"/>
        <v>0</v>
      </c>
      <c r="L92" s="23" t="str">
        <f t="shared" si="24"/>
        <v>00</v>
      </c>
      <c r="M92" s="23">
        <f t="shared" si="25"/>
        <v>1</v>
      </c>
      <c r="N92" s="23" t="str">
        <f t="shared" si="26"/>
        <v>01</v>
      </c>
      <c r="O92" s="23">
        <f t="shared" si="27"/>
        <v>1900</v>
      </c>
      <c r="P92" s="23" t="str">
        <f t="shared" si="28"/>
        <v>1900</v>
      </c>
      <c r="Q92" s="23" t="str">
        <f t="shared" si="29"/>
        <v>00/01/1900</v>
      </c>
      <c r="R92" s="24" t="str">
        <f t="shared" si="30"/>
        <v>0000</v>
      </c>
      <c r="S92" s="24" t="str">
        <f t="shared" si="31"/>
        <v>00000000</v>
      </c>
      <c r="T92" s="24" t="str">
        <f t="shared" si="32"/>
        <v>0</v>
      </c>
      <c r="U92" s="24" t="str">
        <f t="shared" si="33"/>
        <v>0</v>
      </c>
      <c r="V92" s="24" t="str">
        <f t="shared" si="34"/>
        <v>00000000,00</v>
      </c>
      <c r="W92" s="36" t="str">
        <f t="shared" si="18"/>
        <v>901000000000000000/01/19000000000000000000000000,00</v>
      </c>
      <c r="X92">
        <f t="shared" si="19"/>
        <v>51</v>
      </c>
      <c r="Y92" t="str">
        <f t="shared" si="20"/>
        <v>OK</v>
      </c>
    </row>
    <row r="93" spans="1:25" x14ac:dyDescent="0.2">
      <c r="A93" s="38">
        <v>901</v>
      </c>
      <c r="B93" s="39"/>
      <c r="C93" s="40"/>
      <c r="D93" s="38"/>
      <c r="E93" s="38"/>
      <c r="F93" s="41"/>
      <c r="G93" s="45"/>
      <c r="H93" s="45"/>
      <c r="I93" s="23" t="str">
        <f t="shared" si="21"/>
        <v>0000000000000</v>
      </c>
      <c r="J93" s="23" t="str">
        <f t="shared" si="22"/>
        <v>901</v>
      </c>
      <c r="K93" s="23">
        <f t="shared" si="23"/>
        <v>0</v>
      </c>
      <c r="L93" s="23" t="str">
        <f t="shared" si="24"/>
        <v>00</v>
      </c>
      <c r="M93" s="23">
        <f t="shared" si="25"/>
        <v>1</v>
      </c>
      <c r="N93" s="23" t="str">
        <f t="shared" si="26"/>
        <v>01</v>
      </c>
      <c r="O93" s="23">
        <f t="shared" si="27"/>
        <v>1900</v>
      </c>
      <c r="P93" s="23" t="str">
        <f t="shared" si="28"/>
        <v>1900</v>
      </c>
      <c r="Q93" s="23" t="str">
        <f t="shared" si="29"/>
        <v>00/01/1900</v>
      </c>
      <c r="R93" s="24" t="str">
        <f t="shared" si="30"/>
        <v>0000</v>
      </c>
      <c r="S93" s="24" t="str">
        <f t="shared" si="31"/>
        <v>00000000</v>
      </c>
      <c r="T93" s="24" t="str">
        <f t="shared" si="32"/>
        <v>0</v>
      </c>
      <c r="U93" s="24" t="str">
        <f t="shared" si="33"/>
        <v>0</v>
      </c>
      <c r="V93" s="24" t="str">
        <f t="shared" si="34"/>
        <v>00000000,00</v>
      </c>
      <c r="W93" s="36" t="str">
        <f t="shared" si="18"/>
        <v>901000000000000000/01/19000000000000000000000000,00</v>
      </c>
      <c r="X93">
        <f t="shared" si="19"/>
        <v>51</v>
      </c>
      <c r="Y93" t="str">
        <f t="shared" si="20"/>
        <v>OK</v>
      </c>
    </row>
    <row r="94" spans="1:25" x14ac:dyDescent="0.2">
      <c r="A94" s="38">
        <v>901</v>
      </c>
      <c r="B94" s="39"/>
      <c r="C94" s="40"/>
      <c r="D94" s="38"/>
      <c r="E94" s="38"/>
      <c r="F94" s="41"/>
      <c r="G94" s="45"/>
      <c r="H94" s="45"/>
      <c r="I94" s="23" t="str">
        <f t="shared" si="21"/>
        <v>0000000000000</v>
      </c>
      <c r="J94" s="23" t="str">
        <f t="shared" si="22"/>
        <v>901</v>
      </c>
      <c r="K94" s="23">
        <f t="shared" si="23"/>
        <v>0</v>
      </c>
      <c r="L94" s="23" t="str">
        <f t="shared" si="24"/>
        <v>00</v>
      </c>
      <c r="M94" s="23">
        <f t="shared" si="25"/>
        <v>1</v>
      </c>
      <c r="N94" s="23" t="str">
        <f t="shared" si="26"/>
        <v>01</v>
      </c>
      <c r="O94" s="23">
        <f t="shared" si="27"/>
        <v>1900</v>
      </c>
      <c r="P94" s="23" t="str">
        <f t="shared" si="28"/>
        <v>1900</v>
      </c>
      <c r="Q94" s="23" t="str">
        <f t="shared" si="29"/>
        <v>00/01/1900</v>
      </c>
      <c r="R94" s="24" t="str">
        <f t="shared" si="30"/>
        <v>0000</v>
      </c>
      <c r="S94" s="24" t="str">
        <f t="shared" si="31"/>
        <v>00000000</v>
      </c>
      <c r="T94" s="24" t="str">
        <f t="shared" si="32"/>
        <v>0</v>
      </c>
      <c r="U94" s="24" t="str">
        <f t="shared" si="33"/>
        <v>0</v>
      </c>
      <c r="V94" s="24" t="str">
        <f t="shared" si="34"/>
        <v>00000000,00</v>
      </c>
      <c r="W94" s="36" t="str">
        <f t="shared" si="18"/>
        <v>901000000000000000/01/19000000000000000000000000,00</v>
      </c>
      <c r="X94">
        <f t="shared" si="19"/>
        <v>51</v>
      </c>
      <c r="Y94" t="str">
        <f t="shared" si="20"/>
        <v>OK</v>
      </c>
    </row>
    <row r="95" spans="1:25" x14ac:dyDescent="0.2">
      <c r="A95" s="38">
        <v>901</v>
      </c>
      <c r="B95" s="39"/>
      <c r="C95" s="40"/>
      <c r="D95" s="38"/>
      <c r="E95" s="38"/>
      <c r="F95" s="41"/>
      <c r="G95" s="45"/>
      <c r="H95" s="45"/>
      <c r="I95" s="23" t="str">
        <f t="shared" si="21"/>
        <v>0000000000000</v>
      </c>
      <c r="J95" s="23" t="str">
        <f t="shared" si="22"/>
        <v>901</v>
      </c>
      <c r="K95" s="23">
        <f t="shared" si="23"/>
        <v>0</v>
      </c>
      <c r="L95" s="23" t="str">
        <f t="shared" si="24"/>
        <v>00</v>
      </c>
      <c r="M95" s="23">
        <f t="shared" si="25"/>
        <v>1</v>
      </c>
      <c r="N95" s="23" t="str">
        <f t="shared" si="26"/>
        <v>01</v>
      </c>
      <c r="O95" s="23">
        <f t="shared" si="27"/>
        <v>1900</v>
      </c>
      <c r="P95" s="23" t="str">
        <f t="shared" si="28"/>
        <v>1900</v>
      </c>
      <c r="Q95" s="23" t="str">
        <f t="shared" si="29"/>
        <v>00/01/1900</v>
      </c>
      <c r="R95" s="24" t="str">
        <f t="shared" si="30"/>
        <v>0000</v>
      </c>
      <c r="S95" s="24" t="str">
        <f t="shared" si="31"/>
        <v>00000000</v>
      </c>
      <c r="T95" s="24" t="str">
        <f t="shared" si="32"/>
        <v>0</v>
      </c>
      <c r="U95" s="24" t="str">
        <f t="shared" si="33"/>
        <v>0</v>
      </c>
      <c r="V95" s="24" t="str">
        <f t="shared" si="34"/>
        <v>00000000,00</v>
      </c>
      <c r="W95" s="36" t="str">
        <f t="shared" si="18"/>
        <v>901000000000000000/01/19000000000000000000000000,00</v>
      </c>
      <c r="X95">
        <f t="shared" si="19"/>
        <v>51</v>
      </c>
      <c r="Y95" t="str">
        <f t="shared" si="20"/>
        <v>OK</v>
      </c>
    </row>
    <row r="96" spans="1:25" x14ac:dyDescent="0.2">
      <c r="A96" s="38">
        <v>901</v>
      </c>
      <c r="B96" s="39"/>
      <c r="C96" s="40"/>
      <c r="D96" s="38"/>
      <c r="E96" s="38"/>
      <c r="F96" s="41"/>
      <c r="G96" s="45"/>
      <c r="H96" s="45"/>
      <c r="I96" s="23" t="str">
        <f t="shared" si="21"/>
        <v>0000000000000</v>
      </c>
      <c r="J96" s="23" t="str">
        <f t="shared" si="22"/>
        <v>901</v>
      </c>
      <c r="K96" s="23">
        <f t="shared" si="23"/>
        <v>0</v>
      </c>
      <c r="L96" s="23" t="str">
        <f t="shared" si="24"/>
        <v>00</v>
      </c>
      <c r="M96" s="23">
        <f t="shared" si="25"/>
        <v>1</v>
      </c>
      <c r="N96" s="23" t="str">
        <f t="shared" si="26"/>
        <v>01</v>
      </c>
      <c r="O96" s="23">
        <f t="shared" si="27"/>
        <v>1900</v>
      </c>
      <c r="P96" s="23" t="str">
        <f t="shared" si="28"/>
        <v>1900</v>
      </c>
      <c r="Q96" s="23" t="str">
        <f t="shared" si="29"/>
        <v>00/01/1900</v>
      </c>
      <c r="R96" s="24" t="str">
        <f t="shared" si="30"/>
        <v>0000</v>
      </c>
      <c r="S96" s="24" t="str">
        <f t="shared" si="31"/>
        <v>00000000</v>
      </c>
      <c r="T96" s="24" t="str">
        <f t="shared" si="32"/>
        <v>0</v>
      </c>
      <c r="U96" s="24" t="str">
        <f t="shared" si="33"/>
        <v>0</v>
      </c>
      <c r="V96" s="24" t="str">
        <f t="shared" si="34"/>
        <v>00000000,00</v>
      </c>
      <c r="W96" s="36" t="str">
        <f t="shared" si="18"/>
        <v>901000000000000000/01/19000000000000000000000000,00</v>
      </c>
      <c r="X96">
        <f t="shared" si="19"/>
        <v>51</v>
      </c>
      <c r="Y96" t="str">
        <f t="shared" si="20"/>
        <v>OK</v>
      </c>
    </row>
    <row r="97" spans="1:25" x14ac:dyDescent="0.2">
      <c r="A97" s="38">
        <v>901</v>
      </c>
      <c r="B97" s="39"/>
      <c r="C97" s="40"/>
      <c r="D97" s="38"/>
      <c r="E97" s="38"/>
      <c r="F97" s="41"/>
      <c r="G97" s="45"/>
      <c r="H97" s="45"/>
      <c r="I97" s="23" t="str">
        <f t="shared" si="21"/>
        <v>0000000000000</v>
      </c>
      <c r="J97" s="23" t="str">
        <f t="shared" si="22"/>
        <v>901</v>
      </c>
      <c r="K97" s="23">
        <f t="shared" si="23"/>
        <v>0</v>
      </c>
      <c r="L97" s="23" t="str">
        <f t="shared" si="24"/>
        <v>00</v>
      </c>
      <c r="M97" s="23">
        <f t="shared" si="25"/>
        <v>1</v>
      </c>
      <c r="N97" s="23" t="str">
        <f t="shared" si="26"/>
        <v>01</v>
      </c>
      <c r="O97" s="23">
        <f t="shared" si="27"/>
        <v>1900</v>
      </c>
      <c r="P97" s="23" t="str">
        <f t="shared" si="28"/>
        <v>1900</v>
      </c>
      <c r="Q97" s="23" t="str">
        <f t="shared" si="29"/>
        <v>00/01/1900</v>
      </c>
      <c r="R97" s="24" t="str">
        <f t="shared" si="30"/>
        <v>0000</v>
      </c>
      <c r="S97" s="24" t="str">
        <f t="shared" si="31"/>
        <v>00000000</v>
      </c>
      <c r="T97" s="24" t="str">
        <f t="shared" si="32"/>
        <v>0</v>
      </c>
      <c r="U97" s="24" t="str">
        <f t="shared" si="33"/>
        <v>0</v>
      </c>
      <c r="V97" s="24" t="str">
        <f t="shared" si="34"/>
        <v>00000000,00</v>
      </c>
      <c r="W97" s="36" t="str">
        <f t="shared" si="18"/>
        <v>901000000000000000/01/19000000000000000000000000,00</v>
      </c>
      <c r="X97">
        <f t="shared" si="19"/>
        <v>51</v>
      </c>
      <c r="Y97" t="str">
        <f t="shared" si="20"/>
        <v>OK</v>
      </c>
    </row>
    <row r="98" spans="1:25" x14ac:dyDescent="0.2">
      <c r="A98" s="38">
        <v>901</v>
      </c>
      <c r="B98" s="39"/>
      <c r="C98" s="40"/>
      <c r="D98" s="38"/>
      <c r="E98" s="38"/>
      <c r="F98" s="41"/>
      <c r="G98" s="45"/>
      <c r="H98" s="45"/>
      <c r="I98" s="23" t="str">
        <f t="shared" si="21"/>
        <v>0000000000000</v>
      </c>
      <c r="J98" s="23" t="str">
        <f t="shared" si="22"/>
        <v>901</v>
      </c>
      <c r="K98" s="23">
        <f t="shared" si="23"/>
        <v>0</v>
      </c>
      <c r="L98" s="23" t="str">
        <f t="shared" si="24"/>
        <v>00</v>
      </c>
      <c r="M98" s="23">
        <f t="shared" si="25"/>
        <v>1</v>
      </c>
      <c r="N98" s="23" t="str">
        <f t="shared" si="26"/>
        <v>01</v>
      </c>
      <c r="O98" s="23">
        <f t="shared" si="27"/>
        <v>1900</v>
      </c>
      <c r="P98" s="23" t="str">
        <f t="shared" si="28"/>
        <v>1900</v>
      </c>
      <c r="Q98" s="23" t="str">
        <f t="shared" si="29"/>
        <v>00/01/1900</v>
      </c>
      <c r="R98" s="24" t="str">
        <f t="shared" si="30"/>
        <v>0000</v>
      </c>
      <c r="S98" s="24" t="str">
        <f t="shared" si="31"/>
        <v>00000000</v>
      </c>
      <c r="T98" s="24" t="str">
        <f t="shared" si="32"/>
        <v>0</v>
      </c>
      <c r="U98" s="24" t="str">
        <f t="shared" si="33"/>
        <v>0</v>
      </c>
      <c r="V98" s="24" t="str">
        <f t="shared" si="34"/>
        <v>00000000,00</v>
      </c>
      <c r="W98" s="36" t="str">
        <f t="shared" si="18"/>
        <v>901000000000000000/01/19000000000000000000000000,00</v>
      </c>
      <c r="X98">
        <f t="shared" si="19"/>
        <v>51</v>
      </c>
      <c r="Y98" t="str">
        <f t="shared" si="20"/>
        <v>OK</v>
      </c>
    </row>
    <row r="99" spans="1:25" x14ac:dyDescent="0.2">
      <c r="A99" s="38">
        <v>901</v>
      </c>
      <c r="B99" s="39"/>
      <c r="C99" s="40"/>
      <c r="D99" s="38"/>
      <c r="E99" s="38"/>
      <c r="F99" s="41"/>
      <c r="G99" s="45"/>
      <c r="H99" s="45"/>
      <c r="I99" s="23" t="str">
        <f t="shared" si="21"/>
        <v>0000000000000</v>
      </c>
      <c r="J99" s="23" t="str">
        <f t="shared" si="22"/>
        <v>901</v>
      </c>
      <c r="K99" s="23">
        <f t="shared" si="23"/>
        <v>0</v>
      </c>
      <c r="L99" s="23" t="str">
        <f t="shared" si="24"/>
        <v>00</v>
      </c>
      <c r="M99" s="23">
        <f t="shared" si="25"/>
        <v>1</v>
      </c>
      <c r="N99" s="23" t="str">
        <f t="shared" si="26"/>
        <v>01</v>
      </c>
      <c r="O99" s="23">
        <f t="shared" si="27"/>
        <v>1900</v>
      </c>
      <c r="P99" s="23" t="str">
        <f t="shared" si="28"/>
        <v>1900</v>
      </c>
      <c r="Q99" s="23" t="str">
        <f t="shared" si="29"/>
        <v>00/01/1900</v>
      </c>
      <c r="R99" s="24" t="str">
        <f t="shared" si="30"/>
        <v>0000</v>
      </c>
      <c r="S99" s="24" t="str">
        <f t="shared" si="31"/>
        <v>00000000</v>
      </c>
      <c r="T99" s="24" t="str">
        <f t="shared" si="32"/>
        <v>0</v>
      </c>
      <c r="U99" s="24" t="str">
        <f t="shared" si="33"/>
        <v>0</v>
      </c>
      <c r="V99" s="24" t="str">
        <f t="shared" si="34"/>
        <v>00000000,00</v>
      </c>
      <c r="W99" s="36" t="str">
        <f t="shared" si="18"/>
        <v>901000000000000000/01/19000000000000000000000000,00</v>
      </c>
      <c r="X99">
        <f t="shared" si="19"/>
        <v>51</v>
      </c>
      <c r="Y99" t="str">
        <f t="shared" si="20"/>
        <v>OK</v>
      </c>
    </row>
    <row r="100" spans="1:25" x14ac:dyDescent="0.2">
      <c r="A100" s="38">
        <v>901</v>
      </c>
      <c r="B100" s="39"/>
      <c r="C100" s="40"/>
      <c r="D100" s="38"/>
      <c r="E100" s="38"/>
      <c r="F100" s="41"/>
      <c r="G100" s="45"/>
      <c r="H100" s="45"/>
      <c r="I100" s="23" t="str">
        <f t="shared" si="21"/>
        <v>0000000000000</v>
      </c>
      <c r="J100" s="23" t="str">
        <f t="shared" si="22"/>
        <v>901</v>
      </c>
      <c r="K100" s="23">
        <f t="shared" si="23"/>
        <v>0</v>
      </c>
      <c r="L100" s="23" t="str">
        <f t="shared" si="24"/>
        <v>00</v>
      </c>
      <c r="M100" s="23">
        <f t="shared" si="25"/>
        <v>1</v>
      </c>
      <c r="N100" s="23" t="str">
        <f t="shared" si="26"/>
        <v>01</v>
      </c>
      <c r="O100" s="23">
        <f t="shared" si="27"/>
        <v>1900</v>
      </c>
      <c r="P100" s="23" t="str">
        <f t="shared" si="28"/>
        <v>1900</v>
      </c>
      <c r="Q100" s="23" t="str">
        <f t="shared" si="29"/>
        <v>00/01/1900</v>
      </c>
      <c r="R100" s="24" t="str">
        <f t="shared" si="30"/>
        <v>0000</v>
      </c>
      <c r="S100" s="24" t="str">
        <f t="shared" si="31"/>
        <v>00000000</v>
      </c>
      <c r="T100" s="24" t="str">
        <f t="shared" si="32"/>
        <v>0</v>
      </c>
      <c r="U100" s="24" t="str">
        <f t="shared" si="33"/>
        <v>0</v>
      </c>
      <c r="V100" s="24" t="str">
        <f t="shared" si="34"/>
        <v>00000000,00</v>
      </c>
      <c r="W100" s="36" t="str">
        <f t="shared" si="18"/>
        <v>901000000000000000/01/19000000000000000000000000,00</v>
      </c>
      <c r="X100">
        <f t="shared" si="19"/>
        <v>51</v>
      </c>
      <c r="Y100" t="str">
        <f t="shared" si="20"/>
        <v>OK</v>
      </c>
    </row>
    <row r="101" spans="1:25" x14ac:dyDescent="0.2">
      <c r="A101" s="38">
        <v>901</v>
      </c>
      <c r="B101" s="39"/>
      <c r="C101" s="40"/>
      <c r="D101" s="38"/>
      <c r="E101" s="38"/>
      <c r="F101" s="41"/>
      <c r="G101" s="45"/>
      <c r="H101" s="45"/>
      <c r="I101" s="23" t="str">
        <f t="shared" si="21"/>
        <v>0000000000000</v>
      </c>
      <c r="J101" s="23" t="str">
        <f t="shared" si="22"/>
        <v>901</v>
      </c>
      <c r="K101" s="23">
        <f t="shared" si="23"/>
        <v>0</v>
      </c>
      <c r="L101" s="23" t="str">
        <f t="shared" si="24"/>
        <v>00</v>
      </c>
      <c r="M101" s="23">
        <f t="shared" si="25"/>
        <v>1</v>
      </c>
      <c r="N101" s="23" t="str">
        <f t="shared" si="26"/>
        <v>01</v>
      </c>
      <c r="O101" s="23">
        <f t="shared" si="27"/>
        <v>1900</v>
      </c>
      <c r="P101" s="23" t="str">
        <f t="shared" si="28"/>
        <v>1900</v>
      </c>
      <c r="Q101" s="23" t="str">
        <f t="shared" si="29"/>
        <v>00/01/1900</v>
      </c>
      <c r="R101" s="24" t="str">
        <f t="shared" si="30"/>
        <v>0000</v>
      </c>
      <c r="S101" s="24" t="str">
        <f t="shared" si="31"/>
        <v>00000000</v>
      </c>
      <c r="T101" s="24" t="str">
        <f t="shared" si="32"/>
        <v>0</v>
      </c>
      <c r="U101" s="24" t="str">
        <f t="shared" si="33"/>
        <v>0</v>
      </c>
      <c r="V101" s="24" t="str">
        <f t="shared" si="34"/>
        <v>00000000,00</v>
      </c>
      <c r="W101" s="36" t="str">
        <f t="shared" si="18"/>
        <v>901000000000000000/01/19000000000000000000000000,00</v>
      </c>
      <c r="X101">
        <f t="shared" si="19"/>
        <v>51</v>
      </c>
      <c r="Y101" t="str">
        <f t="shared" si="20"/>
        <v>OK</v>
      </c>
    </row>
    <row r="102" spans="1:25" x14ac:dyDescent="0.2">
      <c r="A102" s="38">
        <v>901</v>
      </c>
      <c r="B102" s="39"/>
      <c r="C102" s="40"/>
      <c r="D102" s="38"/>
      <c r="E102" s="38"/>
      <c r="F102" s="41"/>
      <c r="G102" s="45"/>
      <c r="H102" s="45"/>
      <c r="I102" s="23" t="str">
        <f t="shared" si="21"/>
        <v>0000000000000</v>
      </c>
      <c r="J102" s="23" t="str">
        <f t="shared" si="22"/>
        <v>901</v>
      </c>
      <c r="K102" s="23">
        <f t="shared" si="23"/>
        <v>0</v>
      </c>
      <c r="L102" s="23" t="str">
        <f t="shared" si="24"/>
        <v>00</v>
      </c>
      <c r="M102" s="23">
        <f t="shared" si="25"/>
        <v>1</v>
      </c>
      <c r="N102" s="23" t="str">
        <f t="shared" si="26"/>
        <v>01</v>
      </c>
      <c r="O102" s="23">
        <f t="shared" si="27"/>
        <v>1900</v>
      </c>
      <c r="P102" s="23" t="str">
        <f t="shared" si="28"/>
        <v>1900</v>
      </c>
      <c r="Q102" s="23" t="str">
        <f t="shared" si="29"/>
        <v>00/01/1900</v>
      </c>
      <c r="R102" s="24" t="str">
        <f t="shared" si="30"/>
        <v>0000</v>
      </c>
      <c r="S102" s="24" t="str">
        <f t="shared" si="31"/>
        <v>00000000</v>
      </c>
      <c r="T102" s="24" t="str">
        <f t="shared" si="32"/>
        <v>0</v>
      </c>
      <c r="U102" s="24" t="str">
        <f t="shared" si="33"/>
        <v>0</v>
      </c>
      <c r="V102" s="24" t="str">
        <f t="shared" si="34"/>
        <v>00000000,00</v>
      </c>
      <c r="W102" s="36" t="str">
        <f t="shared" si="18"/>
        <v>901000000000000000/01/19000000000000000000000000,00</v>
      </c>
      <c r="X102">
        <f t="shared" si="19"/>
        <v>51</v>
      </c>
      <c r="Y102" t="str">
        <f t="shared" si="20"/>
        <v>OK</v>
      </c>
    </row>
    <row r="103" spans="1:25" x14ac:dyDescent="0.2">
      <c r="A103" s="38">
        <v>901</v>
      </c>
      <c r="B103" s="39"/>
      <c r="C103" s="40"/>
      <c r="D103" s="38"/>
      <c r="E103" s="38"/>
      <c r="F103" s="41"/>
      <c r="G103" s="45"/>
      <c r="H103" s="45"/>
      <c r="I103" s="23" t="str">
        <f t="shared" si="21"/>
        <v>0000000000000</v>
      </c>
      <c r="J103" s="23" t="str">
        <f t="shared" si="22"/>
        <v>901</v>
      </c>
      <c r="K103" s="23">
        <f t="shared" si="23"/>
        <v>0</v>
      </c>
      <c r="L103" s="23" t="str">
        <f t="shared" si="24"/>
        <v>00</v>
      </c>
      <c r="M103" s="23">
        <f t="shared" si="25"/>
        <v>1</v>
      </c>
      <c r="N103" s="23" t="str">
        <f t="shared" si="26"/>
        <v>01</v>
      </c>
      <c r="O103" s="23">
        <f t="shared" si="27"/>
        <v>1900</v>
      </c>
      <c r="P103" s="23" t="str">
        <f t="shared" si="28"/>
        <v>1900</v>
      </c>
      <c r="Q103" s="23" t="str">
        <f t="shared" si="29"/>
        <v>00/01/1900</v>
      </c>
      <c r="R103" s="24" t="str">
        <f t="shared" si="30"/>
        <v>0000</v>
      </c>
      <c r="S103" s="24" t="str">
        <f t="shared" si="31"/>
        <v>00000000</v>
      </c>
      <c r="T103" s="24" t="str">
        <f t="shared" si="32"/>
        <v>0</v>
      </c>
      <c r="U103" s="24" t="str">
        <f t="shared" si="33"/>
        <v>0</v>
      </c>
      <c r="V103" s="24" t="str">
        <f t="shared" si="34"/>
        <v>00000000,00</v>
      </c>
      <c r="W103" s="36" t="str">
        <f t="shared" si="18"/>
        <v>901000000000000000/01/19000000000000000000000000,00</v>
      </c>
      <c r="X103">
        <f t="shared" si="19"/>
        <v>51</v>
      </c>
      <c r="Y103" t="str">
        <f t="shared" si="20"/>
        <v>OK</v>
      </c>
    </row>
    <row r="104" spans="1:25" x14ac:dyDescent="0.2">
      <c r="A104" s="38">
        <v>901</v>
      </c>
      <c r="B104" s="39"/>
      <c r="C104" s="40"/>
      <c r="D104" s="38"/>
      <c r="E104" s="38"/>
      <c r="F104" s="41"/>
      <c r="G104" s="45"/>
      <c r="H104" s="45"/>
      <c r="I104" s="23" t="str">
        <f t="shared" si="21"/>
        <v>0000000000000</v>
      </c>
      <c r="J104" s="23" t="str">
        <f t="shared" si="22"/>
        <v>901</v>
      </c>
      <c r="K104" s="23">
        <f t="shared" si="23"/>
        <v>0</v>
      </c>
      <c r="L104" s="23" t="str">
        <f t="shared" si="24"/>
        <v>00</v>
      </c>
      <c r="M104" s="23">
        <f t="shared" si="25"/>
        <v>1</v>
      </c>
      <c r="N104" s="23" t="str">
        <f t="shared" si="26"/>
        <v>01</v>
      </c>
      <c r="O104" s="23">
        <f t="shared" si="27"/>
        <v>1900</v>
      </c>
      <c r="P104" s="23" t="str">
        <f t="shared" si="28"/>
        <v>1900</v>
      </c>
      <c r="Q104" s="23" t="str">
        <f t="shared" si="29"/>
        <v>00/01/1900</v>
      </c>
      <c r="R104" s="24" t="str">
        <f t="shared" si="30"/>
        <v>0000</v>
      </c>
      <c r="S104" s="24" t="str">
        <f t="shared" si="31"/>
        <v>00000000</v>
      </c>
      <c r="T104" s="24" t="str">
        <f t="shared" si="32"/>
        <v>0</v>
      </c>
      <c r="U104" s="24" t="str">
        <f t="shared" si="33"/>
        <v>0</v>
      </c>
      <c r="V104" s="24" t="str">
        <f t="shared" si="34"/>
        <v>00000000,00</v>
      </c>
      <c r="W104" s="36" t="str">
        <f t="shared" si="18"/>
        <v>901000000000000000/01/19000000000000000000000000,00</v>
      </c>
      <c r="X104">
        <f t="shared" si="19"/>
        <v>51</v>
      </c>
      <c r="Y104" t="str">
        <f t="shared" si="20"/>
        <v>OK</v>
      </c>
    </row>
    <row r="105" spans="1:25" x14ac:dyDescent="0.2">
      <c r="A105" s="38">
        <v>901</v>
      </c>
      <c r="B105" s="39"/>
      <c r="C105" s="40"/>
      <c r="D105" s="38"/>
      <c r="E105" s="38"/>
      <c r="F105" s="41"/>
      <c r="G105" s="45"/>
      <c r="H105" s="45"/>
      <c r="I105" s="23" t="str">
        <f t="shared" si="21"/>
        <v>0000000000000</v>
      </c>
      <c r="J105" s="23" t="str">
        <f t="shared" si="22"/>
        <v>901</v>
      </c>
      <c r="K105" s="23">
        <f t="shared" si="23"/>
        <v>0</v>
      </c>
      <c r="L105" s="23" t="str">
        <f t="shared" si="24"/>
        <v>00</v>
      </c>
      <c r="M105" s="23">
        <f t="shared" si="25"/>
        <v>1</v>
      </c>
      <c r="N105" s="23" t="str">
        <f t="shared" si="26"/>
        <v>01</v>
      </c>
      <c r="O105" s="23">
        <f t="shared" si="27"/>
        <v>1900</v>
      </c>
      <c r="P105" s="23" t="str">
        <f t="shared" si="28"/>
        <v>1900</v>
      </c>
      <c r="Q105" s="23" t="str">
        <f t="shared" si="29"/>
        <v>00/01/1900</v>
      </c>
      <c r="R105" s="24" t="str">
        <f t="shared" si="30"/>
        <v>0000</v>
      </c>
      <c r="S105" s="24" t="str">
        <f t="shared" si="31"/>
        <v>00000000</v>
      </c>
      <c r="T105" s="24" t="str">
        <f t="shared" si="32"/>
        <v>0</v>
      </c>
      <c r="U105" s="24" t="str">
        <f t="shared" si="33"/>
        <v>0</v>
      </c>
      <c r="V105" s="24" t="str">
        <f t="shared" si="34"/>
        <v>00000000,00</v>
      </c>
      <c r="W105" s="36" t="str">
        <f t="shared" si="18"/>
        <v>901000000000000000/01/19000000000000000000000000,00</v>
      </c>
      <c r="X105">
        <f t="shared" si="19"/>
        <v>51</v>
      </c>
      <c r="Y105" t="str">
        <f t="shared" si="20"/>
        <v>OK</v>
      </c>
    </row>
    <row r="106" spans="1:25" x14ac:dyDescent="0.2">
      <c r="A106" s="38">
        <v>901</v>
      </c>
      <c r="B106" s="39"/>
      <c r="C106" s="40"/>
      <c r="D106" s="38"/>
      <c r="E106" s="38"/>
      <c r="F106" s="41"/>
      <c r="G106" s="45"/>
      <c r="H106" s="45"/>
      <c r="I106" s="23" t="str">
        <f t="shared" si="21"/>
        <v>0000000000000</v>
      </c>
      <c r="J106" s="23" t="str">
        <f t="shared" si="22"/>
        <v>901</v>
      </c>
      <c r="K106" s="23">
        <f t="shared" si="23"/>
        <v>0</v>
      </c>
      <c r="L106" s="23" t="str">
        <f t="shared" si="24"/>
        <v>00</v>
      </c>
      <c r="M106" s="23">
        <f t="shared" si="25"/>
        <v>1</v>
      </c>
      <c r="N106" s="23" t="str">
        <f t="shared" si="26"/>
        <v>01</v>
      </c>
      <c r="O106" s="23">
        <f t="shared" si="27"/>
        <v>1900</v>
      </c>
      <c r="P106" s="23" t="str">
        <f t="shared" si="28"/>
        <v>1900</v>
      </c>
      <c r="Q106" s="23" t="str">
        <f t="shared" si="29"/>
        <v>00/01/1900</v>
      </c>
      <c r="R106" s="24" t="str">
        <f t="shared" si="30"/>
        <v>0000</v>
      </c>
      <c r="S106" s="24" t="str">
        <f t="shared" si="31"/>
        <v>00000000</v>
      </c>
      <c r="T106" s="24" t="str">
        <f t="shared" si="32"/>
        <v>0</v>
      </c>
      <c r="U106" s="24" t="str">
        <f t="shared" si="33"/>
        <v>0</v>
      </c>
      <c r="V106" s="24" t="str">
        <f t="shared" si="34"/>
        <v>00000000,00</v>
      </c>
      <c r="W106" s="36" t="str">
        <f t="shared" si="18"/>
        <v>901000000000000000/01/19000000000000000000000000,00</v>
      </c>
      <c r="X106">
        <f t="shared" si="19"/>
        <v>51</v>
      </c>
      <c r="Y106" t="str">
        <f t="shared" si="20"/>
        <v>OK</v>
      </c>
    </row>
    <row r="107" spans="1:25" x14ac:dyDescent="0.2">
      <c r="A107" s="38">
        <v>901</v>
      </c>
      <c r="B107" s="39"/>
      <c r="C107" s="40"/>
      <c r="D107" s="38"/>
      <c r="E107" s="38"/>
      <c r="F107" s="41"/>
      <c r="G107" s="45"/>
      <c r="H107" s="45"/>
      <c r="I107" s="23" t="str">
        <f t="shared" si="21"/>
        <v>0000000000000</v>
      </c>
      <c r="J107" s="23" t="str">
        <f t="shared" si="22"/>
        <v>901</v>
      </c>
      <c r="K107" s="23">
        <f t="shared" si="23"/>
        <v>0</v>
      </c>
      <c r="L107" s="23" t="str">
        <f t="shared" si="24"/>
        <v>00</v>
      </c>
      <c r="M107" s="23">
        <f t="shared" si="25"/>
        <v>1</v>
      </c>
      <c r="N107" s="23" t="str">
        <f t="shared" si="26"/>
        <v>01</v>
      </c>
      <c r="O107" s="23">
        <f t="shared" si="27"/>
        <v>1900</v>
      </c>
      <c r="P107" s="23" t="str">
        <f t="shared" si="28"/>
        <v>1900</v>
      </c>
      <c r="Q107" s="23" t="str">
        <f t="shared" si="29"/>
        <v>00/01/1900</v>
      </c>
      <c r="R107" s="24" t="str">
        <f t="shared" si="30"/>
        <v>0000</v>
      </c>
      <c r="S107" s="24" t="str">
        <f t="shared" si="31"/>
        <v>00000000</v>
      </c>
      <c r="T107" s="24" t="str">
        <f t="shared" si="32"/>
        <v>0</v>
      </c>
      <c r="U107" s="24" t="str">
        <f t="shared" si="33"/>
        <v>0</v>
      </c>
      <c r="V107" s="24" t="str">
        <f t="shared" si="34"/>
        <v>00000000,00</v>
      </c>
      <c r="W107" s="36" t="str">
        <f t="shared" si="18"/>
        <v>901000000000000000/01/19000000000000000000000000,00</v>
      </c>
      <c r="X107">
        <f t="shared" si="19"/>
        <v>51</v>
      </c>
      <c r="Y107" t="str">
        <f t="shared" si="20"/>
        <v>OK</v>
      </c>
    </row>
    <row r="108" spans="1:25" x14ac:dyDescent="0.2">
      <c r="A108" s="38">
        <v>901</v>
      </c>
      <c r="B108" s="39"/>
      <c r="C108" s="40"/>
      <c r="D108" s="38"/>
      <c r="E108" s="38"/>
      <c r="F108" s="41"/>
      <c r="G108" s="45"/>
      <c r="H108" s="45"/>
      <c r="I108" s="23" t="str">
        <f t="shared" si="21"/>
        <v>0000000000000</v>
      </c>
      <c r="J108" s="23" t="str">
        <f t="shared" si="22"/>
        <v>901</v>
      </c>
      <c r="K108" s="23">
        <f t="shared" si="23"/>
        <v>0</v>
      </c>
      <c r="L108" s="23" t="str">
        <f t="shared" si="24"/>
        <v>00</v>
      </c>
      <c r="M108" s="23">
        <f t="shared" si="25"/>
        <v>1</v>
      </c>
      <c r="N108" s="23" t="str">
        <f t="shared" si="26"/>
        <v>01</v>
      </c>
      <c r="O108" s="23">
        <f t="shared" si="27"/>
        <v>1900</v>
      </c>
      <c r="P108" s="23" t="str">
        <f t="shared" si="28"/>
        <v>1900</v>
      </c>
      <c r="Q108" s="23" t="str">
        <f t="shared" si="29"/>
        <v>00/01/1900</v>
      </c>
      <c r="R108" s="24" t="str">
        <f t="shared" si="30"/>
        <v>0000</v>
      </c>
      <c r="S108" s="24" t="str">
        <f t="shared" si="31"/>
        <v>00000000</v>
      </c>
      <c r="T108" s="24" t="str">
        <f t="shared" si="32"/>
        <v>0</v>
      </c>
      <c r="U108" s="24" t="str">
        <f t="shared" si="33"/>
        <v>0</v>
      </c>
      <c r="V108" s="24" t="str">
        <f t="shared" si="34"/>
        <v>00000000,00</v>
      </c>
      <c r="W108" s="36" t="str">
        <f t="shared" si="18"/>
        <v>901000000000000000/01/19000000000000000000000000,00</v>
      </c>
      <c r="X108">
        <f t="shared" si="19"/>
        <v>51</v>
      </c>
      <c r="Y108" t="str">
        <f t="shared" si="20"/>
        <v>OK</v>
      </c>
    </row>
    <row r="109" spans="1:25" x14ac:dyDescent="0.2">
      <c r="A109" s="38">
        <v>901</v>
      </c>
      <c r="B109" s="39"/>
      <c r="C109" s="40"/>
      <c r="D109" s="38"/>
      <c r="E109" s="38"/>
      <c r="F109" s="41"/>
      <c r="G109" s="45"/>
      <c r="H109" s="45"/>
      <c r="I109" s="23" t="str">
        <f t="shared" si="21"/>
        <v>0000000000000</v>
      </c>
      <c r="J109" s="23" t="str">
        <f t="shared" si="22"/>
        <v>901</v>
      </c>
      <c r="K109" s="23">
        <f t="shared" si="23"/>
        <v>0</v>
      </c>
      <c r="L109" s="23" t="str">
        <f t="shared" si="24"/>
        <v>00</v>
      </c>
      <c r="M109" s="23">
        <f t="shared" si="25"/>
        <v>1</v>
      </c>
      <c r="N109" s="23" t="str">
        <f t="shared" si="26"/>
        <v>01</v>
      </c>
      <c r="O109" s="23">
        <f t="shared" si="27"/>
        <v>1900</v>
      </c>
      <c r="P109" s="23" t="str">
        <f t="shared" si="28"/>
        <v>1900</v>
      </c>
      <c r="Q109" s="23" t="str">
        <f t="shared" si="29"/>
        <v>00/01/1900</v>
      </c>
      <c r="R109" s="24" t="str">
        <f t="shared" si="30"/>
        <v>0000</v>
      </c>
      <c r="S109" s="24" t="str">
        <f t="shared" si="31"/>
        <v>00000000</v>
      </c>
      <c r="T109" s="24" t="str">
        <f t="shared" si="32"/>
        <v>0</v>
      </c>
      <c r="U109" s="24" t="str">
        <f t="shared" si="33"/>
        <v>0</v>
      </c>
      <c r="V109" s="24" t="str">
        <f t="shared" si="34"/>
        <v>00000000,00</v>
      </c>
      <c r="W109" s="36" t="str">
        <f t="shared" si="18"/>
        <v>901000000000000000/01/19000000000000000000000000,00</v>
      </c>
      <c r="X109">
        <f t="shared" si="19"/>
        <v>51</v>
      </c>
      <c r="Y109" t="str">
        <f t="shared" si="20"/>
        <v>OK</v>
      </c>
    </row>
    <row r="110" spans="1:25" x14ac:dyDescent="0.2">
      <c r="A110" s="38">
        <v>901</v>
      </c>
      <c r="B110" s="39"/>
      <c r="C110" s="40"/>
      <c r="D110" s="38"/>
      <c r="E110" s="38"/>
      <c r="F110" s="41"/>
      <c r="G110" s="45"/>
      <c r="H110" s="45"/>
      <c r="I110" s="23" t="str">
        <f t="shared" si="21"/>
        <v>0000000000000</v>
      </c>
      <c r="J110" s="23" t="str">
        <f t="shared" si="22"/>
        <v>901</v>
      </c>
      <c r="K110" s="23">
        <f t="shared" si="23"/>
        <v>0</v>
      </c>
      <c r="L110" s="23" t="str">
        <f t="shared" si="24"/>
        <v>00</v>
      </c>
      <c r="M110" s="23">
        <f t="shared" si="25"/>
        <v>1</v>
      </c>
      <c r="N110" s="23" t="str">
        <f t="shared" si="26"/>
        <v>01</v>
      </c>
      <c r="O110" s="23">
        <f t="shared" si="27"/>
        <v>1900</v>
      </c>
      <c r="P110" s="23" t="str">
        <f t="shared" si="28"/>
        <v>1900</v>
      </c>
      <c r="Q110" s="23" t="str">
        <f t="shared" si="29"/>
        <v>00/01/1900</v>
      </c>
      <c r="R110" s="24" t="str">
        <f t="shared" si="30"/>
        <v>0000</v>
      </c>
      <c r="S110" s="24" t="str">
        <f t="shared" si="31"/>
        <v>00000000</v>
      </c>
      <c r="T110" s="24" t="str">
        <f t="shared" si="32"/>
        <v>0</v>
      </c>
      <c r="U110" s="24" t="str">
        <f t="shared" si="33"/>
        <v>0</v>
      </c>
      <c r="V110" s="24" t="str">
        <f t="shared" si="34"/>
        <v>00000000,00</v>
      </c>
      <c r="W110" s="36" t="str">
        <f t="shared" si="18"/>
        <v>901000000000000000/01/19000000000000000000000000,00</v>
      </c>
      <c r="X110">
        <f t="shared" si="19"/>
        <v>51</v>
      </c>
      <c r="Y110" t="str">
        <f t="shared" si="20"/>
        <v>OK</v>
      </c>
    </row>
  </sheetData>
  <mergeCells count="5">
    <mergeCell ref="C1:C2"/>
    <mergeCell ref="F1:G1"/>
    <mergeCell ref="D1:E1"/>
    <mergeCell ref="A1:A2"/>
    <mergeCell ref="B1:B2"/>
  </mergeCells>
  <phoneticPr fontId="2" type="noConversion"/>
  <dataValidations count="3">
    <dataValidation type="list" allowBlank="1" showInputMessage="1" showErrorMessage="1" sqref="G6:G110">
      <formula1>"A,B,C,E,M,T"</formula1>
    </dataValidation>
    <dataValidation type="list" allowBlank="1" showInputMessage="1" showErrorMessage="1" sqref="F6:F110">
      <formula1>"F,R,D,C,O"</formula1>
    </dataValidation>
    <dataValidation type="list" allowBlank="1" showInputMessage="1" showErrorMessage="1" sqref="A6:A110">
      <formula1>JUR</formula1>
    </dataValidation>
  </dataValidations>
  <pageMargins left="0.75" right="0.75" top="1" bottom="1" header="0" footer="0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0"/>
  <sheetViews>
    <sheetView zoomScale="80" workbookViewId="0">
      <pane ySplit="5" topLeftCell="A12" activePane="bottomLeft" state="frozen"/>
      <selection activeCell="B16" sqref="B16:B18"/>
      <selection pane="bottomLeft" activeCell="Q6" sqref="Q6:Q110"/>
    </sheetView>
  </sheetViews>
  <sheetFormatPr baseColWidth="10" defaultRowHeight="12.75" x14ac:dyDescent="0.2"/>
  <cols>
    <col min="1" max="1" width="14.42578125" style="9" bestFit="1" customWidth="1"/>
    <col min="2" max="2" width="14.42578125" bestFit="1" customWidth="1"/>
    <col min="3" max="3" width="10.85546875" style="2" bestFit="1" customWidth="1"/>
    <col min="4" max="4" width="23" style="9" bestFit="1" customWidth="1"/>
    <col min="5" max="5" width="11.5703125" style="1" bestFit="1" customWidth="1"/>
    <col min="6" max="6" width="14.42578125" style="1" hidden="1" customWidth="1"/>
    <col min="7" max="7" width="4.42578125" style="1" hidden="1" customWidth="1"/>
    <col min="8" max="8" width="5" style="1" hidden="1" customWidth="1"/>
    <col min="9" max="9" width="3.42578125" style="1" hidden="1" customWidth="1"/>
    <col min="10" max="10" width="5" style="1" hidden="1" customWidth="1"/>
    <col min="11" max="11" width="3.42578125" style="1" hidden="1" customWidth="1"/>
    <col min="12" max="12" width="8.140625" style="1" hidden="1" customWidth="1"/>
    <col min="13" max="13" width="5.5703125" style="1" hidden="1" customWidth="1"/>
    <col min="14" max="14" width="10.85546875" style="1" hidden="1" customWidth="1"/>
    <col min="15" max="15" width="26.5703125" style="3" hidden="1" customWidth="1"/>
    <col min="16" max="16" width="12.42578125" hidden="1" customWidth="1"/>
    <col min="17" max="17" width="62.28515625" bestFit="1" customWidth="1"/>
    <col min="18" max="18" width="11.42578125" style="31"/>
  </cols>
  <sheetData>
    <row r="1" spans="1:19" s="4" customFormat="1" x14ac:dyDescent="0.2">
      <c r="A1" s="50" t="s">
        <v>0</v>
      </c>
      <c r="B1" s="4" t="s">
        <v>1</v>
      </c>
      <c r="C1" s="5" t="s">
        <v>2</v>
      </c>
      <c r="D1" s="4" t="s">
        <v>24</v>
      </c>
      <c r="E1" s="7" t="s">
        <v>9</v>
      </c>
      <c r="F1" s="7"/>
      <c r="G1" s="7"/>
      <c r="H1" s="7"/>
      <c r="I1" s="7"/>
      <c r="J1" s="7"/>
      <c r="K1" s="7"/>
      <c r="L1" s="7"/>
      <c r="M1" s="7"/>
      <c r="N1" s="7"/>
      <c r="O1" s="6"/>
      <c r="Q1" s="4" t="s">
        <v>12</v>
      </c>
      <c r="R1" s="29"/>
    </row>
    <row r="2" spans="1:19" s="4" customFormat="1" x14ac:dyDescent="0.2">
      <c r="A2" s="50"/>
      <c r="C2" s="5"/>
      <c r="D2" s="8" t="s">
        <v>25</v>
      </c>
      <c r="E2" s="7" t="s">
        <v>10</v>
      </c>
      <c r="F2" s="7"/>
      <c r="G2" s="7"/>
      <c r="H2" s="7"/>
      <c r="I2" s="7"/>
      <c r="J2" s="7"/>
      <c r="K2" s="7"/>
      <c r="L2" s="7"/>
      <c r="M2" s="7"/>
      <c r="N2" s="7"/>
      <c r="O2" s="6"/>
      <c r="Q2" s="4" t="s">
        <v>13</v>
      </c>
      <c r="R2" s="29"/>
    </row>
    <row r="3" spans="1:19" s="8" customFormat="1" x14ac:dyDescent="0.2">
      <c r="A3" s="8">
        <v>3</v>
      </c>
      <c r="B3" s="8">
        <v>13</v>
      </c>
      <c r="C3" s="8">
        <v>10</v>
      </c>
      <c r="D3" s="8">
        <v>20</v>
      </c>
      <c r="O3" s="6"/>
      <c r="Q3" s="8" t="s">
        <v>14</v>
      </c>
      <c r="R3" s="30"/>
    </row>
    <row r="4" spans="1:19" s="8" customFormat="1" x14ac:dyDescent="0.2">
      <c r="O4" s="6"/>
      <c r="R4" s="30"/>
    </row>
    <row r="5" spans="1:19" x14ac:dyDescent="0.2">
      <c r="D5" s="3"/>
      <c r="F5" s="1" t="str">
        <f>TEXT(B5,"0000000000000")</f>
        <v>0000000000000</v>
      </c>
      <c r="G5" s="1" t="str">
        <f>TEXT(A5,"000")</f>
        <v>000</v>
      </c>
      <c r="H5" s="1">
        <f>DAY(C5)</f>
        <v>0</v>
      </c>
      <c r="I5" s="1" t="str">
        <f>TEXT(H5,"00")</f>
        <v>00</v>
      </c>
      <c r="J5" s="1">
        <f>MONTH(C5)</f>
        <v>1</v>
      </c>
      <c r="K5" s="1" t="str">
        <f>TEXT(J5,"00")</f>
        <v>01</v>
      </c>
      <c r="L5" s="1">
        <f>YEAR(C5)</f>
        <v>1900</v>
      </c>
      <c r="M5" s="1" t="str">
        <f>TEXT(L5,"0000")</f>
        <v>1900</v>
      </c>
      <c r="N5" s="1" t="str">
        <f>CONCATENATE(I5,"/",K5,"/",M5)</f>
        <v>00/01/1900</v>
      </c>
      <c r="O5" s="10" t="str">
        <f>TEXT(D5,"00000000000000000000")</f>
        <v>00000000000000000000</v>
      </c>
      <c r="P5" t="str">
        <f>TEXT(E5,"00000000,00")</f>
        <v>00000000,00</v>
      </c>
    </row>
    <row r="6" spans="1:19" x14ac:dyDescent="0.2">
      <c r="A6" s="19"/>
      <c r="B6" s="20"/>
      <c r="C6" s="21"/>
      <c r="D6" s="26"/>
      <c r="E6" s="23"/>
      <c r="F6" s="23" t="str">
        <f>TEXT(B6,"0000000000000")</f>
        <v>0000000000000</v>
      </c>
      <c r="G6" s="23" t="str">
        <f>TEXT(A6,"000")</f>
        <v>000</v>
      </c>
      <c r="H6" s="23">
        <f>DAY(C6)</f>
        <v>0</v>
      </c>
      <c r="I6" s="23" t="str">
        <f>TEXT(H6,"00")</f>
        <v>00</v>
      </c>
      <c r="J6" s="23">
        <f>MONTH(C6)</f>
        <v>1</v>
      </c>
      <c r="K6" s="23" t="str">
        <f>TEXT(J6,"00")</f>
        <v>01</v>
      </c>
      <c r="L6" s="23">
        <f>YEAR(C6)</f>
        <v>1900</v>
      </c>
      <c r="M6" s="23" t="str">
        <f>TEXT(L6,"0000")</f>
        <v>1900</v>
      </c>
      <c r="N6" s="23" t="str">
        <f>CONCATENATE(I6,"/",K6,"/",M6)</f>
        <v>00/01/1900</v>
      </c>
      <c r="O6" s="27" t="str">
        <f>TEXT(D6,"00000000000000000000")</f>
        <v>00000000000000000000</v>
      </c>
      <c r="P6" s="24" t="str">
        <f>TEXT(E6,"00000000,00")</f>
        <v>00000000,00</v>
      </c>
      <c r="Q6" s="36" t="str">
        <f>IF(A6="","",CONCATENATE(G6,F6,N6,O6,P6))</f>
        <v/>
      </c>
      <c r="R6" t="str">
        <f>IF(A6="","",LEN(Q6))</f>
        <v/>
      </c>
      <c r="S6" t="str">
        <f>IF(A6="","",IF(R6=57,"OK","ERROR DE LONGITUD DEL TEXTO"))</f>
        <v/>
      </c>
    </row>
    <row r="7" spans="1:19" x14ac:dyDescent="0.2">
      <c r="A7" s="28"/>
      <c r="B7" s="24"/>
      <c r="C7" s="21"/>
      <c r="D7" s="26"/>
      <c r="E7" s="23"/>
      <c r="F7" s="23" t="str">
        <f>TEXT(B7,"0000000000000")</f>
        <v>0000000000000</v>
      </c>
      <c r="G7" s="23" t="str">
        <f>TEXT(A7,"000")</f>
        <v>000</v>
      </c>
      <c r="H7" s="23">
        <f>DAY(C7)</f>
        <v>0</v>
      </c>
      <c r="I7" s="23" t="str">
        <f>TEXT(H7,"00")</f>
        <v>00</v>
      </c>
      <c r="J7" s="23">
        <f>MONTH(C7)</f>
        <v>1</v>
      </c>
      <c r="K7" s="23" t="str">
        <f>TEXT(J7,"00")</f>
        <v>01</v>
      </c>
      <c r="L7" s="23">
        <f>YEAR(C7)</f>
        <v>1900</v>
      </c>
      <c r="M7" s="23" t="str">
        <f>TEXT(L7,"0000")</f>
        <v>1900</v>
      </c>
      <c r="N7" s="23" t="str">
        <f>CONCATENATE(I7,"/",K7,"/",M7)</f>
        <v>00/01/1900</v>
      </c>
      <c r="O7" s="27" t="str">
        <f>TEXT(D7,"00000000000000000000")</f>
        <v>00000000000000000000</v>
      </c>
      <c r="P7" s="24" t="str">
        <f>TEXT(E7,"00000000,00")</f>
        <v>00000000,00</v>
      </c>
      <c r="Q7" s="36" t="str">
        <f t="shared" ref="Q7:Q70" si="0">IF(A7="","",CONCATENATE(G7,F7,N7,O7,P7))</f>
        <v/>
      </c>
      <c r="R7" t="str">
        <f t="shared" ref="R7:R70" si="1">IF(A7="","",LEN(Q7))</f>
        <v/>
      </c>
      <c r="S7" t="str">
        <f t="shared" ref="S7:S70" si="2">IF(A7="","",IF(R7=57,"OK","ERROR DE LONGITUD DEL TEXTO"))</f>
        <v/>
      </c>
    </row>
    <row r="8" spans="1:19" x14ac:dyDescent="0.2">
      <c r="A8" s="28"/>
      <c r="B8" s="24"/>
      <c r="C8" s="21"/>
      <c r="D8" s="26"/>
      <c r="E8" s="23"/>
      <c r="F8" s="23" t="str">
        <f>TEXT(B8,"0000000000000")</f>
        <v>0000000000000</v>
      </c>
      <c r="G8" s="23" t="str">
        <f>TEXT(A8,"000")</f>
        <v>000</v>
      </c>
      <c r="H8" s="23">
        <f>DAY(C8)</f>
        <v>0</v>
      </c>
      <c r="I8" s="23" t="str">
        <f>TEXT(H8,"00")</f>
        <v>00</v>
      </c>
      <c r="J8" s="23">
        <f>MONTH(C8)</f>
        <v>1</v>
      </c>
      <c r="K8" s="23" t="str">
        <f>TEXT(J8,"00")</f>
        <v>01</v>
      </c>
      <c r="L8" s="23">
        <f>YEAR(C8)</f>
        <v>1900</v>
      </c>
      <c r="M8" s="23" t="str">
        <f>TEXT(L8,"0000")</f>
        <v>1900</v>
      </c>
      <c r="N8" s="23" t="str">
        <f>CONCATENATE(I8,"/",K8,"/",M8)</f>
        <v>00/01/1900</v>
      </c>
      <c r="O8" s="27" t="str">
        <f>TEXT(D8,"00000000000000000000")</f>
        <v>00000000000000000000</v>
      </c>
      <c r="P8" s="24" t="str">
        <f>TEXT(E8,"00000000,00")</f>
        <v>00000000,00</v>
      </c>
      <c r="Q8" s="36" t="str">
        <f t="shared" si="0"/>
        <v/>
      </c>
      <c r="R8" t="str">
        <f t="shared" si="1"/>
        <v/>
      </c>
      <c r="S8" t="str">
        <f t="shared" si="2"/>
        <v/>
      </c>
    </row>
    <row r="9" spans="1:19" x14ac:dyDescent="0.2">
      <c r="A9" s="28"/>
      <c r="B9" s="24"/>
      <c r="C9" s="21"/>
      <c r="D9" s="26"/>
      <c r="E9" s="23"/>
      <c r="F9" s="23" t="str">
        <f t="shared" ref="F9:F72" si="3">TEXT(B9,"0000000000000")</f>
        <v>0000000000000</v>
      </c>
      <c r="G9" s="23" t="str">
        <f t="shared" ref="G9:G72" si="4">TEXT(A9,"000")</f>
        <v>000</v>
      </c>
      <c r="H9" s="23">
        <f t="shared" ref="H9:H72" si="5">DAY(C9)</f>
        <v>0</v>
      </c>
      <c r="I9" s="23" t="str">
        <f t="shared" ref="I9:I72" si="6">TEXT(H9,"00")</f>
        <v>00</v>
      </c>
      <c r="J9" s="23">
        <f t="shared" ref="J9:J72" si="7">MONTH(C9)</f>
        <v>1</v>
      </c>
      <c r="K9" s="23" t="str">
        <f t="shared" ref="K9:K72" si="8">TEXT(J9,"00")</f>
        <v>01</v>
      </c>
      <c r="L9" s="23">
        <f t="shared" ref="L9:L72" si="9">YEAR(C9)</f>
        <v>1900</v>
      </c>
      <c r="M9" s="23" t="str">
        <f t="shared" ref="M9:M72" si="10">TEXT(L9,"0000")</f>
        <v>1900</v>
      </c>
      <c r="N9" s="23" t="str">
        <f t="shared" ref="N9:N72" si="11">CONCATENATE(I9,"/",K9,"/",M9)</f>
        <v>00/01/1900</v>
      </c>
      <c r="O9" s="27" t="str">
        <f t="shared" ref="O9:O72" si="12">TEXT(D9,"00000000000000000000")</f>
        <v>00000000000000000000</v>
      </c>
      <c r="P9" s="24" t="str">
        <f t="shared" ref="P9:P72" si="13">TEXT(E9,"00000000,00")</f>
        <v>00000000,00</v>
      </c>
      <c r="Q9" s="36" t="str">
        <f t="shared" si="0"/>
        <v/>
      </c>
      <c r="R9" t="str">
        <f t="shared" si="1"/>
        <v/>
      </c>
      <c r="S9" t="str">
        <f t="shared" si="2"/>
        <v/>
      </c>
    </row>
    <row r="10" spans="1:19" x14ac:dyDescent="0.2">
      <c r="A10" s="28"/>
      <c r="B10" s="24"/>
      <c r="C10" s="21"/>
      <c r="D10" s="26"/>
      <c r="E10" s="23"/>
      <c r="F10" s="23" t="str">
        <f t="shared" si="3"/>
        <v>0000000000000</v>
      </c>
      <c r="G10" s="23" t="str">
        <f t="shared" si="4"/>
        <v>000</v>
      </c>
      <c r="H10" s="23">
        <f t="shared" si="5"/>
        <v>0</v>
      </c>
      <c r="I10" s="23" t="str">
        <f t="shared" si="6"/>
        <v>00</v>
      </c>
      <c r="J10" s="23">
        <f t="shared" si="7"/>
        <v>1</v>
      </c>
      <c r="K10" s="23" t="str">
        <f t="shared" si="8"/>
        <v>01</v>
      </c>
      <c r="L10" s="23">
        <f t="shared" si="9"/>
        <v>1900</v>
      </c>
      <c r="M10" s="23" t="str">
        <f t="shared" si="10"/>
        <v>1900</v>
      </c>
      <c r="N10" s="23" t="str">
        <f t="shared" si="11"/>
        <v>00/01/1900</v>
      </c>
      <c r="O10" s="27" t="str">
        <f t="shared" si="12"/>
        <v>00000000000000000000</v>
      </c>
      <c r="P10" s="24" t="str">
        <f t="shared" si="13"/>
        <v>00000000,00</v>
      </c>
      <c r="Q10" s="36" t="str">
        <f t="shared" si="0"/>
        <v/>
      </c>
      <c r="R10" t="str">
        <f t="shared" si="1"/>
        <v/>
      </c>
      <c r="S10" t="str">
        <f t="shared" si="2"/>
        <v/>
      </c>
    </row>
    <row r="11" spans="1:19" x14ac:dyDescent="0.2">
      <c r="A11" s="28"/>
      <c r="B11" s="24"/>
      <c r="C11" s="21"/>
      <c r="D11" s="26"/>
      <c r="E11" s="23"/>
      <c r="F11" s="23" t="str">
        <f t="shared" si="3"/>
        <v>0000000000000</v>
      </c>
      <c r="G11" s="23" t="str">
        <f t="shared" si="4"/>
        <v>000</v>
      </c>
      <c r="H11" s="23">
        <f t="shared" si="5"/>
        <v>0</v>
      </c>
      <c r="I11" s="23" t="str">
        <f t="shared" si="6"/>
        <v>00</v>
      </c>
      <c r="J11" s="23">
        <f t="shared" si="7"/>
        <v>1</v>
      </c>
      <c r="K11" s="23" t="str">
        <f t="shared" si="8"/>
        <v>01</v>
      </c>
      <c r="L11" s="23">
        <f t="shared" si="9"/>
        <v>1900</v>
      </c>
      <c r="M11" s="23" t="str">
        <f t="shared" si="10"/>
        <v>1900</v>
      </c>
      <c r="N11" s="23" t="str">
        <f t="shared" si="11"/>
        <v>00/01/1900</v>
      </c>
      <c r="O11" s="27" t="str">
        <f t="shared" si="12"/>
        <v>00000000000000000000</v>
      </c>
      <c r="P11" s="24" t="str">
        <f t="shared" si="13"/>
        <v>00000000,00</v>
      </c>
      <c r="Q11" s="36" t="str">
        <f t="shared" si="0"/>
        <v/>
      </c>
      <c r="R11" t="str">
        <f t="shared" si="1"/>
        <v/>
      </c>
      <c r="S11" t="str">
        <f t="shared" si="2"/>
        <v/>
      </c>
    </row>
    <row r="12" spans="1:19" x14ac:dyDescent="0.2">
      <c r="A12" s="28"/>
      <c r="B12" s="24"/>
      <c r="C12" s="21"/>
      <c r="D12" s="26"/>
      <c r="E12" s="23"/>
      <c r="F12" s="23" t="str">
        <f t="shared" si="3"/>
        <v>0000000000000</v>
      </c>
      <c r="G12" s="23" t="str">
        <f t="shared" si="4"/>
        <v>000</v>
      </c>
      <c r="H12" s="23">
        <f t="shared" si="5"/>
        <v>0</v>
      </c>
      <c r="I12" s="23" t="str">
        <f t="shared" si="6"/>
        <v>00</v>
      </c>
      <c r="J12" s="23">
        <f t="shared" si="7"/>
        <v>1</v>
      </c>
      <c r="K12" s="23" t="str">
        <f t="shared" si="8"/>
        <v>01</v>
      </c>
      <c r="L12" s="23">
        <f t="shared" si="9"/>
        <v>1900</v>
      </c>
      <c r="M12" s="23" t="str">
        <f t="shared" si="10"/>
        <v>1900</v>
      </c>
      <c r="N12" s="23" t="str">
        <f t="shared" si="11"/>
        <v>00/01/1900</v>
      </c>
      <c r="O12" s="27" t="str">
        <f t="shared" si="12"/>
        <v>00000000000000000000</v>
      </c>
      <c r="P12" s="24" t="str">
        <f t="shared" si="13"/>
        <v>00000000,00</v>
      </c>
      <c r="Q12" s="36" t="str">
        <f t="shared" si="0"/>
        <v/>
      </c>
      <c r="R12" t="str">
        <f t="shared" si="1"/>
        <v/>
      </c>
      <c r="S12" t="str">
        <f t="shared" si="2"/>
        <v/>
      </c>
    </row>
    <row r="13" spans="1:19" x14ac:dyDescent="0.2">
      <c r="A13" s="28"/>
      <c r="B13" s="24"/>
      <c r="C13" s="21"/>
      <c r="D13" s="26"/>
      <c r="E13" s="23"/>
      <c r="F13" s="23" t="str">
        <f t="shared" si="3"/>
        <v>0000000000000</v>
      </c>
      <c r="G13" s="23" t="str">
        <f t="shared" si="4"/>
        <v>000</v>
      </c>
      <c r="H13" s="23">
        <f t="shared" si="5"/>
        <v>0</v>
      </c>
      <c r="I13" s="23" t="str">
        <f t="shared" si="6"/>
        <v>00</v>
      </c>
      <c r="J13" s="23">
        <f t="shared" si="7"/>
        <v>1</v>
      </c>
      <c r="K13" s="23" t="str">
        <f t="shared" si="8"/>
        <v>01</v>
      </c>
      <c r="L13" s="23">
        <f t="shared" si="9"/>
        <v>1900</v>
      </c>
      <c r="M13" s="23" t="str">
        <f t="shared" si="10"/>
        <v>1900</v>
      </c>
      <c r="N13" s="23" t="str">
        <f t="shared" si="11"/>
        <v>00/01/1900</v>
      </c>
      <c r="O13" s="27" t="str">
        <f t="shared" si="12"/>
        <v>00000000000000000000</v>
      </c>
      <c r="P13" s="24" t="str">
        <f t="shared" si="13"/>
        <v>00000000,00</v>
      </c>
      <c r="Q13" s="36" t="str">
        <f t="shared" si="0"/>
        <v/>
      </c>
      <c r="R13" t="str">
        <f t="shared" si="1"/>
        <v/>
      </c>
      <c r="S13" t="str">
        <f t="shared" si="2"/>
        <v/>
      </c>
    </row>
    <row r="14" spans="1:19" x14ac:dyDescent="0.2">
      <c r="A14" s="28"/>
      <c r="B14" s="24"/>
      <c r="C14" s="21"/>
      <c r="D14" s="26"/>
      <c r="E14" s="23"/>
      <c r="F14" s="23" t="str">
        <f t="shared" si="3"/>
        <v>0000000000000</v>
      </c>
      <c r="G14" s="23" t="str">
        <f t="shared" si="4"/>
        <v>000</v>
      </c>
      <c r="H14" s="23">
        <f t="shared" si="5"/>
        <v>0</v>
      </c>
      <c r="I14" s="23" t="str">
        <f t="shared" si="6"/>
        <v>00</v>
      </c>
      <c r="J14" s="23">
        <f t="shared" si="7"/>
        <v>1</v>
      </c>
      <c r="K14" s="23" t="str">
        <f t="shared" si="8"/>
        <v>01</v>
      </c>
      <c r="L14" s="23">
        <f t="shared" si="9"/>
        <v>1900</v>
      </c>
      <c r="M14" s="23" t="str">
        <f t="shared" si="10"/>
        <v>1900</v>
      </c>
      <c r="N14" s="23" t="str">
        <f t="shared" si="11"/>
        <v>00/01/1900</v>
      </c>
      <c r="O14" s="27" t="str">
        <f t="shared" si="12"/>
        <v>00000000000000000000</v>
      </c>
      <c r="P14" s="24" t="str">
        <f t="shared" si="13"/>
        <v>00000000,00</v>
      </c>
      <c r="Q14" s="36" t="str">
        <f t="shared" si="0"/>
        <v/>
      </c>
      <c r="R14" t="str">
        <f t="shared" si="1"/>
        <v/>
      </c>
      <c r="S14" t="str">
        <f t="shared" si="2"/>
        <v/>
      </c>
    </row>
    <row r="15" spans="1:19" x14ac:dyDescent="0.2">
      <c r="A15" s="28"/>
      <c r="B15" s="24"/>
      <c r="C15" s="21"/>
      <c r="D15" s="26"/>
      <c r="E15" s="23"/>
      <c r="F15" s="23" t="str">
        <f t="shared" si="3"/>
        <v>0000000000000</v>
      </c>
      <c r="G15" s="23" t="str">
        <f t="shared" si="4"/>
        <v>000</v>
      </c>
      <c r="H15" s="23">
        <f t="shared" si="5"/>
        <v>0</v>
      </c>
      <c r="I15" s="23" t="str">
        <f t="shared" si="6"/>
        <v>00</v>
      </c>
      <c r="J15" s="23">
        <f t="shared" si="7"/>
        <v>1</v>
      </c>
      <c r="K15" s="23" t="str">
        <f t="shared" si="8"/>
        <v>01</v>
      </c>
      <c r="L15" s="23">
        <f t="shared" si="9"/>
        <v>1900</v>
      </c>
      <c r="M15" s="23" t="str">
        <f t="shared" si="10"/>
        <v>1900</v>
      </c>
      <c r="N15" s="23" t="str">
        <f t="shared" si="11"/>
        <v>00/01/1900</v>
      </c>
      <c r="O15" s="27" t="str">
        <f t="shared" si="12"/>
        <v>00000000000000000000</v>
      </c>
      <c r="P15" s="24" t="str">
        <f t="shared" si="13"/>
        <v>00000000,00</v>
      </c>
      <c r="Q15" s="36" t="str">
        <f t="shared" si="0"/>
        <v/>
      </c>
      <c r="R15" t="str">
        <f t="shared" si="1"/>
        <v/>
      </c>
      <c r="S15" t="str">
        <f t="shared" si="2"/>
        <v/>
      </c>
    </row>
    <row r="16" spans="1:19" x14ac:dyDescent="0.2">
      <c r="A16" s="28"/>
      <c r="B16" s="24"/>
      <c r="C16" s="21"/>
      <c r="D16" s="26"/>
      <c r="E16" s="23"/>
      <c r="F16" s="23" t="str">
        <f t="shared" si="3"/>
        <v>0000000000000</v>
      </c>
      <c r="G16" s="23" t="str">
        <f t="shared" si="4"/>
        <v>000</v>
      </c>
      <c r="H16" s="23">
        <f t="shared" si="5"/>
        <v>0</v>
      </c>
      <c r="I16" s="23" t="str">
        <f t="shared" si="6"/>
        <v>00</v>
      </c>
      <c r="J16" s="23">
        <f t="shared" si="7"/>
        <v>1</v>
      </c>
      <c r="K16" s="23" t="str">
        <f t="shared" si="8"/>
        <v>01</v>
      </c>
      <c r="L16" s="23">
        <f t="shared" si="9"/>
        <v>1900</v>
      </c>
      <c r="M16" s="23" t="str">
        <f t="shared" si="10"/>
        <v>1900</v>
      </c>
      <c r="N16" s="23" t="str">
        <f t="shared" si="11"/>
        <v>00/01/1900</v>
      </c>
      <c r="O16" s="27" t="str">
        <f t="shared" si="12"/>
        <v>00000000000000000000</v>
      </c>
      <c r="P16" s="24" t="str">
        <f t="shared" si="13"/>
        <v>00000000,00</v>
      </c>
      <c r="Q16" s="36" t="str">
        <f t="shared" si="0"/>
        <v/>
      </c>
      <c r="R16" t="str">
        <f t="shared" si="1"/>
        <v/>
      </c>
      <c r="S16" t="str">
        <f t="shared" si="2"/>
        <v/>
      </c>
    </row>
    <row r="17" spans="1:19" x14ac:dyDescent="0.2">
      <c r="A17" s="28"/>
      <c r="B17" s="24"/>
      <c r="C17" s="21"/>
      <c r="D17" s="26"/>
      <c r="E17" s="23"/>
      <c r="F17" s="23" t="str">
        <f t="shared" si="3"/>
        <v>0000000000000</v>
      </c>
      <c r="G17" s="23" t="str">
        <f t="shared" si="4"/>
        <v>000</v>
      </c>
      <c r="H17" s="23">
        <f t="shared" si="5"/>
        <v>0</v>
      </c>
      <c r="I17" s="23" t="str">
        <f t="shared" si="6"/>
        <v>00</v>
      </c>
      <c r="J17" s="23">
        <f t="shared" si="7"/>
        <v>1</v>
      </c>
      <c r="K17" s="23" t="str">
        <f t="shared" si="8"/>
        <v>01</v>
      </c>
      <c r="L17" s="23">
        <f t="shared" si="9"/>
        <v>1900</v>
      </c>
      <c r="M17" s="23" t="str">
        <f t="shared" si="10"/>
        <v>1900</v>
      </c>
      <c r="N17" s="23" t="str">
        <f t="shared" si="11"/>
        <v>00/01/1900</v>
      </c>
      <c r="O17" s="27" t="str">
        <f t="shared" si="12"/>
        <v>00000000000000000000</v>
      </c>
      <c r="P17" s="24" t="str">
        <f t="shared" si="13"/>
        <v>00000000,00</v>
      </c>
      <c r="Q17" s="36" t="str">
        <f t="shared" si="0"/>
        <v/>
      </c>
      <c r="R17" t="str">
        <f t="shared" si="1"/>
        <v/>
      </c>
      <c r="S17" t="str">
        <f t="shared" si="2"/>
        <v/>
      </c>
    </row>
    <row r="18" spans="1:19" x14ac:dyDescent="0.2">
      <c r="A18" s="28"/>
      <c r="B18" s="24"/>
      <c r="C18" s="21"/>
      <c r="D18" s="26"/>
      <c r="E18" s="23"/>
      <c r="F18" s="23" t="str">
        <f t="shared" si="3"/>
        <v>0000000000000</v>
      </c>
      <c r="G18" s="23" t="str">
        <f t="shared" si="4"/>
        <v>000</v>
      </c>
      <c r="H18" s="23">
        <f t="shared" si="5"/>
        <v>0</v>
      </c>
      <c r="I18" s="23" t="str">
        <f t="shared" si="6"/>
        <v>00</v>
      </c>
      <c r="J18" s="23">
        <f t="shared" si="7"/>
        <v>1</v>
      </c>
      <c r="K18" s="23" t="str">
        <f t="shared" si="8"/>
        <v>01</v>
      </c>
      <c r="L18" s="23">
        <f t="shared" si="9"/>
        <v>1900</v>
      </c>
      <c r="M18" s="23" t="str">
        <f t="shared" si="10"/>
        <v>1900</v>
      </c>
      <c r="N18" s="23" t="str">
        <f t="shared" si="11"/>
        <v>00/01/1900</v>
      </c>
      <c r="O18" s="27" t="str">
        <f t="shared" si="12"/>
        <v>00000000000000000000</v>
      </c>
      <c r="P18" s="24" t="str">
        <f t="shared" si="13"/>
        <v>00000000,00</v>
      </c>
      <c r="Q18" s="36" t="str">
        <f t="shared" si="0"/>
        <v/>
      </c>
      <c r="R18" t="str">
        <f t="shared" si="1"/>
        <v/>
      </c>
      <c r="S18" t="str">
        <f t="shared" si="2"/>
        <v/>
      </c>
    </row>
    <row r="19" spans="1:19" x14ac:dyDescent="0.2">
      <c r="A19" s="28"/>
      <c r="B19" s="24"/>
      <c r="C19" s="21"/>
      <c r="D19" s="26"/>
      <c r="E19" s="23"/>
      <c r="F19" s="23" t="str">
        <f t="shared" si="3"/>
        <v>0000000000000</v>
      </c>
      <c r="G19" s="23" t="str">
        <f t="shared" si="4"/>
        <v>000</v>
      </c>
      <c r="H19" s="23">
        <f t="shared" si="5"/>
        <v>0</v>
      </c>
      <c r="I19" s="23" t="str">
        <f t="shared" si="6"/>
        <v>00</v>
      </c>
      <c r="J19" s="23">
        <f t="shared" si="7"/>
        <v>1</v>
      </c>
      <c r="K19" s="23" t="str">
        <f t="shared" si="8"/>
        <v>01</v>
      </c>
      <c r="L19" s="23">
        <f t="shared" si="9"/>
        <v>1900</v>
      </c>
      <c r="M19" s="23" t="str">
        <f t="shared" si="10"/>
        <v>1900</v>
      </c>
      <c r="N19" s="23" t="str">
        <f t="shared" si="11"/>
        <v>00/01/1900</v>
      </c>
      <c r="O19" s="27" t="str">
        <f t="shared" si="12"/>
        <v>00000000000000000000</v>
      </c>
      <c r="P19" s="24" t="str">
        <f t="shared" si="13"/>
        <v>00000000,00</v>
      </c>
      <c r="Q19" s="36" t="str">
        <f t="shared" si="0"/>
        <v/>
      </c>
      <c r="R19" t="str">
        <f t="shared" si="1"/>
        <v/>
      </c>
      <c r="S19" t="str">
        <f t="shared" si="2"/>
        <v/>
      </c>
    </row>
    <row r="20" spans="1:19" x14ac:dyDescent="0.2">
      <c r="A20" s="28"/>
      <c r="B20" s="24"/>
      <c r="C20" s="21"/>
      <c r="D20" s="26"/>
      <c r="E20" s="23"/>
      <c r="F20" s="23" t="str">
        <f t="shared" si="3"/>
        <v>0000000000000</v>
      </c>
      <c r="G20" s="23" t="str">
        <f t="shared" si="4"/>
        <v>000</v>
      </c>
      <c r="H20" s="23">
        <f t="shared" si="5"/>
        <v>0</v>
      </c>
      <c r="I20" s="23" t="str">
        <f t="shared" si="6"/>
        <v>00</v>
      </c>
      <c r="J20" s="23">
        <f t="shared" si="7"/>
        <v>1</v>
      </c>
      <c r="K20" s="23" t="str">
        <f t="shared" si="8"/>
        <v>01</v>
      </c>
      <c r="L20" s="23">
        <f t="shared" si="9"/>
        <v>1900</v>
      </c>
      <c r="M20" s="23" t="str">
        <f t="shared" si="10"/>
        <v>1900</v>
      </c>
      <c r="N20" s="23" t="str">
        <f t="shared" si="11"/>
        <v>00/01/1900</v>
      </c>
      <c r="O20" s="27" t="str">
        <f t="shared" si="12"/>
        <v>00000000000000000000</v>
      </c>
      <c r="P20" s="24" t="str">
        <f t="shared" si="13"/>
        <v>00000000,00</v>
      </c>
      <c r="Q20" s="36" t="str">
        <f t="shared" si="0"/>
        <v/>
      </c>
      <c r="R20" t="str">
        <f t="shared" si="1"/>
        <v/>
      </c>
      <c r="S20" t="str">
        <f t="shared" si="2"/>
        <v/>
      </c>
    </row>
    <row r="21" spans="1:19" x14ac:dyDescent="0.2">
      <c r="A21" s="28"/>
      <c r="B21" s="24"/>
      <c r="C21" s="21"/>
      <c r="D21" s="26"/>
      <c r="E21" s="23"/>
      <c r="F21" s="23" t="str">
        <f t="shared" si="3"/>
        <v>0000000000000</v>
      </c>
      <c r="G21" s="23" t="str">
        <f t="shared" si="4"/>
        <v>000</v>
      </c>
      <c r="H21" s="23">
        <f t="shared" si="5"/>
        <v>0</v>
      </c>
      <c r="I21" s="23" t="str">
        <f t="shared" si="6"/>
        <v>00</v>
      </c>
      <c r="J21" s="23">
        <f t="shared" si="7"/>
        <v>1</v>
      </c>
      <c r="K21" s="23" t="str">
        <f t="shared" si="8"/>
        <v>01</v>
      </c>
      <c r="L21" s="23">
        <f t="shared" si="9"/>
        <v>1900</v>
      </c>
      <c r="M21" s="23" t="str">
        <f t="shared" si="10"/>
        <v>1900</v>
      </c>
      <c r="N21" s="23" t="str">
        <f t="shared" si="11"/>
        <v>00/01/1900</v>
      </c>
      <c r="O21" s="27" t="str">
        <f t="shared" si="12"/>
        <v>00000000000000000000</v>
      </c>
      <c r="P21" s="24" t="str">
        <f t="shared" si="13"/>
        <v>00000000,00</v>
      </c>
      <c r="Q21" s="36" t="str">
        <f t="shared" si="0"/>
        <v/>
      </c>
      <c r="R21" t="str">
        <f t="shared" si="1"/>
        <v/>
      </c>
      <c r="S21" t="str">
        <f t="shared" si="2"/>
        <v/>
      </c>
    </row>
    <row r="22" spans="1:19" x14ac:dyDescent="0.2">
      <c r="A22" s="28"/>
      <c r="B22" s="24"/>
      <c r="C22" s="21"/>
      <c r="D22" s="26"/>
      <c r="E22" s="23"/>
      <c r="F22" s="23" t="str">
        <f t="shared" si="3"/>
        <v>0000000000000</v>
      </c>
      <c r="G22" s="23" t="str">
        <f t="shared" si="4"/>
        <v>000</v>
      </c>
      <c r="H22" s="23">
        <f t="shared" si="5"/>
        <v>0</v>
      </c>
      <c r="I22" s="23" t="str">
        <f t="shared" si="6"/>
        <v>00</v>
      </c>
      <c r="J22" s="23">
        <f t="shared" si="7"/>
        <v>1</v>
      </c>
      <c r="K22" s="23" t="str">
        <f t="shared" si="8"/>
        <v>01</v>
      </c>
      <c r="L22" s="23">
        <f t="shared" si="9"/>
        <v>1900</v>
      </c>
      <c r="M22" s="23" t="str">
        <f t="shared" si="10"/>
        <v>1900</v>
      </c>
      <c r="N22" s="23" t="str">
        <f t="shared" si="11"/>
        <v>00/01/1900</v>
      </c>
      <c r="O22" s="27" t="str">
        <f t="shared" si="12"/>
        <v>00000000000000000000</v>
      </c>
      <c r="P22" s="24" t="str">
        <f t="shared" si="13"/>
        <v>00000000,00</v>
      </c>
      <c r="Q22" s="36" t="str">
        <f t="shared" si="0"/>
        <v/>
      </c>
      <c r="R22" t="str">
        <f t="shared" si="1"/>
        <v/>
      </c>
      <c r="S22" t="str">
        <f t="shared" si="2"/>
        <v/>
      </c>
    </row>
    <row r="23" spans="1:19" x14ac:dyDescent="0.2">
      <c r="A23" s="28"/>
      <c r="B23" s="24"/>
      <c r="C23" s="21"/>
      <c r="D23" s="26"/>
      <c r="E23" s="23"/>
      <c r="F23" s="23" t="str">
        <f t="shared" si="3"/>
        <v>0000000000000</v>
      </c>
      <c r="G23" s="23" t="str">
        <f t="shared" si="4"/>
        <v>000</v>
      </c>
      <c r="H23" s="23">
        <f t="shared" si="5"/>
        <v>0</v>
      </c>
      <c r="I23" s="23" t="str">
        <f t="shared" si="6"/>
        <v>00</v>
      </c>
      <c r="J23" s="23">
        <f t="shared" si="7"/>
        <v>1</v>
      </c>
      <c r="K23" s="23" t="str">
        <f t="shared" si="8"/>
        <v>01</v>
      </c>
      <c r="L23" s="23">
        <f t="shared" si="9"/>
        <v>1900</v>
      </c>
      <c r="M23" s="23" t="str">
        <f t="shared" si="10"/>
        <v>1900</v>
      </c>
      <c r="N23" s="23" t="str">
        <f t="shared" si="11"/>
        <v>00/01/1900</v>
      </c>
      <c r="O23" s="27" t="str">
        <f t="shared" si="12"/>
        <v>00000000000000000000</v>
      </c>
      <c r="P23" s="24" t="str">
        <f t="shared" si="13"/>
        <v>00000000,00</v>
      </c>
      <c r="Q23" s="36" t="str">
        <f t="shared" si="0"/>
        <v/>
      </c>
      <c r="R23" t="str">
        <f t="shared" si="1"/>
        <v/>
      </c>
      <c r="S23" t="str">
        <f t="shared" si="2"/>
        <v/>
      </c>
    </row>
    <row r="24" spans="1:19" x14ac:dyDescent="0.2">
      <c r="A24" s="28"/>
      <c r="B24" s="24"/>
      <c r="C24" s="21"/>
      <c r="D24" s="26"/>
      <c r="E24" s="23"/>
      <c r="F24" s="23" t="str">
        <f t="shared" si="3"/>
        <v>0000000000000</v>
      </c>
      <c r="G24" s="23" t="str">
        <f t="shared" si="4"/>
        <v>000</v>
      </c>
      <c r="H24" s="23">
        <f t="shared" si="5"/>
        <v>0</v>
      </c>
      <c r="I24" s="23" t="str">
        <f t="shared" si="6"/>
        <v>00</v>
      </c>
      <c r="J24" s="23">
        <f t="shared" si="7"/>
        <v>1</v>
      </c>
      <c r="K24" s="23" t="str">
        <f t="shared" si="8"/>
        <v>01</v>
      </c>
      <c r="L24" s="23">
        <f t="shared" si="9"/>
        <v>1900</v>
      </c>
      <c r="M24" s="23" t="str">
        <f t="shared" si="10"/>
        <v>1900</v>
      </c>
      <c r="N24" s="23" t="str">
        <f t="shared" si="11"/>
        <v>00/01/1900</v>
      </c>
      <c r="O24" s="27" t="str">
        <f t="shared" si="12"/>
        <v>00000000000000000000</v>
      </c>
      <c r="P24" s="24" t="str">
        <f t="shared" si="13"/>
        <v>00000000,00</v>
      </c>
      <c r="Q24" s="36" t="str">
        <f t="shared" si="0"/>
        <v/>
      </c>
      <c r="R24" t="str">
        <f t="shared" si="1"/>
        <v/>
      </c>
      <c r="S24" t="str">
        <f t="shared" si="2"/>
        <v/>
      </c>
    </row>
    <row r="25" spans="1:19" x14ac:dyDescent="0.2">
      <c r="A25" s="28"/>
      <c r="B25" s="24"/>
      <c r="C25" s="21"/>
      <c r="D25" s="26"/>
      <c r="E25" s="23"/>
      <c r="F25" s="23" t="str">
        <f t="shared" si="3"/>
        <v>0000000000000</v>
      </c>
      <c r="G25" s="23" t="str">
        <f t="shared" si="4"/>
        <v>000</v>
      </c>
      <c r="H25" s="23">
        <f t="shared" si="5"/>
        <v>0</v>
      </c>
      <c r="I25" s="23" t="str">
        <f t="shared" si="6"/>
        <v>00</v>
      </c>
      <c r="J25" s="23">
        <f t="shared" si="7"/>
        <v>1</v>
      </c>
      <c r="K25" s="23" t="str">
        <f t="shared" si="8"/>
        <v>01</v>
      </c>
      <c r="L25" s="23">
        <f t="shared" si="9"/>
        <v>1900</v>
      </c>
      <c r="M25" s="23" t="str">
        <f t="shared" si="10"/>
        <v>1900</v>
      </c>
      <c r="N25" s="23" t="str">
        <f t="shared" si="11"/>
        <v>00/01/1900</v>
      </c>
      <c r="O25" s="27" t="str">
        <f t="shared" si="12"/>
        <v>00000000000000000000</v>
      </c>
      <c r="P25" s="24" t="str">
        <f t="shared" si="13"/>
        <v>00000000,00</v>
      </c>
      <c r="Q25" s="36" t="str">
        <f t="shared" si="0"/>
        <v/>
      </c>
      <c r="R25" t="str">
        <f t="shared" si="1"/>
        <v/>
      </c>
      <c r="S25" t="str">
        <f t="shared" si="2"/>
        <v/>
      </c>
    </row>
    <row r="26" spans="1:19" x14ac:dyDescent="0.2">
      <c r="A26" s="28"/>
      <c r="B26" s="24"/>
      <c r="C26" s="21"/>
      <c r="D26" s="26"/>
      <c r="E26" s="23"/>
      <c r="F26" s="23" t="str">
        <f t="shared" si="3"/>
        <v>0000000000000</v>
      </c>
      <c r="G26" s="23" t="str">
        <f t="shared" si="4"/>
        <v>000</v>
      </c>
      <c r="H26" s="23">
        <f t="shared" si="5"/>
        <v>0</v>
      </c>
      <c r="I26" s="23" t="str">
        <f t="shared" si="6"/>
        <v>00</v>
      </c>
      <c r="J26" s="23">
        <f t="shared" si="7"/>
        <v>1</v>
      </c>
      <c r="K26" s="23" t="str">
        <f t="shared" si="8"/>
        <v>01</v>
      </c>
      <c r="L26" s="23">
        <f t="shared" si="9"/>
        <v>1900</v>
      </c>
      <c r="M26" s="23" t="str">
        <f t="shared" si="10"/>
        <v>1900</v>
      </c>
      <c r="N26" s="23" t="str">
        <f t="shared" si="11"/>
        <v>00/01/1900</v>
      </c>
      <c r="O26" s="27" t="str">
        <f t="shared" si="12"/>
        <v>00000000000000000000</v>
      </c>
      <c r="P26" s="24" t="str">
        <f t="shared" si="13"/>
        <v>00000000,00</v>
      </c>
      <c r="Q26" s="36" t="str">
        <f t="shared" si="0"/>
        <v/>
      </c>
      <c r="R26" t="str">
        <f t="shared" si="1"/>
        <v/>
      </c>
      <c r="S26" t="str">
        <f t="shared" si="2"/>
        <v/>
      </c>
    </row>
    <row r="27" spans="1:19" x14ac:dyDescent="0.2">
      <c r="A27" s="28"/>
      <c r="B27" s="24"/>
      <c r="C27" s="21"/>
      <c r="D27" s="26"/>
      <c r="E27" s="23"/>
      <c r="F27" s="23" t="str">
        <f t="shared" si="3"/>
        <v>0000000000000</v>
      </c>
      <c r="G27" s="23" t="str">
        <f t="shared" si="4"/>
        <v>000</v>
      </c>
      <c r="H27" s="23">
        <f t="shared" si="5"/>
        <v>0</v>
      </c>
      <c r="I27" s="23" t="str">
        <f t="shared" si="6"/>
        <v>00</v>
      </c>
      <c r="J27" s="23">
        <f t="shared" si="7"/>
        <v>1</v>
      </c>
      <c r="K27" s="23" t="str">
        <f t="shared" si="8"/>
        <v>01</v>
      </c>
      <c r="L27" s="23">
        <f t="shared" si="9"/>
        <v>1900</v>
      </c>
      <c r="M27" s="23" t="str">
        <f t="shared" si="10"/>
        <v>1900</v>
      </c>
      <c r="N27" s="23" t="str">
        <f t="shared" si="11"/>
        <v>00/01/1900</v>
      </c>
      <c r="O27" s="27" t="str">
        <f t="shared" si="12"/>
        <v>00000000000000000000</v>
      </c>
      <c r="P27" s="24" t="str">
        <f t="shared" si="13"/>
        <v>00000000,00</v>
      </c>
      <c r="Q27" s="36" t="str">
        <f t="shared" si="0"/>
        <v/>
      </c>
      <c r="R27" t="str">
        <f t="shared" si="1"/>
        <v/>
      </c>
      <c r="S27" t="str">
        <f t="shared" si="2"/>
        <v/>
      </c>
    </row>
    <row r="28" spans="1:19" x14ac:dyDescent="0.2">
      <c r="A28" s="28"/>
      <c r="B28" s="24"/>
      <c r="C28" s="21"/>
      <c r="D28" s="26"/>
      <c r="E28" s="23"/>
      <c r="F28" s="23" t="str">
        <f t="shared" si="3"/>
        <v>0000000000000</v>
      </c>
      <c r="G28" s="23" t="str">
        <f t="shared" si="4"/>
        <v>000</v>
      </c>
      <c r="H28" s="23">
        <f t="shared" si="5"/>
        <v>0</v>
      </c>
      <c r="I28" s="23" t="str">
        <f t="shared" si="6"/>
        <v>00</v>
      </c>
      <c r="J28" s="23">
        <f t="shared" si="7"/>
        <v>1</v>
      </c>
      <c r="K28" s="23" t="str">
        <f t="shared" si="8"/>
        <v>01</v>
      </c>
      <c r="L28" s="23">
        <f t="shared" si="9"/>
        <v>1900</v>
      </c>
      <c r="M28" s="23" t="str">
        <f t="shared" si="10"/>
        <v>1900</v>
      </c>
      <c r="N28" s="23" t="str">
        <f t="shared" si="11"/>
        <v>00/01/1900</v>
      </c>
      <c r="O28" s="27" t="str">
        <f t="shared" si="12"/>
        <v>00000000000000000000</v>
      </c>
      <c r="P28" s="24" t="str">
        <f t="shared" si="13"/>
        <v>00000000,00</v>
      </c>
      <c r="Q28" s="36" t="str">
        <f t="shared" si="0"/>
        <v/>
      </c>
      <c r="R28" t="str">
        <f t="shared" si="1"/>
        <v/>
      </c>
      <c r="S28" t="str">
        <f t="shared" si="2"/>
        <v/>
      </c>
    </row>
    <row r="29" spans="1:19" x14ac:dyDescent="0.2">
      <c r="A29" s="28"/>
      <c r="B29" s="24"/>
      <c r="C29" s="21"/>
      <c r="D29" s="26"/>
      <c r="E29" s="23"/>
      <c r="F29" s="23" t="str">
        <f t="shared" si="3"/>
        <v>0000000000000</v>
      </c>
      <c r="G29" s="23" t="str">
        <f t="shared" si="4"/>
        <v>000</v>
      </c>
      <c r="H29" s="23">
        <f t="shared" si="5"/>
        <v>0</v>
      </c>
      <c r="I29" s="23" t="str">
        <f t="shared" si="6"/>
        <v>00</v>
      </c>
      <c r="J29" s="23">
        <f t="shared" si="7"/>
        <v>1</v>
      </c>
      <c r="K29" s="23" t="str">
        <f t="shared" si="8"/>
        <v>01</v>
      </c>
      <c r="L29" s="23">
        <f t="shared" si="9"/>
        <v>1900</v>
      </c>
      <c r="M29" s="23" t="str">
        <f t="shared" si="10"/>
        <v>1900</v>
      </c>
      <c r="N29" s="23" t="str">
        <f t="shared" si="11"/>
        <v>00/01/1900</v>
      </c>
      <c r="O29" s="27" t="str">
        <f t="shared" si="12"/>
        <v>00000000000000000000</v>
      </c>
      <c r="P29" s="24" t="str">
        <f t="shared" si="13"/>
        <v>00000000,00</v>
      </c>
      <c r="Q29" s="36" t="str">
        <f t="shared" si="0"/>
        <v/>
      </c>
      <c r="R29" t="str">
        <f t="shared" si="1"/>
        <v/>
      </c>
      <c r="S29" t="str">
        <f t="shared" si="2"/>
        <v/>
      </c>
    </row>
    <row r="30" spans="1:19" x14ac:dyDescent="0.2">
      <c r="A30" s="28"/>
      <c r="B30" s="24"/>
      <c r="C30" s="21"/>
      <c r="D30" s="26"/>
      <c r="E30" s="23"/>
      <c r="F30" s="23" t="str">
        <f t="shared" si="3"/>
        <v>0000000000000</v>
      </c>
      <c r="G30" s="23" t="str">
        <f t="shared" si="4"/>
        <v>000</v>
      </c>
      <c r="H30" s="23">
        <f t="shared" si="5"/>
        <v>0</v>
      </c>
      <c r="I30" s="23" t="str">
        <f t="shared" si="6"/>
        <v>00</v>
      </c>
      <c r="J30" s="23">
        <f t="shared" si="7"/>
        <v>1</v>
      </c>
      <c r="K30" s="23" t="str">
        <f t="shared" si="8"/>
        <v>01</v>
      </c>
      <c r="L30" s="23">
        <f t="shared" si="9"/>
        <v>1900</v>
      </c>
      <c r="M30" s="23" t="str">
        <f t="shared" si="10"/>
        <v>1900</v>
      </c>
      <c r="N30" s="23" t="str">
        <f t="shared" si="11"/>
        <v>00/01/1900</v>
      </c>
      <c r="O30" s="27" t="str">
        <f t="shared" si="12"/>
        <v>00000000000000000000</v>
      </c>
      <c r="P30" s="24" t="str">
        <f t="shared" si="13"/>
        <v>00000000,00</v>
      </c>
      <c r="Q30" s="36" t="str">
        <f t="shared" si="0"/>
        <v/>
      </c>
      <c r="R30" t="str">
        <f t="shared" si="1"/>
        <v/>
      </c>
      <c r="S30" t="str">
        <f t="shared" si="2"/>
        <v/>
      </c>
    </row>
    <row r="31" spans="1:19" x14ac:dyDescent="0.2">
      <c r="A31" s="28"/>
      <c r="B31" s="24"/>
      <c r="C31" s="21"/>
      <c r="D31" s="26"/>
      <c r="E31" s="23"/>
      <c r="F31" s="23" t="str">
        <f t="shared" si="3"/>
        <v>0000000000000</v>
      </c>
      <c r="G31" s="23" t="str">
        <f t="shared" si="4"/>
        <v>000</v>
      </c>
      <c r="H31" s="23">
        <f t="shared" si="5"/>
        <v>0</v>
      </c>
      <c r="I31" s="23" t="str">
        <f t="shared" si="6"/>
        <v>00</v>
      </c>
      <c r="J31" s="23">
        <f t="shared" si="7"/>
        <v>1</v>
      </c>
      <c r="K31" s="23" t="str">
        <f t="shared" si="8"/>
        <v>01</v>
      </c>
      <c r="L31" s="23">
        <f t="shared" si="9"/>
        <v>1900</v>
      </c>
      <c r="M31" s="23" t="str">
        <f t="shared" si="10"/>
        <v>1900</v>
      </c>
      <c r="N31" s="23" t="str">
        <f t="shared" si="11"/>
        <v>00/01/1900</v>
      </c>
      <c r="O31" s="27" t="str">
        <f t="shared" si="12"/>
        <v>00000000000000000000</v>
      </c>
      <c r="P31" s="24" t="str">
        <f t="shared" si="13"/>
        <v>00000000,00</v>
      </c>
      <c r="Q31" s="36" t="str">
        <f t="shared" si="0"/>
        <v/>
      </c>
      <c r="R31" t="str">
        <f t="shared" si="1"/>
        <v/>
      </c>
      <c r="S31" t="str">
        <f t="shared" si="2"/>
        <v/>
      </c>
    </row>
    <row r="32" spans="1:19" x14ac:dyDescent="0.2">
      <c r="A32" s="28"/>
      <c r="B32" s="24"/>
      <c r="C32" s="21"/>
      <c r="D32" s="26"/>
      <c r="E32" s="23"/>
      <c r="F32" s="23" t="str">
        <f t="shared" si="3"/>
        <v>0000000000000</v>
      </c>
      <c r="G32" s="23" t="str">
        <f t="shared" si="4"/>
        <v>000</v>
      </c>
      <c r="H32" s="23">
        <f t="shared" si="5"/>
        <v>0</v>
      </c>
      <c r="I32" s="23" t="str">
        <f t="shared" si="6"/>
        <v>00</v>
      </c>
      <c r="J32" s="23">
        <f t="shared" si="7"/>
        <v>1</v>
      </c>
      <c r="K32" s="23" t="str">
        <f t="shared" si="8"/>
        <v>01</v>
      </c>
      <c r="L32" s="23">
        <f t="shared" si="9"/>
        <v>1900</v>
      </c>
      <c r="M32" s="23" t="str">
        <f t="shared" si="10"/>
        <v>1900</v>
      </c>
      <c r="N32" s="23" t="str">
        <f t="shared" si="11"/>
        <v>00/01/1900</v>
      </c>
      <c r="O32" s="27" t="str">
        <f t="shared" si="12"/>
        <v>00000000000000000000</v>
      </c>
      <c r="P32" s="24" t="str">
        <f t="shared" si="13"/>
        <v>00000000,00</v>
      </c>
      <c r="Q32" s="36" t="str">
        <f t="shared" si="0"/>
        <v/>
      </c>
      <c r="R32" t="str">
        <f t="shared" si="1"/>
        <v/>
      </c>
      <c r="S32" t="str">
        <f t="shared" si="2"/>
        <v/>
      </c>
    </row>
    <row r="33" spans="1:19" x14ac:dyDescent="0.2">
      <c r="A33" s="28"/>
      <c r="B33" s="24"/>
      <c r="C33" s="21"/>
      <c r="D33" s="26"/>
      <c r="E33" s="23"/>
      <c r="F33" s="23" t="str">
        <f t="shared" si="3"/>
        <v>0000000000000</v>
      </c>
      <c r="G33" s="23" t="str">
        <f t="shared" si="4"/>
        <v>000</v>
      </c>
      <c r="H33" s="23">
        <f t="shared" si="5"/>
        <v>0</v>
      </c>
      <c r="I33" s="23" t="str">
        <f t="shared" si="6"/>
        <v>00</v>
      </c>
      <c r="J33" s="23">
        <f t="shared" si="7"/>
        <v>1</v>
      </c>
      <c r="K33" s="23" t="str">
        <f t="shared" si="8"/>
        <v>01</v>
      </c>
      <c r="L33" s="23">
        <f t="shared" si="9"/>
        <v>1900</v>
      </c>
      <c r="M33" s="23" t="str">
        <f t="shared" si="10"/>
        <v>1900</v>
      </c>
      <c r="N33" s="23" t="str">
        <f t="shared" si="11"/>
        <v>00/01/1900</v>
      </c>
      <c r="O33" s="27" t="str">
        <f t="shared" si="12"/>
        <v>00000000000000000000</v>
      </c>
      <c r="P33" s="24" t="str">
        <f t="shared" si="13"/>
        <v>00000000,00</v>
      </c>
      <c r="Q33" s="36" t="str">
        <f t="shared" si="0"/>
        <v/>
      </c>
      <c r="R33" t="str">
        <f t="shared" si="1"/>
        <v/>
      </c>
      <c r="S33" t="str">
        <f t="shared" si="2"/>
        <v/>
      </c>
    </row>
    <row r="34" spans="1:19" x14ac:dyDescent="0.2">
      <c r="A34" s="28"/>
      <c r="B34" s="24"/>
      <c r="C34" s="21"/>
      <c r="D34" s="26"/>
      <c r="E34" s="23"/>
      <c r="F34" s="23" t="str">
        <f t="shared" si="3"/>
        <v>0000000000000</v>
      </c>
      <c r="G34" s="23" t="str">
        <f t="shared" si="4"/>
        <v>000</v>
      </c>
      <c r="H34" s="23">
        <f t="shared" si="5"/>
        <v>0</v>
      </c>
      <c r="I34" s="23" t="str">
        <f t="shared" si="6"/>
        <v>00</v>
      </c>
      <c r="J34" s="23">
        <f t="shared" si="7"/>
        <v>1</v>
      </c>
      <c r="K34" s="23" t="str">
        <f t="shared" si="8"/>
        <v>01</v>
      </c>
      <c r="L34" s="23">
        <f t="shared" si="9"/>
        <v>1900</v>
      </c>
      <c r="M34" s="23" t="str">
        <f t="shared" si="10"/>
        <v>1900</v>
      </c>
      <c r="N34" s="23" t="str">
        <f t="shared" si="11"/>
        <v>00/01/1900</v>
      </c>
      <c r="O34" s="27" t="str">
        <f t="shared" si="12"/>
        <v>00000000000000000000</v>
      </c>
      <c r="P34" s="24" t="str">
        <f t="shared" si="13"/>
        <v>00000000,00</v>
      </c>
      <c r="Q34" s="36" t="str">
        <f t="shared" si="0"/>
        <v/>
      </c>
      <c r="R34" t="str">
        <f t="shared" si="1"/>
        <v/>
      </c>
      <c r="S34" t="str">
        <f t="shared" si="2"/>
        <v/>
      </c>
    </row>
    <row r="35" spans="1:19" x14ac:dyDescent="0.2">
      <c r="A35" s="28"/>
      <c r="B35" s="24"/>
      <c r="C35" s="21"/>
      <c r="D35" s="26"/>
      <c r="E35" s="23"/>
      <c r="F35" s="23" t="str">
        <f t="shared" si="3"/>
        <v>0000000000000</v>
      </c>
      <c r="G35" s="23" t="str">
        <f t="shared" si="4"/>
        <v>000</v>
      </c>
      <c r="H35" s="23">
        <f t="shared" si="5"/>
        <v>0</v>
      </c>
      <c r="I35" s="23" t="str">
        <f t="shared" si="6"/>
        <v>00</v>
      </c>
      <c r="J35" s="23">
        <f t="shared" si="7"/>
        <v>1</v>
      </c>
      <c r="K35" s="23" t="str">
        <f t="shared" si="8"/>
        <v>01</v>
      </c>
      <c r="L35" s="23">
        <f t="shared" si="9"/>
        <v>1900</v>
      </c>
      <c r="M35" s="23" t="str">
        <f t="shared" si="10"/>
        <v>1900</v>
      </c>
      <c r="N35" s="23" t="str">
        <f t="shared" si="11"/>
        <v>00/01/1900</v>
      </c>
      <c r="O35" s="27" t="str">
        <f t="shared" si="12"/>
        <v>00000000000000000000</v>
      </c>
      <c r="P35" s="24" t="str">
        <f t="shared" si="13"/>
        <v>00000000,00</v>
      </c>
      <c r="Q35" s="36" t="str">
        <f t="shared" si="0"/>
        <v/>
      </c>
      <c r="R35" t="str">
        <f t="shared" si="1"/>
        <v/>
      </c>
      <c r="S35" t="str">
        <f t="shared" si="2"/>
        <v/>
      </c>
    </row>
    <row r="36" spans="1:19" x14ac:dyDescent="0.2">
      <c r="A36" s="28"/>
      <c r="B36" s="24"/>
      <c r="C36" s="21"/>
      <c r="D36" s="26"/>
      <c r="E36" s="23"/>
      <c r="F36" s="23" t="str">
        <f t="shared" si="3"/>
        <v>0000000000000</v>
      </c>
      <c r="G36" s="23" t="str">
        <f t="shared" si="4"/>
        <v>000</v>
      </c>
      <c r="H36" s="23">
        <f t="shared" si="5"/>
        <v>0</v>
      </c>
      <c r="I36" s="23" t="str">
        <f t="shared" si="6"/>
        <v>00</v>
      </c>
      <c r="J36" s="23">
        <f t="shared" si="7"/>
        <v>1</v>
      </c>
      <c r="K36" s="23" t="str">
        <f t="shared" si="8"/>
        <v>01</v>
      </c>
      <c r="L36" s="23">
        <f t="shared" si="9"/>
        <v>1900</v>
      </c>
      <c r="M36" s="23" t="str">
        <f t="shared" si="10"/>
        <v>1900</v>
      </c>
      <c r="N36" s="23" t="str">
        <f t="shared" si="11"/>
        <v>00/01/1900</v>
      </c>
      <c r="O36" s="27" t="str">
        <f t="shared" si="12"/>
        <v>00000000000000000000</v>
      </c>
      <c r="P36" s="24" t="str">
        <f t="shared" si="13"/>
        <v>00000000,00</v>
      </c>
      <c r="Q36" s="36" t="str">
        <f t="shared" si="0"/>
        <v/>
      </c>
      <c r="R36" t="str">
        <f t="shared" si="1"/>
        <v/>
      </c>
      <c r="S36" t="str">
        <f t="shared" si="2"/>
        <v/>
      </c>
    </row>
    <row r="37" spans="1:19" x14ac:dyDescent="0.2">
      <c r="A37" s="28"/>
      <c r="B37" s="24"/>
      <c r="C37" s="21"/>
      <c r="D37" s="26"/>
      <c r="E37" s="23"/>
      <c r="F37" s="23" t="str">
        <f t="shared" si="3"/>
        <v>0000000000000</v>
      </c>
      <c r="G37" s="23" t="str">
        <f t="shared" si="4"/>
        <v>000</v>
      </c>
      <c r="H37" s="23">
        <f t="shared" si="5"/>
        <v>0</v>
      </c>
      <c r="I37" s="23" t="str">
        <f t="shared" si="6"/>
        <v>00</v>
      </c>
      <c r="J37" s="23">
        <f t="shared" si="7"/>
        <v>1</v>
      </c>
      <c r="K37" s="23" t="str">
        <f t="shared" si="8"/>
        <v>01</v>
      </c>
      <c r="L37" s="23">
        <f t="shared" si="9"/>
        <v>1900</v>
      </c>
      <c r="M37" s="23" t="str">
        <f t="shared" si="10"/>
        <v>1900</v>
      </c>
      <c r="N37" s="23" t="str">
        <f t="shared" si="11"/>
        <v>00/01/1900</v>
      </c>
      <c r="O37" s="27" t="str">
        <f t="shared" si="12"/>
        <v>00000000000000000000</v>
      </c>
      <c r="P37" s="24" t="str">
        <f t="shared" si="13"/>
        <v>00000000,00</v>
      </c>
      <c r="Q37" s="36" t="str">
        <f t="shared" si="0"/>
        <v/>
      </c>
      <c r="R37" t="str">
        <f t="shared" si="1"/>
        <v/>
      </c>
      <c r="S37" t="str">
        <f t="shared" si="2"/>
        <v/>
      </c>
    </row>
    <row r="38" spans="1:19" x14ac:dyDescent="0.2">
      <c r="A38" s="28"/>
      <c r="B38" s="24"/>
      <c r="C38" s="21"/>
      <c r="D38" s="26"/>
      <c r="E38" s="23"/>
      <c r="F38" s="23" t="str">
        <f t="shared" si="3"/>
        <v>0000000000000</v>
      </c>
      <c r="G38" s="23" t="str">
        <f t="shared" si="4"/>
        <v>000</v>
      </c>
      <c r="H38" s="23">
        <f t="shared" si="5"/>
        <v>0</v>
      </c>
      <c r="I38" s="23" t="str">
        <f t="shared" si="6"/>
        <v>00</v>
      </c>
      <c r="J38" s="23">
        <f t="shared" si="7"/>
        <v>1</v>
      </c>
      <c r="K38" s="23" t="str">
        <f t="shared" si="8"/>
        <v>01</v>
      </c>
      <c r="L38" s="23">
        <f t="shared" si="9"/>
        <v>1900</v>
      </c>
      <c r="M38" s="23" t="str">
        <f t="shared" si="10"/>
        <v>1900</v>
      </c>
      <c r="N38" s="23" t="str">
        <f t="shared" si="11"/>
        <v>00/01/1900</v>
      </c>
      <c r="O38" s="27" t="str">
        <f t="shared" si="12"/>
        <v>00000000000000000000</v>
      </c>
      <c r="P38" s="24" t="str">
        <f t="shared" si="13"/>
        <v>00000000,00</v>
      </c>
      <c r="Q38" s="36" t="str">
        <f t="shared" si="0"/>
        <v/>
      </c>
      <c r="R38" t="str">
        <f t="shared" si="1"/>
        <v/>
      </c>
      <c r="S38" t="str">
        <f t="shared" si="2"/>
        <v/>
      </c>
    </row>
    <row r="39" spans="1:19" x14ac:dyDescent="0.2">
      <c r="A39" s="28"/>
      <c r="B39" s="24"/>
      <c r="C39" s="21"/>
      <c r="D39" s="26"/>
      <c r="E39" s="23"/>
      <c r="F39" s="23" t="str">
        <f t="shared" si="3"/>
        <v>0000000000000</v>
      </c>
      <c r="G39" s="23" t="str">
        <f t="shared" si="4"/>
        <v>000</v>
      </c>
      <c r="H39" s="23">
        <f t="shared" si="5"/>
        <v>0</v>
      </c>
      <c r="I39" s="23" t="str">
        <f t="shared" si="6"/>
        <v>00</v>
      </c>
      <c r="J39" s="23">
        <f t="shared" si="7"/>
        <v>1</v>
      </c>
      <c r="K39" s="23" t="str">
        <f t="shared" si="8"/>
        <v>01</v>
      </c>
      <c r="L39" s="23">
        <f t="shared" si="9"/>
        <v>1900</v>
      </c>
      <c r="M39" s="23" t="str">
        <f t="shared" si="10"/>
        <v>1900</v>
      </c>
      <c r="N39" s="23" t="str">
        <f t="shared" si="11"/>
        <v>00/01/1900</v>
      </c>
      <c r="O39" s="27" t="str">
        <f t="shared" si="12"/>
        <v>00000000000000000000</v>
      </c>
      <c r="P39" s="24" t="str">
        <f t="shared" si="13"/>
        <v>00000000,00</v>
      </c>
      <c r="Q39" s="36" t="str">
        <f t="shared" si="0"/>
        <v/>
      </c>
      <c r="R39" t="str">
        <f t="shared" si="1"/>
        <v/>
      </c>
      <c r="S39" t="str">
        <f t="shared" si="2"/>
        <v/>
      </c>
    </row>
    <row r="40" spans="1:19" x14ac:dyDescent="0.2">
      <c r="A40" s="28"/>
      <c r="B40" s="24"/>
      <c r="C40" s="21"/>
      <c r="D40" s="28"/>
      <c r="E40" s="23"/>
      <c r="F40" s="23" t="str">
        <f t="shared" si="3"/>
        <v>0000000000000</v>
      </c>
      <c r="G40" s="23" t="str">
        <f t="shared" si="4"/>
        <v>000</v>
      </c>
      <c r="H40" s="23">
        <f t="shared" si="5"/>
        <v>0</v>
      </c>
      <c r="I40" s="23" t="str">
        <f t="shared" si="6"/>
        <v>00</v>
      </c>
      <c r="J40" s="23">
        <f t="shared" si="7"/>
        <v>1</v>
      </c>
      <c r="K40" s="23" t="str">
        <f t="shared" si="8"/>
        <v>01</v>
      </c>
      <c r="L40" s="23">
        <f t="shared" si="9"/>
        <v>1900</v>
      </c>
      <c r="M40" s="23" t="str">
        <f t="shared" si="10"/>
        <v>1900</v>
      </c>
      <c r="N40" s="23" t="str">
        <f t="shared" si="11"/>
        <v>00/01/1900</v>
      </c>
      <c r="O40" s="27" t="str">
        <f t="shared" si="12"/>
        <v>00000000000000000000</v>
      </c>
      <c r="P40" s="24" t="str">
        <f t="shared" si="13"/>
        <v>00000000,00</v>
      </c>
      <c r="Q40" s="36" t="str">
        <f t="shared" si="0"/>
        <v/>
      </c>
      <c r="R40" t="str">
        <f t="shared" si="1"/>
        <v/>
      </c>
      <c r="S40" t="str">
        <f t="shared" si="2"/>
        <v/>
      </c>
    </row>
    <row r="41" spans="1:19" x14ac:dyDescent="0.2">
      <c r="A41" s="28"/>
      <c r="B41" s="24"/>
      <c r="C41" s="21"/>
      <c r="D41" s="28"/>
      <c r="E41" s="23"/>
      <c r="F41" s="23" t="str">
        <f t="shared" si="3"/>
        <v>0000000000000</v>
      </c>
      <c r="G41" s="23" t="str">
        <f t="shared" si="4"/>
        <v>000</v>
      </c>
      <c r="H41" s="23">
        <f t="shared" si="5"/>
        <v>0</v>
      </c>
      <c r="I41" s="23" t="str">
        <f t="shared" si="6"/>
        <v>00</v>
      </c>
      <c r="J41" s="23">
        <f t="shared" si="7"/>
        <v>1</v>
      </c>
      <c r="K41" s="23" t="str">
        <f t="shared" si="8"/>
        <v>01</v>
      </c>
      <c r="L41" s="23">
        <f t="shared" si="9"/>
        <v>1900</v>
      </c>
      <c r="M41" s="23" t="str">
        <f t="shared" si="10"/>
        <v>1900</v>
      </c>
      <c r="N41" s="23" t="str">
        <f t="shared" si="11"/>
        <v>00/01/1900</v>
      </c>
      <c r="O41" s="27" t="str">
        <f t="shared" si="12"/>
        <v>00000000000000000000</v>
      </c>
      <c r="P41" s="24" t="str">
        <f t="shared" si="13"/>
        <v>00000000,00</v>
      </c>
      <c r="Q41" s="36" t="str">
        <f t="shared" si="0"/>
        <v/>
      </c>
      <c r="R41" t="str">
        <f t="shared" si="1"/>
        <v/>
      </c>
      <c r="S41" t="str">
        <f t="shared" si="2"/>
        <v/>
      </c>
    </row>
    <row r="42" spans="1:19" x14ac:dyDescent="0.2">
      <c r="A42" s="28"/>
      <c r="B42" s="24"/>
      <c r="C42" s="21"/>
      <c r="D42" s="28"/>
      <c r="E42" s="23"/>
      <c r="F42" s="23" t="str">
        <f t="shared" si="3"/>
        <v>0000000000000</v>
      </c>
      <c r="G42" s="23" t="str">
        <f t="shared" si="4"/>
        <v>000</v>
      </c>
      <c r="H42" s="23">
        <f t="shared" si="5"/>
        <v>0</v>
      </c>
      <c r="I42" s="23" t="str">
        <f t="shared" si="6"/>
        <v>00</v>
      </c>
      <c r="J42" s="23">
        <f t="shared" si="7"/>
        <v>1</v>
      </c>
      <c r="K42" s="23" t="str">
        <f t="shared" si="8"/>
        <v>01</v>
      </c>
      <c r="L42" s="23">
        <f t="shared" si="9"/>
        <v>1900</v>
      </c>
      <c r="M42" s="23" t="str">
        <f t="shared" si="10"/>
        <v>1900</v>
      </c>
      <c r="N42" s="23" t="str">
        <f t="shared" si="11"/>
        <v>00/01/1900</v>
      </c>
      <c r="O42" s="27" t="str">
        <f t="shared" si="12"/>
        <v>00000000000000000000</v>
      </c>
      <c r="P42" s="24" t="str">
        <f t="shared" si="13"/>
        <v>00000000,00</v>
      </c>
      <c r="Q42" s="36" t="str">
        <f t="shared" si="0"/>
        <v/>
      </c>
      <c r="R42" t="str">
        <f t="shared" si="1"/>
        <v/>
      </c>
      <c r="S42" t="str">
        <f t="shared" si="2"/>
        <v/>
      </c>
    </row>
    <row r="43" spans="1:19" x14ac:dyDescent="0.2">
      <c r="A43" s="28"/>
      <c r="B43" s="24"/>
      <c r="C43" s="21"/>
      <c r="D43" s="28"/>
      <c r="E43" s="23"/>
      <c r="F43" s="23" t="str">
        <f t="shared" si="3"/>
        <v>0000000000000</v>
      </c>
      <c r="G43" s="23" t="str">
        <f t="shared" si="4"/>
        <v>000</v>
      </c>
      <c r="H43" s="23">
        <f t="shared" si="5"/>
        <v>0</v>
      </c>
      <c r="I43" s="23" t="str">
        <f t="shared" si="6"/>
        <v>00</v>
      </c>
      <c r="J43" s="23">
        <f t="shared" si="7"/>
        <v>1</v>
      </c>
      <c r="K43" s="23" t="str">
        <f t="shared" si="8"/>
        <v>01</v>
      </c>
      <c r="L43" s="23">
        <f t="shared" si="9"/>
        <v>1900</v>
      </c>
      <c r="M43" s="23" t="str">
        <f t="shared" si="10"/>
        <v>1900</v>
      </c>
      <c r="N43" s="23" t="str">
        <f t="shared" si="11"/>
        <v>00/01/1900</v>
      </c>
      <c r="O43" s="27" t="str">
        <f t="shared" si="12"/>
        <v>00000000000000000000</v>
      </c>
      <c r="P43" s="24" t="str">
        <f t="shared" si="13"/>
        <v>00000000,00</v>
      </c>
      <c r="Q43" s="36" t="str">
        <f t="shared" si="0"/>
        <v/>
      </c>
      <c r="R43" t="str">
        <f t="shared" si="1"/>
        <v/>
      </c>
      <c r="S43" t="str">
        <f t="shared" si="2"/>
        <v/>
      </c>
    </row>
    <row r="44" spans="1:19" x14ac:dyDescent="0.2">
      <c r="A44" s="28"/>
      <c r="B44" s="24"/>
      <c r="C44" s="21"/>
      <c r="D44" s="28"/>
      <c r="E44" s="23"/>
      <c r="F44" s="23" t="str">
        <f t="shared" si="3"/>
        <v>0000000000000</v>
      </c>
      <c r="G44" s="23" t="str">
        <f t="shared" si="4"/>
        <v>000</v>
      </c>
      <c r="H44" s="23">
        <f t="shared" si="5"/>
        <v>0</v>
      </c>
      <c r="I44" s="23" t="str">
        <f t="shared" si="6"/>
        <v>00</v>
      </c>
      <c r="J44" s="23">
        <f t="shared" si="7"/>
        <v>1</v>
      </c>
      <c r="K44" s="23" t="str">
        <f t="shared" si="8"/>
        <v>01</v>
      </c>
      <c r="L44" s="23">
        <f t="shared" si="9"/>
        <v>1900</v>
      </c>
      <c r="M44" s="23" t="str">
        <f t="shared" si="10"/>
        <v>1900</v>
      </c>
      <c r="N44" s="23" t="str">
        <f t="shared" si="11"/>
        <v>00/01/1900</v>
      </c>
      <c r="O44" s="27" t="str">
        <f t="shared" si="12"/>
        <v>00000000000000000000</v>
      </c>
      <c r="P44" s="24" t="str">
        <f t="shared" si="13"/>
        <v>00000000,00</v>
      </c>
      <c r="Q44" s="36" t="str">
        <f t="shared" si="0"/>
        <v/>
      </c>
      <c r="R44" t="str">
        <f t="shared" si="1"/>
        <v/>
      </c>
      <c r="S44" t="str">
        <f t="shared" si="2"/>
        <v/>
      </c>
    </row>
    <row r="45" spans="1:19" x14ac:dyDescent="0.2">
      <c r="A45" s="28"/>
      <c r="B45" s="24"/>
      <c r="C45" s="21"/>
      <c r="D45" s="28"/>
      <c r="E45" s="23"/>
      <c r="F45" s="23" t="str">
        <f t="shared" si="3"/>
        <v>0000000000000</v>
      </c>
      <c r="G45" s="23" t="str">
        <f t="shared" si="4"/>
        <v>000</v>
      </c>
      <c r="H45" s="23">
        <f t="shared" si="5"/>
        <v>0</v>
      </c>
      <c r="I45" s="23" t="str">
        <f t="shared" si="6"/>
        <v>00</v>
      </c>
      <c r="J45" s="23">
        <f t="shared" si="7"/>
        <v>1</v>
      </c>
      <c r="K45" s="23" t="str">
        <f t="shared" si="8"/>
        <v>01</v>
      </c>
      <c r="L45" s="23">
        <f t="shared" si="9"/>
        <v>1900</v>
      </c>
      <c r="M45" s="23" t="str">
        <f t="shared" si="10"/>
        <v>1900</v>
      </c>
      <c r="N45" s="23" t="str">
        <f t="shared" si="11"/>
        <v>00/01/1900</v>
      </c>
      <c r="O45" s="27" t="str">
        <f t="shared" si="12"/>
        <v>00000000000000000000</v>
      </c>
      <c r="P45" s="24" t="str">
        <f t="shared" si="13"/>
        <v>00000000,00</v>
      </c>
      <c r="Q45" s="36" t="str">
        <f t="shared" si="0"/>
        <v/>
      </c>
      <c r="R45" t="str">
        <f t="shared" si="1"/>
        <v/>
      </c>
      <c r="S45" t="str">
        <f t="shared" si="2"/>
        <v/>
      </c>
    </row>
    <row r="46" spans="1:19" x14ac:dyDescent="0.2">
      <c r="A46" s="28"/>
      <c r="B46" s="24"/>
      <c r="C46" s="21"/>
      <c r="D46" s="28"/>
      <c r="E46" s="23"/>
      <c r="F46" s="23" t="str">
        <f t="shared" si="3"/>
        <v>0000000000000</v>
      </c>
      <c r="G46" s="23" t="str">
        <f t="shared" si="4"/>
        <v>000</v>
      </c>
      <c r="H46" s="23">
        <f t="shared" si="5"/>
        <v>0</v>
      </c>
      <c r="I46" s="23" t="str">
        <f t="shared" si="6"/>
        <v>00</v>
      </c>
      <c r="J46" s="23">
        <f t="shared" si="7"/>
        <v>1</v>
      </c>
      <c r="K46" s="23" t="str">
        <f t="shared" si="8"/>
        <v>01</v>
      </c>
      <c r="L46" s="23">
        <f t="shared" si="9"/>
        <v>1900</v>
      </c>
      <c r="M46" s="23" t="str">
        <f t="shared" si="10"/>
        <v>1900</v>
      </c>
      <c r="N46" s="23" t="str">
        <f t="shared" si="11"/>
        <v>00/01/1900</v>
      </c>
      <c r="O46" s="27" t="str">
        <f t="shared" si="12"/>
        <v>00000000000000000000</v>
      </c>
      <c r="P46" s="24" t="str">
        <f t="shared" si="13"/>
        <v>00000000,00</v>
      </c>
      <c r="Q46" s="36" t="str">
        <f t="shared" si="0"/>
        <v/>
      </c>
      <c r="R46" t="str">
        <f t="shared" si="1"/>
        <v/>
      </c>
      <c r="S46" t="str">
        <f t="shared" si="2"/>
        <v/>
      </c>
    </row>
    <row r="47" spans="1:19" x14ac:dyDescent="0.2">
      <c r="A47" s="28"/>
      <c r="B47" s="24"/>
      <c r="C47" s="21"/>
      <c r="D47" s="28"/>
      <c r="E47" s="23"/>
      <c r="F47" s="23" t="str">
        <f t="shared" si="3"/>
        <v>0000000000000</v>
      </c>
      <c r="G47" s="23" t="str">
        <f t="shared" si="4"/>
        <v>000</v>
      </c>
      <c r="H47" s="23">
        <f t="shared" si="5"/>
        <v>0</v>
      </c>
      <c r="I47" s="23" t="str">
        <f t="shared" si="6"/>
        <v>00</v>
      </c>
      <c r="J47" s="23">
        <f t="shared" si="7"/>
        <v>1</v>
      </c>
      <c r="K47" s="23" t="str">
        <f t="shared" si="8"/>
        <v>01</v>
      </c>
      <c r="L47" s="23">
        <f t="shared" si="9"/>
        <v>1900</v>
      </c>
      <c r="M47" s="23" t="str">
        <f t="shared" si="10"/>
        <v>1900</v>
      </c>
      <c r="N47" s="23" t="str">
        <f t="shared" si="11"/>
        <v>00/01/1900</v>
      </c>
      <c r="O47" s="27" t="str">
        <f t="shared" si="12"/>
        <v>00000000000000000000</v>
      </c>
      <c r="P47" s="24" t="str">
        <f t="shared" si="13"/>
        <v>00000000,00</v>
      </c>
      <c r="Q47" s="36" t="str">
        <f t="shared" si="0"/>
        <v/>
      </c>
      <c r="R47" t="str">
        <f t="shared" si="1"/>
        <v/>
      </c>
      <c r="S47" t="str">
        <f t="shared" si="2"/>
        <v/>
      </c>
    </row>
    <row r="48" spans="1:19" x14ac:dyDescent="0.2">
      <c r="A48" s="28"/>
      <c r="B48" s="24"/>
      <c r="C48" s="21"/>
      <c r="D48" s="28"/>
      <c r="E48" s="23"/>
      <c r="F48" s="23" t="str">
        <f t="shared" si="3"/>
        <v>0000000000000</v>
      </c>
      <c r="G48" s="23" t="str">
        <f t="shared" si="4"/>
        <v>000</v>
      </c>
      <c r="H48" s="23">
        <f t="shared" si="5"/>
        <v>0</v>
      </c>
      <c r="I48" s="23" t="str">
        <f t="shared" si="6"/>
        <v>00</v>
      </c>
      <c r="J48" s="23">
        <f t="shared" si="7"/>
        <v>1</v>
      </c>
      <c r="K48" s="23" t="str">
        <f t="shared" si="8"/>
        <v>01</v>
      </c>
      <c r="L48" s="23">
        <f t="shared" si="9"/>
        <v>1900</v>
      </c>
      <c r="M48" s="23" t="str">
        <f t="shared" si="10"/>
        <v>1900</v>
      </c>
      <c r="N48" s="23" t="str">
        <f t="shared" si="11"/>
        <v>00/01/1900</v>
      </c>
      <c r="O48" s="27" t="str">
        <f t="shared" si="12"/>
        <v>00000000000000000000</v>
      </c>
      <c r="P48" s="24" t="str">
        <f t="shared" si="13"/>
        <v>00000000,00</v>
      </c>
      <c r="Q48" s="36" t="str">
        <f t="shared" si="0"/>
        <v/>
      </c>
      <c r="R48" t="str">
        <f t="shared" si="1"/>
        <v/>
      </c>
      <c r="S48" t="str">
        <f t="shared" si="2"/>
        <v/>
      </c>
    </row>
    <row r="49" spans="1:19" x14ac:dyDescent="0.2">
      <c r="A49" s="28"/>
      <c r="B49" s="24"/>
      <c r="C49" s="21"/>
      <c r="D49" s="28"/>
      <c r="E49" s="23"/>
      <c r="F49" s="23" t="str">
        <f t="shared" si="3"/>
        <v>0000000000000</v>
      </c>
      <c r="G49" s="23" t="str">
        <f t="shared" si="4"/>
        <v>000</v>
      </c>
      <c r="H49" s="23">
        <f t="shared" si="5"/>
        <v>0</v>
      </c>
      <c r="I49" s="23" t="str">
        <f t="shared" si="6"/>
        <v>00</v>
      </c>
      <c r="J49" s="23">
        <f t="shared" si="7"/>
        <v>1</v>
      </c>
      <c r="K49" s="23" t="str">
        <f t="shared" si="8"/>
        <v>01</v>
      </c>
      <c r="L49" s="23">
        <f t="shared" si="9"/>
        <v>1900</v>
      </c>
      <c r="M49" s="23" t="str">
        <f t="shared" si="10"/>
        <v>1900</v>
      </c>
      <c r="N49" s="23" t="str">
        <f t="shared" si="11"/>
        <v>00/01/1900</v>
      </c>
      <c r="O49" s="27" t="str">
        <f t="shared" si="12"/>
        <v>00000000000000000000</v>
      </c>
      <c r="P49" s="24" t="str">
        <f t="shared" si="13"/>
        <v>00000000,00</v>
      </c>
      <c r="Q49" s="36" t="str">
        <f t="shared" si="0"/>
        <v/>
      </c>
      <c r="R49" t="str">
        <f t="shared" si="1"/>
        <v/>
      </c>
      <c r="S49" t="str">
        <f t="shared" si="2"/>
        <v/>
      </c>
    </row>
    <row r="50" spans="1:19" x14ac:dyDescent="0.2">
      <c r="A50" s="28"/>
      <c r="B50" s="24"/>
      <c r="C50" s="21"/>
      <c r="D50" s="28"/>
      <c r="E50" s="23"/>
      <c r="F50" s="23" t="str">
        <f t="shared" si="3"/>
        <v>0000000000000</v>
      </c>
      <c r="G50" s="23" t="str">
        <f t="shared" si="4"/>
        <v>000</v>
      </c>
      <c r="H50" s="23">
        <f t="shared" si="5"/>
        <v>0</v>
      </c>
      <c r="I50" s="23" t="str">
        <f t="shared" si="6"/>
        <v>00</v>
      </c>
      <c r="J50" s="23">
        <f t="shared" si="7"/>
        <v>1</v>
      </c>
      <c r="K50" s="23" t="str">
        <f t="shared" si="8"/>
        <v>01</v>
      </c>
      <c r="L50" s="23">
        <f t="shared" si="9"/>
        <v>1900</v>
      </c>
      <c r="M50" s="23" t="str">
        <f t="shared" si="10"/>
        <v>1900</v>
      </c>
      <c r="N50" s="23" t="str">
        <f t="shared" si="11"/>
        <v>00/01/1900</v>
      </c>
      <c r="O50" s="27" t="str">
        <f t="shared" si="12"/>
        <v>00000000000000000000</v>
      </c>
      <c r="P50" s="24" t="str">
        <f t="shared" si="13"/>
        <v>00000000,00</v>
      </c>
      <c r="Q50" s="36" t="str">
        <f t="shared" si="0"/>
        <v/>
      </c>
      <c r="R50" t="str">
        <f t="shared" si="1"/>
        <v/>
      </c>
      <c r="S50" t="str">
        <f t="shared" si="2"/>
        <v/>
      </c>
    </row>
    <row r="51" spans="1:19" x14ac:dyDescent="0.2">
      <c r="A51" s="28"/>
      <c r="B51" s="24"/>
      <c r="C51" s="21"/>
      <c r="D51" s="28"/>
      <c r="E51" s="23"/>
      <c r="F51" s="23" t="str">
        <f t="shared" si="3"/>
        <v>0000000000000</v>
      </c>
      <c r="G51" s="23" t="str">
        <f t="shared" si="4"/>
        <v>000</v>
      </c>
      <c r="H51" s="23">
        <f t="shared" si="5"/>
        <v>0</v>
      </c>
      <c r="I51" s="23" t="str">
        <f t="shared" si="6"/>
        <v>00</v>
      </c>
      <c r="J51" s="23">
        <f t="shared" si="7"/>
        <v>1</v>
      </c>
      <c r="K51" s="23" t="str">
        <f t="shared" si="8"/>
        <v>01</v>
      </c>
      <c r="L51" s="23">
        <f t="shared" si="9"/>
        <v>1900</v>
      </c>
      <c r="M51" s="23" t="str">
        <f t="shared" si="10"/>
        <v>1900</v>
      </c>
      <c r="N51" s="23" t="str">
        <f t="shared" si="11"/>
        <v>00/01/1900</v>
      </c>
      <c r="O51" s="27" t="str">
        <f t="shared" si="12"/>
        <v>00000000000000000000</v>
      </c>
      <c r="P51" s="24" t="str">
        <f t="shared" si="13"/>
        <v>00000000,00</v>
      </c>
      <c r="Q51" s="36" t="str">
        <f t="shared" si="0"/>
        <v/>
      </c>
      <c r="R51" t="str">
        <f t="shared" si="1"/>
        <v/>
      </c>
      <c r="S51" t="str">
        <f t="shared" si="2"/>
        <v/>
      </c>
    </row>
    <row r="52" spans="1:19" x14ac:dyDescent="0.2">
      <c r="A52" s="28"/>
      <c r="B52" s="24"/>
      <c r="C52" s="21"/>
      <c r="D52" s="28"/>
      <c r="E52" s="23"/>
      <c r="F52" s="23" t="str">
        <f t="shared" si="3"/>
        <v>0000000000000</v>
      </c>
      <c r="G52" s="23" t="str">
        <f t="shared" si="4"/>
        <v>000</v>
      </c>
      <c r="H52" s="23">
        <f t="shared" si="5"/>
        <v>0</v>
      </c>
      <c r="I52" s="23" t="str">
        <f t="shared" si="6"/>
        <v>00</v>
      </c>
      <c r="J52" s="23">
        <f t="shared" si="7"/>
        <v>1</v>
      </c>
      <c r="K52" s="23" t="str">
        <f t="shared" si="8"/>
        <v>01</v>
      </c>
      <c r="L52" s="23">
        <f t="shared" si="9"/>
        <v>1900</v>
      </c>
      <c r="M52" s="23" t="str">
        <f t="shared" si="10"/>
        <v>1900</v>
      </c>
      <c r="N52" s="23" t="str">
        <f t="shared" si="11"/>
        <v>00/01/1900</v>
      </c>
      <c r="O52" s="27" t="str">
        <f t="shared" si="12"/>
        <v>00000000000000000000</v>
      </c>
      <c r="P52" s="24" t="str">
        <f t="shared" si="13"/>
        <v>00000000,00</v>
      </c>
      <c r="Q52" s="36" t="str">
        <f t="shared" si="0"/>
        <v/>
      </c>
      <c r="R52" t="str">
        <f t="shared" si="1"/>
        <v/>
      </c>
      <c r="S52" t="str">
        <f t="shared" si="2"/>
        <v/>
      </c>
    </row>
    <row r="53" spans="1:19" x14ac:dyDescent="0.2">
      <c r="A53" s="28"/>
      <c r="B53" s="24"/>
      <c r="C53" s="21"/>
      <c r="D53" s="28"/>
      <c r="E53" s="23"/>
      <c r="F53" s="23" t="str">
        <f t="shared" si="3"/>
        <v>0000000000000</v>
      </c>
      <c r="G53" s="23" t="str">
        <f t="shared" si="4"/>
        <v>000</v>
      </c>
      <c r="H53" s="23">
        <f t="shared" si="5"/>
        <v>0</v>
      </c>
      <c r="I53" s="23" t="str">
        <f t="shared" si="6"/>
        <v>00</v>
      </c>
      <c r="J53" s="23">
        <f t="shared" si="7"/>
        <v>1</v>
      </c>
      <c r="K53" s="23" t="str">
        <f t="shared" si="8"/>
        <v>01</v>
      </c>
      <c r="L53" s="23">
        <f t="shared" si="9"/>
        <v>1900</v>
      </c>
      <c r="M53" s="23" t="str">
        <f t="shared" si="10"/>
        <v>1900</v>
      </c>
      <c r="N53" s="23" t="str">
        <f t="shared" si="11"/>
        <v>00/01/1900</v>
      </c>
      <c r="O53" s="27" t="str">
        <f t="shared" si="12"/>
        <v>00000000000000000000</v>
      </c>
      <c r="P53" s="24" t="str">
        <f t="shared" si="13"/>
        <v>00000000,00</v>
      </c>
      <c r="Q53" s="36" t="str">
        <f t="shared" si="0"/>
        <v/>
      </c>
      <c r="R53" t="str">
        <f t="shared" si="1"/>
        <v/>
      </c>
      <c r="S53" t="str">
        <f t="shared" si="2"/>
        <v/>
      </c>
    </row>
    <row r="54" spans="1:19" x14ac:dyDescent="0.2">
      <c r="A54" s="28"/>
      <c r="B54" s="24"/>
      <c r="C54" s="21"/>
      <c r="D54" s="28"/>
      <c r="E54" s="23"/>
      <c r="F54" s="23" t="str">
        <f t="shared" si="3"/>
        <v>0000000000000</v>
      </c>
      <c r="G54" s="23" t="str">
        <f t="shared" si="4"/>
        <v>000</v>
      </c>
      <c r="H54" s="23">
        <f t="shared" si="5"/>
        <v>0</v>
      </c>
      <c r="I54" s="23" t="str">
        <f t="shared" si="6"/>
        <v>00</v>
      </c>
      <c r="J54" s="23">
        <f t="shared" si="7"/>
        <v>1</v>
      </c>
      <c r="K54" s="23" t="str">
        <f t="shared" si="8"/>
        <v>01</v>
      </c>
      <c r="L54" s="23">
        <f t="shared" si="9"/>
        <v>1900</v>
      </c>
      <c r="M54" s="23" t="str">
        <f t="shared" si="10"/>
        <v>1900</v>
      </c>
      <c r="N54" s="23" t="str">
        <f t="shared" si="11"/>
        <v>00/01/1900</v>
      </c>
      <c r="O54" s="27" t="str">
        <f t="shared" si="12"/>
        <v>00000000000000000000</v>
      </c>
      <c r="P54" s="24" t="str">
        <f t="shared" si="13"/>
        <v>00000000,00</v>
      </c>
      <c r="Q54" s="36" t="str">
        <f t="shared" si="0"/>
        <v/>
      </c>
      <c r="R54" t="str">
        <f t="shared" si="1"/>
        <v/>
      </c>
      <c r="S54" t="str">
        <f t="shared" si="2"/>
        <v/>
      </c>
    </row>
    <row r="55" spans="1:19" x14ac:dyDescent="0.2">
      <c r="A55" s="28"/>
      <c r="B55" s="24"/>
      <c r="C55" s="21"/>
      <c r="D55" s="28"/>
      <c r="E55" s="23"/>
      <c r="F55" s="23" t="str">
        <f t="shared" si="3"/>
        <v>0000000000000</v>
      </c>
      <c r="G55" s="23" t="str">
        <f t="shared" si="4"/>
        <v>000</v>
      </c>
      <c r="H55" s="23">
        <f t="shared" si="5"/>
        <v>0</v>
      </c>
      <c r="I55" s="23" t="str">
        <f t="shared" si="6"/>
        <v>00</v>
      </c>
      <c r="J55" s="23">
        <f t="shared" si="7"/>
        <v>1</v>
      </c>
      <c r="K55" s="23" t="str">
        <f t="shared" si="8"/>
        <v>01</v>
      </c>
      <c r="L55" s="23">
        <f t="shared" si="9"/>
        <v>1900</v>
      </c>
      <c r="M55" s="23" t="str">
        <f t="shared" si="10"/>
        <v>1900</v>
      </c>
      <c r="N55" s="23" t="str">
        <f t="shared" si="11"/>
        <v>00/01/1900</v>
      </c>
      <c r="O55" s="27" t="str">
        <f t="shared" si="12"/>
        <v>00000000000000000000</v>
      </c>
      <c r="P55" s="24" t="str">
        <f t="shared" si="13"/>
        <v>00000000,00</v>
      </c>
      <c r="Q55" s="36" t="str">
        <f t="shared" si="0"/>
        <v/>
      </c>
      <c r="R55" t="str">
        <f t="shared" si="1"/>
        <v/>
      </c>
      <c r="S55" t="str">
        <f t="shared" si="2"/>
        <v/>
      </c>
    </row>
    <row r="56" spans="1:19" x14ac:dyDescent="0.2">
      <c r="A56" s="28"/>
      <c r="B56" s="24"/>
      <c r="C56" s="21"/>
      <c r="D56" s="28"/>
      <c r="E56" s="23"/>
      <c r="F56" s="23" t="str">
        <f t="shared" si="3"/>
        <v>0000000000000</v>
      </c>
      <c r="G56" s="23" t="str">
        <f t="shared" si="4"/>
        <v>000</v>
      </c>
      <c r="H56" s="23">
        <f t="shared" si="5"/>
        <v>0</v>
      </c>
      <c r="I56" s="23" t="str">
        <f t="shared" si="6"/>
        <v>00</v>
      </c>
      <c r="J56" s="23">
        <f t="shared" si="7"/>
        <v>1</v>
      </c>
      <c r="K56" s="23" t="str">
        <f t="shared" si="8"/>
        <v>01</v>
      </c>
      <c r="L56" s="23">
        <f t="shared" si="9"/>
        <v>1900</v>
      </c>
      <c r="M56" s="23" t="str">
        <f t="shared" si="10"/>
        <v>1900</v>
      </c>
      <c r="N56" s="23" t="str">
        <f t="shared" si="11"/>
        <v>00/01/1900</v>
      </c>
      <c r="O56" s="27" t="str">
        <f t="shared" si="12"/>
        <v>00000000000000000000</v>
      </c>
      <c r="P56" s="24" t="str">
        <f t="shared" si="13"/>
        <v>00000000,00</v>
      </c>
      <c r="Q56" s="36" t="str">
        <f t="shared" si="0"/>
        <v/>
      </c>
      <c r="R56" t="str">
        <f t="shared" si="1"/>
        <v/>
      </c>
      <c r="S56" t="str">
        <f t="shared" si="2"/>
        <v/>
      </c>
    </row>
    <row r="57" spans="1:19" x14ac:dyDescent="0.2">
      <c r="A57" s="28"/>
      <c r="B57" s="24"/>
      <c r="C57" s="21"/>
      <c r="D57" s="28"/>
      <c r="E57" s="23"/>
      <c r="F57" s="23" t="str">
        <f t="shared" si="3"/>
        <v>0000000000000</v>
      </c>
      <c r="G57" s="23" t="str">
        <f t="shared" si="4"/>
        <v>000</v>
      </c>
      <c r="H57" s="23">
        <f t="shared" si="5"/>
        <v>0</v>
      </c>
      <c r="I57" s="23" t="str">
        <f t="shared" si="6"/>
        <v>00</v>
      </c>
      <c r="J57" s="23">
        <f t="shared" si="7"/>
        <v>1</v>
      </c>
      <c r="K57" s="23" t="str">
        <f t="shared" si="8"/>
        <v>01</v>
      </c>
      <c r="L57" s="23">
        <f t="shared" si="9"/>
        <v>1900</v>
      </c>
      <c r="M57" s="23" t="str">
        <f t="shared" si="10"/>
        <v>1900</v>
      </c>
      <c r="N57" s="23" t="str">
        <f t="shared" si="11"/>
        <v>00/01/1900</v>
      </c>
      <c r="O57" s="27" t="str">
        <f t="shared" si="12"/>
        <v>00000000000000000000</v>
      </c>
      <c r="P57" s="24" t="str">
        <f t="shared" si="13"/>
        <v>00000000,00</v>
      </c>
      <c r="Q57" s="36" t="str">
        <f t="shared" si="0"/>
        <v/>
      </c>
      <c r="R57" t="str">
        <f t="shared" si="1"/>
        <v/>
      </c>
      <c r="S57" t="str">
        <f t="shared" si="2"/>
        <v/>
      </c>
    </row>
    <row r="58" spans="1:19" x14ac:dyDescent="0.2">
      <c r="A58" s="28"/>
      <c r="B58" s="24"/>
      <c r="C58" s="21"/>
      <c r="D58" s="28"/>
      <c r="E58" s="23"/>
      <c r="F58" s="23" t="str">
        <f t="shared" si="3"/>
        <v>0000000000000</v>
      </c>
      <c r="G58" s="23" t="str">
        <f t="shared" si="4"/>
        <v>000</v>
      </c>
      <c r="H58" s="23">
        <f t="shared" si="5"/>
        <v>0</v>
      </c>
      <c r="I58" s="23" t="str">
        <f t="shared" si="6"/>
        <v>00</v>
      </c>
      <c r="J58" s="23">
        <f t="shared" si="7"/>
        <v>1</v>
      </c>
      <c r="K58" s="23" t="str">
        <f t="shared" si="8"/>
        <v>01</v>
      </c>
      <c r="L58" s="23">
        <f t="shared" si="9"/>
        <v>1900</v>
      </c>
      <c r="M58" s="23" t="str">
        <f t="shared" si="10"/>
        <v>1900</v>
      </c>
      <c r="N58" s="23" t="str">
        <f t="shared" si="11"/>
        <v>00/01/1900</v>
      </c>
      <c r="O58" s="27" t="str">
        <f t="shared" si="12"/>
        <v>00000000000000000000</v>
      </c>
      <c r="P58" s="24" t="str">
        <f t="shared" si="13"/>
        <v>00000000,00</v>
      </c>
      <c r="Q58" s="36" t="str">
        <f t="shared" si="0"/>
        <v/>
      </c>
      <c r="R58" t="str">
        <f t="shared" si="1"/>
        <v/>
      </c>
      <c r="S58" t="str">
        <f t="shared" si="2"/>
        <v/>
      </c>
    </row>
    <row r="59" spans="1:19" x14ac:dyDescent="0.2">
      <c r="A59" s="28"/>
      <c r="B59" s="24"/>
      <c r="C59" s="21"/>
      <c r="D59" s="28"/>
      <c r="E59" s="23"/>
      <c r="F59" s="23" t="str">
        <f t="shared" si="3"/>
        <v>0000000000000</v>
      </c>
      <c r="G59" s="23" t="str">
        <f t="shared" si="4"/>
        <v>000</v>
      </c>
      <c r="H59" s="23">
        <f t="shared" si="5"/>
        <v>0</v>
      </c>
      <c r="I59" s="23" t="str">
        <f t="shared" si="6"/>
        <v>00</v>
      </c>
      <c r="J59" s="23">
        <f t="shared" si="7"/>
        <v>1</v>
      </c>
      <c r="K59" s="23" t="str">
        <f t="shared" si="8"/>
        <v>01</v>
      </c>
      <c r="L59" s="23">
        <f t="shared" si="9"/>
        <v>1900</v>
      </c>
      <c r="M59" s="23" t="str">
        <f t="shared" si="10"/>
        <v>1900</v>
      </c>
      <c r="N59" s="23" t="str">
        <f t="shared" si="11"/>
        <v>00/01/1900</v>
      </c>
      <c r="O59" s="27" t="str">
        <f t="shared" si="12"/>
        <v>00000000000000000000</v>
      </c>
      <c r="P59" s="24" t="str">
        <f t="shared" si="13"/>
        <v>00000000,00</v>
      </c>
      <c r="Q59" s="36" t="str">
        <f t="shared" si="0"/>
        <v/>
      </c>
      <c r="R59" t="str">
        <f t="shared" si="1"/>
        <v/>
      </c>
      <c r="S59" t="str">
        <f t="shared" si="2"/>
        <v/>
      </c>
    </row>
    <row r="60" spans="1:19" x14ac:dyDescent="0.2">
      <c r="A60" s="28"/>
      <c r="B60" s="24"/>
      <c r="C60" s="21"/>
      <c r="D60" s="28"/>
      <c r="E60" s="23"/>
      <c r="F60" s="23" t="str">
        <f t="shared" si="3"/>
        <v>0000000000000</v>
      </c>
      <c r="G60" s="23" t="str">
        <f t="shared" si="4"/>
        <v>000</v>
      </c>
      <c r="H60" s="23">
        <f t="shared" si="5"/>
        <v>0</v>
      </c>
      <c r="I60" s="23" t="str">
        <f t="shared" si="6"/>
        <v>00</v>
      </c>
      <c r="J60" s="23">
        <f t="shared" si="7"/>
        <v>1</v>
      </c>
      <c r="K60" s="23" t="str">
        <f t="shared" si="8"/>
        <v>01</v>
      </c>
      <c r="L60" s="23">
        <f t="shared" si="9"/>
        <v>1900</v>
      </c>
      <c r="M60" s="23" t="str">
        <f t="shared" si="10"/>
        <v>1900</v>
      </c>
      <c r="N60" s="23" t="str">
        <f t="shared" si="11"/>
        <v>00/01/1900</v>
      </c>
      <c r="O60" s="27" t="str">
        <f t="shared" si="12"/>
        <v>00000000000000000000</v>
      </c>
      <c r="P60" s="24" t="str">
        <f t="shared" si="13"/>
        <v>00000000,00</v>
      </c>
      <c r="Q60" s="36" t="str">
        <f t="shared" si="0"/>
        <v/>
      </c>
      <c r="R60" t="str">
        <f t="shared" si="1"/>
        <v/>
      </c>
      <c r="S60" t="str">
        <f t="shared" si="2"/>
        <v/>
      </c>
    </row>
    <row r="61" spans="1:19" x14ac:dyDescent="0.2">
      <c r="A61" s="28"/>
      <c r="B61" s="24"/>
      <c r="C61" s="21"/>
      <c r="D61" s="28"/>
      <c r="E61" s="23"/>
      <c r="F61" s="23" t="str">
        <f t="shared" si="3"/>
        <v>0000000000000</v>
      </c>
      <c r="G61" s="23" t="str">
        <f t="shared" si="4"/>
        <v>000</v>
      </c>
      <c r="H61" s="23">
        <f t="shared" si="5"/>
        <v>0</v>
      </c>
      <c r="I61" s="23" t="str">
        <f t="shared" si="6"/>
        <v>00</v>
      </c>
      <c r="J61" s="23">
        <f t="shared" si="7"/>
        <v>1</v>
      </c>
      <c r="K61" s="23" t="str">
        <f t="shared" si="8"/>
        <v>01</v>
      </c>
      <c r="L61" s="23">
        <f t="shared" si="9"/>
        <v>1900</v>
      </c>
      <c r="M61" s="23" t="str">
        <f t="shared" si="10"/>
        <v>1900</v>
      </c>
      <c r="N61" s="23" t="str">
        <f t="shared" si="11"/>
        <v>00/01/1900</v>
      </c>
      <c r="O61" s="27" t="str">
        <f t="shared" si="12"/>
        <v>00000000000000000000</v>
      </c>
      <c r="P61" s="24" t="str">
        <f t="shared" si="13"/>
        <v>00000000,00</v>
      </c>
      <c r="Q61" s="36" t="str">
        <f t="shared" si="0"/>
        <v/>
      </c>
      <c r="R61" t="str">
        <f t="shared" si="1"/>
        <v/>
      </c>
      <c r="S61" t="str">
        <f t="shared" si="2"/>
        <v/>
      </c>
    </row>
    <row r="62" spans="1:19" x14ac:dyDescent="0.2">
      <c r="A62" s="28"/>
      <c r="B62" s="24"/>
      <c r="C62" s="21"/>
      <c r="D62" s="28"/>
      <c r="E62" s="23"/>
      <c r="F62" s="23" t="str">
        <f t="shared" si="3"/>
        <v>0000000000000</v>
      </c>
      <c r="G62" s="23" t="str">
        <f t="shared" si="4"/>
        <v>000</v>
      </c>
      <c r="H62" s="23">
        <f t="shared" si="5"/>
        <v>0</v>
      </c>
      <c r="I62" s="23" t="str">
        <f t="shared" si="6"/>
        <v>00</v>
      </c>
      <c r="J62" s="23">
        <f t="shared" si="7"/>
        <v>1</v>
      </c>
      <c r="K62" s="23" t="str">
        <f t="shared" si="8"/>
        <v>01</v>
      </c>
      <c r="L62" s="23">
        <f t="shared" si="9"/>
        <v>1900</v>
      </c>
      <c r="M62" s="23" t="str">
        <f t="shared" si="10"/>
        <v>1900</v>
      </c>
      <c r="N62" s="23" t="str">
        <f t="shared" si="11"/>
        <v>00/01/1900</v>
      </c>
      <c r="O62" s="27" t="str">
        <f t="shared" si="12"/>
        <v>00000000000000000000</v>
      </c>
      <c r="P62" s="24" t="str">
        <f t="shared" si="13"/>
        <v>00000000,00</v>
      </c>
      <c r="Q62" s="36" t="str">
        <f t="shared" si="0"/>
        <v/>
      </c>
      <c r="R62" t="str">
        <f t="shared" si="1"/>
        <v/>
      </c>
      <c r="S62" t="str">
        <f t="shared" si="2"/>
        <v/>
      </c>
    </row>
    <row r="63" spans="1:19" x14ac:dyDescent="0.2">
      <c r="A63" s="28"/>
      <c r="B63" s="24"/>
      <c r="C63" s="21"/>
      <c r="D63" s="28"/>
      <c r="E63" s="23"/>
      <c r="F63" s="23" t="str">
        <f t="shared" si="3"/>
        <v>0000000000000</v>
      </c>
      <c r="G63" s="23" t="str">
        <f t="shared" si="4"/>
        <v>000</v>
      </c>
      <c r="H63" s="23">
        <f t="shared" si="5"/>
        <v>0</v>
      </c>
      <c r="I63" s="23" t="str">
        <f t="shared" si="6"/>
        <v>00</v>
      </c>
      <c r="J63" s="23">
        <f t="shared" si="7"/>
        <v>1</v>
      </c>
      <c r="K63" s="23" t="str">
        <f t="shared" si="8"/>
        <v>01</v>
      </c>
      <c r="L63" s="23">
        <f t="shared" si="9"/>
        <v>1900</v>
      </c>
      <c r="M63" s="23" t="str">
        <f t="shared" si="10"/>
        <v>1900</v>
      </c>
      <c r="N63" s="23" t="str">
        <f t="shared" si="11"/>
        <v>00/01/1900</v>
      </c>
      <c r="O63" s="27" t="str">
        <f t="shared" si="12"/>
        <v>00000000000000000000</v>
      </c>
      <c r="P63" s="24" t="str">
        <f t="shared" si="13"/>
        <v>00000000,00</v>
      </c>
      <c r="Q63" s="36" t="str">
        <f t="shared" si="0"/>
        <v/>
      </c>
      <c r="R63" t="str">
        <f t="shared" si="1"/>
        <v/>
      </c>
      <c r="S63" t="str">
        <f t="shared" si="2"/>
        <v/>
      </c>
    </row>
    <row r="64" spans="1:19" x14ac:dyDescent="0.2">
      <c r="A64" s="28"/>
      <c r="B64" s="24"/>
      <c r="C64" s="21"/>
      <c r="D64" s="28"/>
      <c r="E64" s="23"/>
      <c r="F64" s="23" t="str">
        <f t="shared" si="3"/>
        <v>0000000000000</v>
      </c>
      <c r="G64" s="23" t="str">
        <f t="shared" si="4"/>
        <v>000</v>
      </c>
      <c r="H64" s="23">
        <f t="shared" si="5"/>
        <v>0</v>
      </c>
      <c r="I64" s="23" t="str">
        <f t="shared" si="6"/>
        <v>00</v>
      </c>
      <c r="J64" s="23">
        <f t="shared" si="7"/>
        <v>1</v>
      </c>
      <c r="K64" s="23" t="str">
        <f t="shared" si="8"/>
        <v>01</v>
      </c>
      <c r="L64" s="23">
        <f t="shared" si="9"/>
        <v>1900</v>
      </c>
      <c r="M64" s="23" t="str">
        <f t="shared" si="10"/>
        <v>1900</v>
      </c>
      <c r="N64" s="23" t="str">
        <f t="shared" si="11"/>
        <v>00/01/1900</v>
      </c>
      <c r="O64" s="27" t="str">
        <f t="shared" si="12"/>
        <v>00000000000000000000</v>
      </c>
      <c r="P64" s="24" t="str">
        <f t="shared" si="13"/>
        <v>00000000,00</v>
      </c>
      <c r="Q64" s="36" t="str">
        <f t="shared" si="0"/>
        <v/>
      </c>
      <c r="R64" t="str">
        <f t="shared" si="1"/>
        <v/>
      </c>
      <c r="S64" t="str">
        <f t="shared" si="2"/>
        <v/>
      </c>
    </row>
    <row r="65" spans="1:19" x14ac:dyDescent="0.2">
      <c r="A65" s="28"/>
      <c r="B65" s="24"/>
      <c r="C65" s="21"/>
      <c r="D65" s="28"/>
      <c r="E65" s="23"/>
      <c r="F65" s="23" t="str">
        <f t="shared" si="3"/>
        <v>0000000000000</v>
      </c>
      <c r="G65" s="23" t="str">
        <f t="shared" si="4"/>
        <v>000</v>
      </c>
      <c r="H65" s="23">
        <f t="shared" si="5"/>
        <v>0</v>
      </c>
      <c r="I65" s="23" t="str">
        <f t="shared" si="6"/>
        <v>00</v>
      </c>
      <c r="J65" s="23">
        <f t="shared" si="7"/>
        <v>1</v>
      </c>
      <c r="K65" s="23" t="str">
        <f t="shared" si="8"/>
        <v>01</v>
      </c>
      <c r="L65" s="23">
        <f t="shared" si="9"/>
        <v>1900</v>
      </c>
      <c r="M65" s="23" t="str">
        <f t="shared" si="10"/>
        <v>1900</v>
      </c>
      <c r="N65" s="23" t="str">
        <f t="shared" si="11"/>
        <v>00/01/1900</v>
      </c>
      <c r="O65" s="27" t="str">
        <f t="shared" si="12"/>
        <v>00000000000000000000</v>
      </c>
      <c r="P65" s="24" t="str">
        <f t="shared" si="13"/>
        <v>00000000,00</v>
      </c>
      <c r="Q65" s="36" t="str">
        <f t="shared" si="0"/>
        <v/>
      </c>
      <c r="R65" t="str">
        <f t="shared" si="1"/>
        <v/>
      </c>
      <c r="S65" t="str">
        <f t="shared" si="2"/>
        <v/>
      </c>
    </row>
    <row r="66" spans="1:19" x14ac:dyDescent="0.2">
      <c r="A66" s="28"/>
      <c r="B66" s="24"/>
      <c r="C66" s="21"/>
      <c r="D66" s="28"/>
      <c r="E66" s="23"/>
      <c r="F66" s="23" t="str">
        <f t="shared" si="3"/>
        <v>0000000000000</v>
      </c>
      <c r="G66" s="23" t="str">
        <f t="shared" si="4"/>
        <v>000</v>
      </c>
      <c r="H66" s="23">
        <f t="shared" si="5"/>
        <v>0</v>
      </c>
      <c r="I66" s="23" t="str">
        <f t="shared" si="6"/>
        <v>00</v>
      </c>
      <c r="J66" s="23">
        <f t="shared" si="7"/>
        <v>1</v>
      </c>
      <c r="K66" s="23" t="str">
        <f t="shared" si="8"/>
        <v>01</v>
      </c>
      <c r="L66" s="23">
        <f t="shared" si="9"/>
        <v>1900</v>
      </c>
      <c r="M66" s="23" t="str">
        <f t="shared" si="10"/>
        <v>1900</v>
      </c>
      <c r="N66" s="23" t="str">
        <f t="shared" si="11"/>
        <v>00/01/1900</v>
      </c>
      <c r="O66" s="27" t="str">
        <f t="shared" si="12"/>
        <v>00000000000000000000</v>
      </c>
      <c r="P66" s="24" t="str">
        <f t="shared" si="13"/>
        <v>00000000,00</v>
      </c>
      <c r="Q66" s="36" t="str">
        <f t="shared" si="0"/>
        <v/>
      </c>
      <c r="R66" t="str">
        <f t="shared" si="1"/>
        <v/>
      </c>
      <c r="S66" t="str">
        <f t="shared" si="2"/>
        <v/>
      </c>
    </row>
    <row r="67" spans="1:19" x14ac:dyDescent="0.2">
      <c r="A67" s="28"/>
      <c r="B67" s="24"/>
      <c r="C67" s="21"/>
      <c r="D67" s="28"/>
      <c r="E67" s="23"/>
      <c r="F67" s="23" t="str">
        <f t="shared" si="3"/>
        <v>0000000000000</v>
      </c>
      <c r="G67" s="23" t="str">
        <f t="shared" si="4"/>
        <v>000</v>
      </c>
      <c r="H67" s="23">
        <f t="shared" si="5"/>
        <v>0</v>
      </c>
      <c r="I67" s="23" t="str">
        <f t="shared" si="6"/>
        <v>00</v>
      </c>
      <c r="J67" s="23">
        <f t="shared" si="7"/>
        <v>1</v>
      </c>
      <c r="K67" s="23" t="str">
        <f t="shared" si="8"/>
        <v>01</v>
      </c>
      <c r="L67" s="23">
        <f t="shared" si="9"/>
        <v>1900</v>
      </c>
      <c r="M67" s="23" t="str">
        <f t="shared" si="10"/>
        <v>1900</v>
      </c>
      <c r="N67" s="23" t="str">
        <f t="shared" si="11"/>
        <v>00/01/1900</v>
      </c>
      <c r="O67" s="27" t="str">
        <f t="shared" si="12"/>
        <v>00000000000000000000</v>
      </c>
      <c r="P67" s="24" t="str">
        <f t="shared" si="13"/>
        <v>00000000,00</v>
      </c>
      <c r="Q67" s="36" t="str">
        <f t="shared" si="0"/>
        <v/>
      </c>
      <c r="R67" t="str">
        <f t="shared" si="1"/>
        <v/>
      </c>
      <c r="S67" t="str">
        <f t="shared" si="2"/>
        <v/>
      </c>
    </row>
    <row r="68" spans="1:19" x14ac:dyDescent="0.2">
      <c r="A68" s="28"/>
      <c r="B68" s="24"/>
      <c r="C68" s="21"/>
      <c r="D68" s="28"/>
      <c r="E68" s="23"/>
      <c r="F68" s="23" t="str">
        <f t="shared" si="3"/>
        <v>0000000000000</v>
      </c>
      <c r="G68" s="23" t="str">
        <f t="shared" si="4"/>
        <v>000</v>
      </c>
      <c r="H68" s="23">
        <f t="shared" si="5"/>
        <v>0</v>
      </c>
      <c r="I68" s="23" t="str">
        <f t="shared" si="6"/>
        <v>00</v>
      </c>
      <c r="J68" s="23">
        <f t="shared" si="7"/>
        <v>1</v>
      </c>
      <c r="K68" s="23" t="str">
        <f t="shared" si="8"/>
        <v>01</v>
      </c>
      <c r="L68" s="23">
        <f t="shared" si="9"/>
        <v>1900</v>
      </c>
      <c r="M68" s="23" t="str">
        <f t="shared" si="10"/>
        <v>1900</v>
      </c>
      <c r="N68" s="23" t="str">
        <f t="shared" si="11"/>
        <v>00/01/1900</v>
      </c>
      <c r="O68" s="27" t="str">
        <f t="shared" si="12"/>
        <v>00000000000000000000</v>
      </c>
      <c r="P68" s="24" t="str">
        <f t="shared" si="13"/>
        <v>00000000,00</v>
      </c>
      <c r="Q68" s="36" t="str">
        <f t="shared" si="0"/>
        <v/>
      </c>
      <c r="R68" t="str">
        <f t="shared" si="1"/>
        <v/>
      </c>
      <c r="S68" t="str">
        <f t="shared" si="2"/>
        <v/>
      </c>
    </row>
    <row r="69" spans="1:19" x14ac:dyDescent="0.2">
      <c r="A69" s="28"/>
      <c r="B69" s="24"/>
      <c r="C69" s="21"/>
      <c r="D69" s="28"/>
      <c r="E69" s="23"/>
      <c r="F69" s="23" t="str">
        <f t="shared" si="3"/>
        <v>0000000000000</v>
      </c>
      <c r="G69" s="23" t="str">
        <f t="shared" si="4"/>
        <v>000</v>
      </c>
      <c r="H69" s="23">
        <f t="shared" si="5"/>
        <v>0</v>
      </c>
      <c r="I69" s="23" t="str">
        <f t="shared" si="6"/>
        <v>00</v>
      </c>
      <c r="J69" s="23">
        <f t="shared" si="7"/>
        <v>1</v>
      </c>
      <c r="K69" s="23" t="str">
        <f t="shared" si="8"/>
        <v>01</v>
      </c>
      <c r="L69" s="23">
        <f t="shared" si="9"/>
        <v>1900</v>
      </c>
      <c r="M69" s="23" t="str">
        <f t="shared" si="10"/>
        <v>1900</v>
      </c>
      <c r="N69" s="23" t="str">
        <f t="shared" si="11"/>
        <v>00/01/1900</v>
      </c>
      <c r="O69" s="27" t="str">
        <f t="shared" si="12"/>
        <v>00000000000000000000</v>
      </c>
      <c r="P69" s="24" t="str">
        <f t="shared" si="13"/>
        <v>00000000,00</v>
      </c>
      <c r="Q69" s="36" t="str">
        <f t="shared" si="0"/>
        <v/>
      </c>
      <c r="R69" t="str">
        <f t="shared" si="1"/>
        <v/>
      </c>
      <c r="S69" t="str">
        <f t="shared" si="2"/>
        <v/>
      </c>
    </row>
    <row r="70" spans="1:19" x14ac:dyDescent="0.2">
      <c r="A70" s="28"/>
      <c r="B70" s="24"/>
      <c r="C70" s="21"/>
      <c r="D70" s="28"/>
      <c r="E70" s="23"/>
      <c r="F70" s="23" t="str">
        <f t="shared" si="3"/>
        <v>0000000000000</v>
      </c>
      <c r="G70" s="23" t="str">
        <f t="shared" si="4"/>
        <v>000</v>
      </c>
      <c r="H70" s="23">
        <f t="shared" si="5"/>
        <v>0</v>
      </c>
      <c r="I70" s="23" t="str">
        <f t="shared" si="6"/>
        <v>00</v>
      </c>
      <c r="J70" s="23">
        <f t="shared" si="7"/>
        <v>1</v>
      </c>
      <c r="K70" s="23" t="str">
        <f t="shared" si="8"/>
        <v>01</v>
      </c>
      <c r="L70" s="23">
        <f t="shared" si="9"/>
        <v>1900</v>
      </c>
      <c r="M70" s="23" t="str">
        <f t="shared" si="10"/>
        <v>1900</v>
      </c>
      <c r="N70" s="23" t="str">
        <f t="shared" si="11"/>
        <v>00/01/1900</v>
      </c>
      <c r="O70" s="27" t="str">
        <f t="shared" si="12"/>
        <v>00000000000000000000</v>
      </c>
      <c r="P70" s="24" t="str">
        <f t="shared" si="13"/>
        <v>00000000,00</v>
      </c>
      <c r="Q70" s="36" t="str">
        <f t="shared" si="0"/>
        <v/>
      </c>
      <c r="R70" t="str">
        <f t="shared" si="1"/>
        <v/>
      </c>
      <c r="S70" t="str">
        <f t="shared" si="2"/>
        <v/>
      </c>
    </row>
    <row r="71" spans="1:19" x14ac:dyDescent="0.2">
      <c r="A71" s="28"/>
      <c r="B71" s="24"/>
      <c r="C71" s="21"/>
      <c r="D71" s="28"/>
      <c r="E71" s="23"/>
      <c r="F71" s="23" t="str">
        <f t="shared" si="3"/>
        <v>0000000000000</v>
      </c>
      <c r="G71" s="23" t="str">
        <f t="shared" si="4"/>
        <v>000</v>
      </c>
      <c r="H71" s="23">
        <f t="shared" si="5"/>
        <v>0</v>
      </c>
      <c r="I71" s="23" t="str">
        <f t="shared" si="6"/>
        <v>00</v>
      </c>
      <c r="J71" s="23">
        <f t="shared" si="7"/>
        <v>1</v>
      </c>
      <c r="K71" s="23" t="str">
        <f t="shared" si="8"/>
        <v>01</v>
      </c>
      <c r="L71" s="23">
        <f t="shared" si="9"/>
        <v>1900</v>
      </c>
      <c r="M71" s="23" t="str">
        <f t="shared" si="10"/>
        <v>1900</v>
      </c>
      <c r="N71" s="23" t="str">
        <f t="shared" si="11"/>
        <v>00/01/1900</v>
      </c>
      <c r="O71" s="27" t="str">
        <f t="shared" si="12"/>
        <v>00000000000000000000</v>
      </c>
      <c r="P71" s="24" t="str">
        <f t="shared" si="13"/>
        <v>00000000,00</v>
      </c>
      <c r="Q71" s="36" t="str">
        <f t="shared" ref="Q71:Q110" si="14">IF(A71="","",CONCATENATE(G71,F71,N71,O71,P71))</f>
        <v/>
      </c>
      <c r="R71" t="str">
        <f t="shared" ref="R71:R110" si="15">IF(A71="","",LEN(Q71))</f>
        <v/>
      </c>
      <c r="S71" t="str">
        <f t="shared" ref="S71:S110" si="16">IF(A71="","",IF(R71=57,"OK","ERROR DE LONGITUD DEL TEXTO"))</f>
        <v/>
      </c>
    </row>
    <row r="72" spans="1:19" x14ac:dyDescent="0.2">
      <c r="A72" s="28"/>
      <c r="B72" s="24"/>
      <c r="C72" s="21"/>
      <c r="D72" s="28"/>
      <c r="E72" s="23"/>
      <c r="F72" s="23" t="str">
        <f t="shared" si="3"/>
        <v>0000000000000</v>
      </c>
      <c r="G72" s="23" t="str">
        <f t="shared" si="4"/>
        <v>000</v>
      </c>
      <c r="H72" s="23">
        <f t="shared" si="5"/>
        <v>0</v>
      </c>
      <c r="I72" s="23" t="str">
        <f t="shared" si="6"/>
        <v>00</v>
      </c>
      <c r="J72" s="23">
        <f t="shared" si="7"/>
        <v>1</v>
      </c>
      <c r="K72" s="23" t="str">
        <f t="shared" si="8"/>
        <v>01</v>
      </c>
      <c r="L72" s="23">
        <f t="shared" si="9"/>
        <v>1900</v>
      </c>
      <c r="M72" s="23" t="str">
        <f t="shared" si="10"/>
        <v>1900</v>
      </c>
      <c r="N72" s="23" t="str">
        <f t="shared" si="11"/>
        <v>00/01/1900</v>
      </c>
      <c r="O72" s="27" t="str">
        <f t="shared" si="12"/>
        <v>00000000000000000000</v>
      </c>
      <c r="P72" s="24" t="str">
        <f t="shared" si="13"/>
        <v>00000000,00</v>
      </c>
      <c r="Q72" s="36" t="str">
        <f t="shared" si="14"/>
        <v/>
      </c>
      <c r="R72" t="str">
        <f t="shared" si="15"/>
        <v/>
      </c>
      <c r="S72" t="str">
        <f t="shared" si="16"/>
        <v/>
      </c>
    </row>
    <row r="73" spans="1:19" x14ac:dyDescent="0.2">
      <c r="A73" s="28"/>
      <c r="B73" s="24"/>
      <c r="C73" s="21"/>
      <c r="D73" s="28"/>
      <c r="E73" s="23"/>
      <c r="F73" s="23" t="str">
        <f t="shared" ref="F73:F110" si="17">TEXT(B73,"0000000000000")</f>
        <v>0000000000000</v>
      </c>
      <c r="G73" s="23" t="str">
        <f t="shared" ref="G73:G110" si="18">TEXT(A73,"000")</f>
        <v>000</v>
      </c>
      <c r="H73" s="23">
        <f t="shared" ref="H73:H110" si="19">DAY(C73)</f>
        <v>0</v>
      </c>
      <c r="I73" s="23" t="str">
        <f t="shared" ref="I73:I110" si="20">TEXT(H73,"00")</f>
        <v>00</v>
      </c>
      <c r="J73" s="23">
        <f t="shared" ref="J73:J110" si="21">MONTH(C73)</f>
        <v>1</v>
      </c>
      <c r="K73" s="23" t="str">
        <f t="shared" ref="K73:K110" si="22">TEXT(J73,"00")</f>
        <v>01</v>
      </c>
      <c r="L73" s="23">
        <f t="shared" ref="L73:L110" si="23">YEAR(C73)</f>
        <v>1900</v>
      </c>
      <c r="M73" s="23" t="str">
        <f t="shared" ref="M73:M110" si="24">TEXT(L73,"0000")</f>
        <v>1900</v>
      </c>
      <c r="N73" s="23" t="str">
        <f t="shared" ref="N73:N110" si="25">CONCATENATE(I73,"/",K73,"/",M73)</f>
        <v>00/01/1900</v>
      </c>
      <c r="O73" s="27" t="str">
        <f t="shared" ref="O73:O110" si="26">TEXT(D73,"00000000000000000000")</f>
        <v>00000000000000000000</v>
      </c>
      <c r="P73" s="24" t="str">
        <f t="shared" ref="P73:P110" si="27">TEXT(E73,"00000000,00")</f>
        <v>00000000,00</v>
      </c>
      <c r="Q73" s="36" t="str">
        <f t="shared" si="14"/>
        <v/>
      </c>
      <c r="R73" t="str">
        <f t="shared" si="15"/>
        <v/>
      </c>
      <c r="S73" t="str">
        <f t="shared" si="16"/>
        <v/>
      </c>
    </row>
    <row r="74" spans="1:19" x14ac:dyDescent="0.2">
      <c r="A74" s="28"/>
      <c r="B74" s="24"/>
      <c r="C74" s="21"/>
      <c r="D74" s="28"/>
      <c r="E74" s="23"/>
      <c r="F74" s="23" t="str">
        <f t="shared" si="17"/>
        <v>0000000000000</v>
      </c>
      <c r="G74" s="23" t="str">
        <f t="shared" si="18"/>
        <v>000</v>
      </c>
      <c r="H74" s="23">
        <f t="shared" si="19"/>
        <v>0</v>
      </c>
      <c r="I74" s="23" t="str">
        <f t="shared" si="20"/>
        <v>00</v>
      </c>
      <c r="J74" s="23">
        <f t="shared" si="21"/>
        <v>1</v>
      </c>
      <c r="K74" s="23" t="str">
        <f t="shared" si="22"/>
        <v>01</v>
      </c>
      <c r="L74" s="23">
        <f t="shared" si="23"/>
        <v>1900</v>
      </c>
      <c r="M74" s="23" t="str">
        <f t="shared" si="24"/>
        <v>1900</v>
      </c>
      <c r="N74" s="23" t="str">
        <f t="shared" si="25"/>
        <v>00/01/1900</v>
      </c>
      <c r="O74" s="27" t="str">
        <f t="shared" si="26"/>
        <v>00000000000000000000</v>
      </c>
      <c r="P74" s="24" t="str">
        <f t="shared" si="27"/>
        <v>00000000,00</v>
      </c>
      <c r="Q74" s="36" t="str">
        <f t="shared" si="14"/>
        <v/>
      </c>
      <c r="R74" t="str">
        <f t="shared" si="15"/>
        <v/>
      </c>
      <c r="S74" t="str">
        <f t="shared" si="16"/>
        <v/>
      </c>
    </row>
    <row r="75" spans="1:19" x14ac:dyDescent="0.2">
      <c r="A75" s="28"/>
      <c r="B75" s="24"/>
      <c r="C75" s="21"/>
      <c r="D75" s="28"/>
      <c r="E75" s="23"/>
      <c r="F75" s="23" t="str">
        <f t="shared" si="17"/>
        <v>0000000000000</v>
      </c>
      <c r="G75" s="23" t="str">
        <f t="shared" si="18"/>
        <v>000</v>
      </c>
      <c r="H75" s="23">
        <f t="shared" si="19"/>
        <v>0</v>
      </c>
      <c r="I75" s="23" t="str">
        <f t="shared" si="20"/>
        <v>00</v>
      </c>
      <c r="J75" s="23">
        <f t="shared" si="21"/>
        <v>1</v>
      </c>
      <c r="K75" s="23" t="str">
        <f t="shared" si="22"/>
        <v>01</v>
      </c>
      <c r="L75" s="23">
        <f t="shared" si="23"/>
        <v>1900</v>
      </c>
      <c r="M75" s="23" t="str">
        <f t="shared" si="24"/>
        <v>1900</v>
      </c>
      <c r="N75" s="23" t="str">
        <f t="shared" si="25"/>
        <v>00/01/1900</v>
      </c>
      <c r="O75" s="27" t="str">
        <f t="shared" si="26"/>
        <v>00000000000000000000</v>
      </c>
      <c r="P75" s="24" t="str">
        <f t="shared" si="27"/>
        <v>00000000,00</v>
      </c>
      <c r="Q75" s="36" t="str">
        <f t="shared" si="14"/>
        <v/>
      </c>
      <c r="R75" t="str">
        <f t="shared" si="15"/>
        <v/>
      </c>
      <c r="S75" t="str">
        <f t="shared" si="16"/>
        <v/>
      </c>
    </row>
    <row r="76" spans="1:19" x14ac:dyDescent="0.2">
      <c r="A76" s="28"/>
      <c r="B76" s="24"/>
      <c r="C76" s="21"/>
      <c r="D76" s="28"/>
      <c r="E76" s="23"/>
      <c r="F76" s="23" t="str">
        <f t="shared" si="17"/>
        <v>0000000000000</v>
      </c>
      <c r="G76" s="23" t="str">
        <f t="shared" si="18"/>
        <v>000</v>
      </c>
      <c r="H76" s="23">
        <f t="shared" si="19"/>
        <v>0</v>
      </c>
      <c r="I76" s="23" t="str">
        <f t="shared" si="20"/>
        <v>00</v>
      </c>
      <c r="J76" s="23">
        <f t="shared" si="21"/>
        <v>1</v>
      </c>
      <c r="K76" s="23" t="str">
        <f t="shared" si="22"/>
        <v>01</v>
      </c>
      <c r="L76" s="23">
        <f t="shared" si="23"/>
        <v>1900</v>
      </c>
      <c r="M76" s="23" t="str">
        <f t="shared" si="24"/>
        <v>1900</v>
      </c>
      <c r="N76" s="23" t="str">
        <f t="shared" si="25"/>
        <v>00/01/1900</v>
      </c>
      <c r="O76" s="27" t="str">
        <f t="shared" si="26"/>
        <v>00000000000000000000</v>
      </c>
      <c r="P76" s="24" t="str">
        <f t="shared" si="27"/>
        <v>00000000,00</v>
      </c>
      <c r="Q76" s="36" t="str">
        <f t="shared" si="14"/>
        <v/>
      </c>
      <c r="R76" t="str">
        <f t="shared" si="15"/>
        <v/>
      </c>
      <c r="S76" t="str">
        <f t="shared" si="16"/>
        <v/>
      </c>
    </row>
    <row r="77" spans="1:19" x14ac:dyDescent="0.2">
      <c r="A77" s="28"/>
      <c r="B77" s="24"/>
      <c r="C77" s="21"/>
      <c r="D77" s="28"/>
      <c r="E77" s="23"/>
      <c r="F77" s="23" t="str">
        <f t="shared" si="17"/>
        <v>0000000000000</v>
      </c>
      <c r="G77" s="23" t="str">
        <f t="shared" si="18"/>
        <v>000</v>
      </c>
      <c r="H77" s="23">
        <f t="shared" si="19"/>
        <v>0</v>
      </c>
      <c r="I77" s="23" t="str">
        <f t="shared" si="20"/>
        <v>00</v>
      </c>
      <c r="J77" s="23">
        <f t="shared" si="21"/>
        <v>1</v>
      </c>
      <c r="K77" s="23" t="str">
        <f t="shared" si="22"/>
        <v>01</v>
      </c>
      <c r="L77" s="23">
        <f t="shared" si="23"/>
        <v>1900</v>
      </c>
      <c r="M77" s="23" t="str">
        <f t="shared" si="24"/>
        <v>1900</v>
      </c>
      <c r="N77" s="23" t="str">
        <f t="shared" si="25"/>
        <v>00/01/1900</v>
      </c>
      <c r="O77" s="27" t="str">
        <f t="shared" si="26"/>
        <v>00000000000000000000</v>
      </c>
      <c r="P77" s="24" t="str">
        <f t="shared" si="27"/>
        <v>00000000,00</v>
      </c>
      <c r="Q77" s="36" t="str">
        <f t="shared" si="14"/>
        <v/>
      </c>
      <c r="R77" t="str">
        <f t="shared" si="15"/>
        <v/>
      </c>
      <c r="S77" t="str">
        <f t="shared" si="16"/>
        <v/>
      </c>
    </row>
    <row r="78" spans="1:19" x14ac:dyDescent="0.2">
      <c r="A78" s="28"/>
      <c r="B78" s="24"/>
      <c r="C78" s="21"/>
      <c r="D78" s="28"/>
      <c r="E78" s="23"/>
      <c r="F78" s="23" t="str">
        <f t="shared" si="17"/>
        <v>0000000000000</v>
      </c>
      <c r="G78" s="23" t="str">
        <f t="shared" si="18"/>
        <v>000</v>
      </c>
      <c r="H78" s="23">
        <f t="shared" si="19"/>
        <v>0</v>
      </c>
      <c r="I78" s="23" t="str">
        <f t="shared" si="20"/>
        <v>00</v>
      </c>
      <c r="J78" s="23">
        <f t="shared" si="21"/>
        <v>1</v>
      </c>
      <c r="K78" s="23" t="str">
        <f t="shared" si="22"/>
        <v>01</v>
      </c>
      <c r="L78" s="23">
        <f t="shared" si="23"/>
        <v>1900</v>
      </c>
      <c r="M78" s="23" t="str">
        <f t="shared" si="24"/>
        <v>1900</v>
      </c>
      <c r="N78" s="23" t="str">
        <f t="shared" si="25"/>
        <v>00/01/1900</v>
      </c>
      <c r="O78" s="27" t="str">
        <f t="shared" si="26"/>
        <v>00000000000000000000</v>
      </c>
      <c r="P78" s="24" t="str">
        <f t="shared" si="27"/>
        <v>00000000,00</v>
      </c>
      <c r="Q78" s="36" t="str">
        <f t="shared" si="14"/>
        <v/>
      </c>
      <c r="R78" t="str">
        <f t="shared" si="15"/>
        <v/>
      </c>
      <c r="S78" t="str">
        <f t="shared" si="16"/>
        <v/>
      </c>
    </row>
    <row r="79" spans="1:19" x14ac:dyDescent="0.2">
      <c r="A79" s="28"/>
      <c r="B79" s="24"/>
      <c r="C79" s="21"/>
      <c r="D79" s="28"/>
      <c r="E79" s="23"/>
      <c r="F79" s="23" t="str">
        <f t="shared" si="17"/>
        <v>0000000000000</v>
      </c>
      <c r="G79" s="23" t="str">
        <f t="shared" si="18"/>
        <v>000</v>
      </c>
      <c r="H79" s="23">
        <f t="shared" si="19"/>
        <v>0</v>
      </c>
      <c r="I79" s="23" t="str">
        <f t="shared" si="20"/>
        <v>00</v>
      </c>
      <c r="J79" s="23">
        <f t="shared" si="21"/>
        <v>1</v>
      </c>
      <c r="K79" s="23" t="str">
        <f t="shared" si="22"/>
        <v>01</v>
      </c>
      <c r="L79" s="23">
        <f t="shared" si="23"/>
        <v>1900</v>
      </c>
      <c r="M79" s="23" t="str">
        <f t="shared" si="24"/>
        <v>1900</v>
      </c>
      <c r="N79" s="23" t="str">
        <f t="shared" si="25"/>
        <v>00/01/1900</v>
      </c>
      <c r="O79" s="27" t="str">
        <f t="shared" si="26"/>
        <v>00000000000000000000</v>
      </c>
      <c r="P79" s="24" t="str">
        <f t="shared" si="27"/>
        <v>00000000,00</v>
      </c>
      <c r="Q79" s="36" t="str">
        <f t="shared" si="14"/>
        <v/>
      </c>
      <c r="R79" t="str">
        <f t="shared" si="15"/>
        <v/>
      </c>
      <c r="S79" t="str">
        <f t="shared" si="16"/>
        <v/>
      </c>
    </row>
    <row r="80" spans="1:19" x14ac:dyDescent="0.2">
      <c r="A80" s="28"/>
      <c r="B80" s="24"/>
      <c r="C80" s="21"/>
      <c r="D80" s="28"/>
      <c r="E80" s="23"/>
      <c r="F80" s="23" t="str">
        <f t="shared" si="17"/>
        <v>0000000000000</v>
      </c>
      <c r="G80" s="23" t="str">
        <f t="shared" si="18"/>
        <v>000</v>
      </c>
      <c r="H80" s="23">
        <f t="shared" si="19"/>
        <v>0</v>
      </c>
      <c r="I80" s="23" t="str">
        <f t="shared" si="20"/>
        <v>00</v>
      </c>
      <c r="J80" s="23">
        <f t="shared" si="21"/>
        <v>1</v>
      </c>
      <c r="K80" s="23" t="str">
        <f t="shared" si="22"/>
        <v>01</v>
      </c>
      <c r="L80" s="23">
        <f t="shared" si="23"/>
        <v>1900</v>
      </c>
      <c r="M80" s="23" t="str">
        <f t="shared" si="24"/>
        <v>1900</v>
      </c>
      <c r="N80" s="23" t="str">
        <f t="shared" si="25"/>
        <v>00/01/1900</v>
      </c>
      <c r="O80" s="27" t="str">
        <f t="shared" si="26"/>
        <v>00000000000000000000</v>
      </c>
      <c r="P80" s="24" t="str">
        <f t="shared" si="27"/>
        <v>00000000,00</v>
      </c>
      <c r="Q80" s="36" t="str">
        <f t="shared" si="14"/>
        <v/>
      </c>
      <c r="R80" t="str">
        <f t="shared" si="15"/>
        <v/>
      </c>
      <c r="S80" t="str">
        <f t="shared" si="16"/>
        <v/>
      </c>
    </row>
    <row r="81" spans="1:19" x14ac:dyDescent="0.2">
      <c r="A81" s="28"/>
      <c r="B81" s="24"/>
      <c r="C81" s="21"/>
      <c r="D81" s="28"/>
      <c r="E81" s="23"/>
      <c r="F81" s="23" t="str">
        <f t="shared" si="17"/>
        <v>0000000000000</v>
      </c>
      <c r="G81" s="23" t="str">
        <f t="shared" si="18"/>
        <v>000</v>
      </c>
      <c r="H81" s="23">
        <f t="shared" si="19"/>
        <v>0</v>
      </c>
      <c r="I81" s="23" t="str">
        <f t="shared" si="20"/>
        <v>00</v>
      </c>
      <c r="J81" s="23">
        <f t="shared" si="21"/>
        <v>1</v>
      </c>
      <c r="K81" s="23" t="str">
        <f t="shared" si="22"/>
        <v>01</v>
      </c>
      <c r="L81" s="23">
        <f t="shared" si="23"/>
        <v>1900</v>
      </c>
      <c r="M81" s="23" t="str">
        <f t="shared" si="24"/>
        <v>1900</v>
      </c>
      <c r="N81" s="23" t="str">
        <f t="shared" si="25"/>
        <v>00/01/1900</v>
      </c>
      <c r="O81" s="27" t="str">
        <f t="shared" si="26"/>
        <v>00000000000000000000</v>
      </c>
      <c r="P81" s="24" t="str">
        <f t="shared" si="27"/>
        <v>00000000,00</v>
      </c>
      <c r="Q81" s="36" t="str">
        <f t="shared" si="14"/>
        <v/>
      </c>
      <c r="R81" t="str">
        <f t="shared" si="15"/>
        <v/>
      </c>
      <c r="S81" t="str">
        <f t="shared" si="16"/>
        <v/>
      </c>
    </row>
    <row r="82" spans="1:19" x14ac:dyDescent="0.2">
      <c r="A82" s="28"/>
      <c r="B82" s="24"/>
      <c r="C82" s="21"/>
      <c r="D82" s="28"/>
      <c r="E82" s="23"/>
      <c r="F82" s="23" t="str">
        <f t="shared" si="17"/>
        <v>0000000000000</v>
      </c>
      <c r="G82" s="23" t="str">
        <f t="shared" si="18"/>
        <v>000</v>
      </c>
      <c r="H82" s="23">
        <f t="shared" si="19"/>
        <v>0</v>
      </c>
      <c r="I82" s="23" t="str">
        <f t="shared" si="20"/>
        <v>00</v>
      </c>
      <c r="J82" s="23">
        <f t="shared" si="21"/>
        <v>1</v>
      </c>
      <c r="K82" s="23" t="str">
        <f t="shared" si="22"/>
        <v>01</v>
      </c>
      <c r="L82" s="23">
        <f t="shared" si="23"/>
        <v>1900</v>
      </c>
      <c r="M82" s="23" t="str">
        <f t="shared" si="24"/>
        <v>1900</v>
      </c>
      <c r="N82" s="23" t="str">
        <f t="shared" si="25"/>
        <v>00/01/1900</v>
      </c>
      <c r="O82" s="27" t="str">
        <f t="shared" si="26"/>
        <v>00000000000000000000</v>
      </c>
      <c r="P82" s="24" t="str">
        <f t="shared" si="27"/>
        <v>00000000,00</v>
      </c>
      <c r="Q82" s="36" t="str">
        <f t="shared" si="14"/>
        <v/>
      </c>
      <c r="R82" t="str">
        <f t="shared" si="15"/>
        <v/>
      </c>
      <c r="S82" t="str">
        <f t="shared" si="16"/>
        <v/>
      </c>
    </row>
    <row r="83" spans="1:19" x14ac:dyDescent="0.2">
      <c r="A83" s="28"/>
      <c r="B83" s="24"/>
      <c r="C83" s="21"/>
      <c r="D83" s="28"/>
      <c r="E83" s="23"/>
      <c r="F83" s="23" t="str">
        <f t="shared" si="17"/>
        <v>0000000000000</v>
      </c>
      <c r="G83" s="23" t="str">
        <f t="shared" si="18"/>
        <v>000</v>
      </c>
      <c r="H83" s="23">
        <f t="shared" si="19"/>
        <v>0</v>
      </c>
      <c r="I83" s="23" t="str">
        <f t="shared" si="20"/>
        <v>00</v>
      </c>
      <c r="J83" s="23">
        <f t="shared" si="21"/>
        <v>1</v>
      </c>
      <c r="K83" s="23" t="str">
        <f t="shared" si="22"/>
        <v>01</v>
      </c>
      <c r="L83" s="23">
        <f t="shared" si="23"/>
        <v>1900</v>
      </c>
      <c r="M83" s="23" t="str">
        <f t="shared" si="24"/>
        <v>1900</v>
      </c>
      <c r="N83" s="23" t="str">
        <f t="shared" si="25"/>
        <v>00/01/1900</v>
      </c>
      <c r="O83" s="27" t="str">
        <f t="shared" si="26"/>
        <v>00000000000000000000</v>
      </c>
      <c r="P83" s="24" t="str">
        <f t="shared" si="27"/>
        <v>00000000,00</v>
      </c>
      <c r="Q83" s="36" t="str">
        <f t="shared" si="14"/>
        <v/>
      </c>
      <c r="R83" t="str">
        <f t="shared" si="15"/>
        <v/>
      </c>
      <c r="S83" t="str">
        <f t="shared" si="16"/>
        <v/>
      </c>
    </row>
    <row r="84" spans="1:19" x14ac:dyDescent="0.2">
      <c r="A84" s="28"/>
      <c r="B84" s="24"/>
      <c r="C84" s="21"/>
      <c r="D84" s="28"/>
      <c r="E84" s="23"/>
      <c r="F84" s="23" t="str">
        <f t="shared" si="17"/>
        <v>0000000000000</v>
      </c>
      <c r="G84" s="23" t="str">
        <f t="shared" si="18"/>
        <v>000</v>
      </c>
      <c r="H84" s="23">
        <f t="shared" si="19"/>
        <v>0</v>
      </c>
      <c r="I84" s="23" t="str">
        <f t="shared" si="20"/>
        <v>00</v>
      </c>
      <c r="J84" s="23">
        <f t="shared" si="21"/>
        <v>1</v>
      </c>
      <c r="K84" s="23" t="str">
        <f t="shared" si="22"/>
        <v>01</v>
      </c>
      <c r="L84" s="23">
        <f t="shared" si="23"/>
        <v>1900</v>
      </c>
      <c r="M84" s="23" t="str">
        <f t="shared" si="24"/>
        <v>1900</v>
      </c>
      <c r="N84" s="23" t="str">
        <f t="shared" si="25"/>
        <v>00/01/1900</v>
      </c>
      <c r="O84" s="27" t="str">
        <f t="shared" si="26"/>
        <v>00000000000000000000</v>
      </c>
      <c r="P84" s="24" t="str">
        <f t="shared" si="27"/>
        <v>00000000,00</v>
      </c>
      <c r="Q84" s="36" t="str">
        <f t="shared" si="14"/>
        <v/>
      </c>
      <c r="R84" t="str">
        <f t="shared" si="15"/>
        <v/>
      </c>
      <c r="S84" t="str">
        <f t="shared" si="16"/>
        <v/>
      </c>
    </row>
    <row r="85" spans="1:19" x14ac:dyDescent="0.2">
      <c r="A85" s="28"/>
      <c r="B85" s="24"/>
      <c r="C85" s="21"/>
      <c r="D85" s="28"/>
      <c r="E85" s="23"/>
      <c r="F85" s="23" t="str">
        <f t="shared" si="17"/>
        <v>0000000000000</v>
      </c>
      <c r="G85" s="23" t="str">
        <f t="shared" si="18"/>
        <v>000</v>
      </c>
      <c r="H85" s="23">
        <f t="shared" si="19"/>
        <v>0</v>
      </c>
      <c r="I85" s="23" t="str">
        <f t="shared" si="20"/>
        <v>00</v>
      </c>
      <c r="J85" s="23">
        <f t="shared" si="21"/>
        <v>1</v>
      </c>
      <c r="K85" s="23" t="str">
        <f t="shared" si="22"/>
        <v>01</v>
      </c>
      <c r="L85" s="23">
        <f t="shared" si="23"/>
        <v>1900</v>
      </c>
      <c r="M85" s="23" t="str">
        <f t="shared" si="24"/>
        <v>1900</v>
      </c>
      <c r="N85" s="23" t="str">
        <f t="shared" si="25"/>
        <v>00/01/1900</v>
      </c>
      <c r="O85" s="27" t="str">
        <f t="shared" si="26"/>
        <v>00000000000000000000</v>
      </c>
      <c r="P85" s="24" t="str">
        <f t="shared" si="27"/>
        <v>00000000,00</v>
      </c>
      <c r="Q85" s="36" t="str">
        <f t="shared" si="14"/>
        <v/>
      </c>
      <c r="R85" t="str">
        <f t="shared" si="15"/>
        <v/>
      </c>
      <c r="S85" t="str">
        <f t="shared" si="16"/>
        <v/>
      </c>
    </row>
    <row r="86" spans="1:19" x14ac:dyDescent="0.2">
      <c r="A86" s="28"/>
      <c r="B86" s="24"/>
      <c r="C86" s="21"/>
      <c r="D86" s="28"/>
      <c r="E86" s="23"/>
      <c r="F86" s="23" t="str">
        <f t="shared" si="17"/>
        <v>0000000000000</v>
      </c>
      <c r="G86" s="23" t="str">
        <f t="shared" si="18"/>
        <v>000</v>
      </c>
      <c r="H86" s="23">
        <f t="shared" si="19"/>
        <v>0</v>
      </c>
      <c r="I86" s="23" t="str">
        <f t="shared" si="20"/>
        <v>00</v>
      </c>
      <c r="J86" s="23">
        <f t="shared" si="21"/>
        <v>1</v>
      </c>
      <c r="K86" s="23" t="str">
        <f t="shared" si="22"/>
        <v>01</v>
      </c>
      <c r="L86" s="23">
        <f t="shared" si="23"/>
        <v>1900</v>
      </c>
      <c r="M86" s="23" t="str">
        <f t="shared" si="24"/>
        <v>1900</v>
      </c>
      <c r="N86" s="23" t="str">
        <f t="shared" si="25"/>
        <v>00/01/1900</v>
      </c>
      <c r="O86" s="27" t="str">
        <f t="shared" si="26"/>
        <v>00000000000000000000</v>
      </c>
      <c r="P86" s="24" t="str">
        <f t="shared" si="27"/>
        <v>00000000,00</v>
      </c>
      <c r="Q86" s="36" t="str">
        <f t="shared" si="14"/>
        <v/>
      </c>
      <c r="R86" t="str">
        <f t="shared" si="15"/>
        <v/>
      </c>
      <c r="S86" t="str">
        <f t="shared" si="16"/>
        <v/>
      </c>
    </row>
    <row r="87" spans="1:19" x14ac:dyDescent="0.2">
      <c r="A87" s="28"/>
      <c r="B87" s="24"/>
      <c r="C87" s="21"/>
      <c r="D87" s="28"/>
      <c r="E87" s="23"/>
      <c r="F87" s="23" t="str">
        <f t="shared" si="17"/>
        <v>0000000000000</v>
      </c>
      <c r="G87" s="23" t="str">
        <f t="shared" si="18"/>
        <v>000</v>
      </c>
      <c r="H87" s="23">
        <f t="shared" si="19"/>
        <v>0</v>
      </c>
      <c r="I87" s="23" t="str">
        <f t="shared" si="20"/>
        <v>00</v>
      </c>
      <c r="J87" s="23">
        <f t="shared" si="21"/>
        <v>1</v>
      </c>
      <c r="K87" s="23" t="str">
        <f t="shared" si="22"/>
        <v>01</v>
      </c>
      <c r="L87" s="23">
        <f t="shared" si="23"/>
        <v>1900</v>
      </c>
      <c r="M87" s="23" t="str">
        <f t="shared" si="24"/>
        <v>1900</v>
      </c>
      <c r="N87" s="23" t="str">
        <f t="shared" si="25"/>
        <v>00/01/1900</v>
      </c>
      <c r="O87" s="27" t="str">
        <f t="shared" si="26"/>
        <v>00000000000000000000</v>
      </c>
      <c r="P87" s="24" t="str">
        <f t="shared" si="27"/>
        <v>00000000,00</v>
      </c>
      <c r="Q87" s="36" t="str">
        <f t="shared" si="14"/>
        <v/>
      </c>
      <c r="R87" t="str">
        <f t="shared" si="15"/>
        <v/>
      </c>
      <c r="S87" t="str">
        <f t="shared" si="16"/>
        <v/>
      </c>
    </row>
    <row r="88" spans="1:19" x14ac:dyDescent="0.2">
      <c r="A88" s="28"/>
      <c r="B88" s="24"/>
      <c r="C88" s="21"/>
      <c r="D88" s="28"/>
      <c r="E88" s="23"/>
      <c r="F88" s="23" t="str">
        <f t="shared" si="17"/>
        <v>0000000000000</v>
      </c>
      <c r="G88" s="23" t="str">
        <f t="shared" si="18"/>
        <v>000</v>
      </c>
      <c r="H88" s="23">
        <f t="shared" si="19"/>
        <v>0</v>
      </c>
      <c r="I88" s="23" t="str">
        <f t="shared" si="20"/>
        <v>00</v>
      </c>
      <c r="J88" s="23">
        <f t="shared" si="21"/>
        <v>1</v>
      </c>
      <c r="K88" s="23" t="str">
        <f t="shared" si="22"/>
        <v>01</v>
      </c>
      <c r="L88" s="23">
        <f t="shared" si="23"/>
        <v>1900</v>
      </c>
      <c r="M88" s="23" t="str">
        <f t="shared" si="24"/>
        <v>1900</v>
      </c>
      <c r="N88" s="23" t="str">
        <f t="shared" si="25"/>
        <v>00/01/1900</v>
      </c>
      <c r="O88" s="27" t="str">
        <f t="shared" si="26"/>
        <v>00000000000000000000</v>
      </c>
      <c r="P88" s="24" t="str">
        <f t="shared" si="27"/>
        <v>00000000,00</v>
      </c>
      <c r="Q88" s="36" t="str">
        <f t="shared" si="14"/>
        <v/>
      </c>
      <c r="R88" t="str">
        <f t="shared" si="15"/>
        <v/>
      </c>
      <c r="S88" t="str">
        <f t="shared" si="16"/>
        <v/>
      </c>
    </row>
    <row r="89" spans="1:19" x14ac:dyDescent="0.2">
      <c r="A89" s="28"/>
      <c r="B89" s="24"/>
      <c r="C89" s="21"/>
      <c r="D89" s="28"/>
      <c r="E89" s="23"/>
      <c r="F89" s="23" t="str">
        <f t="shared" si="17"/>
        <v>0000000000000</v>
      </c>
      <c r="G89" s="23" t="str">
        <f t="shared" si="18"/>
        <v>000</v>
      </c>
      <c r="H89" s="23">
        <f t="shared" si="19"/>
        <v>0</v>
      </c>
      <c r="I89" s="23" t="str">
        <f t="shared" si="20"/>
        <v>00</v>
      </c>
      <c r="J89" s="23">
        <f t="shared" si="21"/>
        <v>1</v>
      </c>
      <c r="K89" s="23" t="str">
        <f t="shared" si="22"/>
        <v>01</v>
      </c>
      <c r="L89" s="23">
        <f t="shared" si="23"/>
        <v>1900</v>
      </c>
      <c r="M89" s="23" t="str">
        <f t="shared" si="24"/>
        <v>1900</v>
      </c>
      <c r="N89" s="23" t="str">
        <f t="shared" si="25"/>
        <v>00/01/1900</v>
      </c>
      <c r="O89" s="27" t="str">
        <f t="shared" si="26"/>
        <v>00000000000000000000</v>
      </c>
      <c r="P89" s="24" t="str">
        <f t="shared" si="27"/>
        <v>00000000,00</v>
      </c>
      <c r="Q89" s="36" t="str">
        <f t="shared" si="14"/>
        <v/>
      </c>
      <c r="R89" t="str">
        <f t="shared" si="15"/>
        <v/>
      </c>
      <c r="S89" t="str">
        <f t="shared" si="16"/>
        <v/>
      </c>
    </row>
    <row r="90" spans="1:19" x14ac:dyDescent="0.2">
      <c r="A90" s="28"/>
      <c r="B90" s="24"/>
      <c r="C90" s="21"/>
      <c r="D90" s="28"/>
      <c r="E90" s="23"/>
      <c r="F90" s="23" t="str">
        <f t="shared" si="17"/>
        <v>0000000000000</v>
      </c>
      <c r="G90" s="23" t="str">
        <f t="shared" si="18"/>
        <v>000</v>
      </c>
      <c r="H90" s="23">
        <f t="shared" si="19"/>
        <v>0</v>
      </c>
      <c r="I90" s="23" t="str">
        <f t="shared" si="20"/>
        <v>00</v>
      </c>
      <c r="J90" s="23">
        <f t="shared" si="21"/>
        <v>1</v>
      </c>
      <c r="K90" s="23" t="str">
        <f t="shared" si="22"/>
        <v>01</v>
      </c>
      <c r="L90" s="23">
        <f t="shared" si="23"/>
        <v>1900</v>
      </c>
      <c r="M90" s="23" t="str">
        <f t="shared" si="24"/>
        <v>1900</v>
      </c>
      <c r="N90" s="23" t="str">
        <f t="shared" si="25"/>
        <v>00/01/1900</v>
      </c>
      <c r="O90" s="27" t="str">
        <f t="shared" si="26"/>
        <v>00000000000000000000</v>
      </c>
      <c r="P90" s="24" t="str">
        <f t="shared" si="27"/>
        <v>00000000,00</v>
      </c>
      <c r="Q90" s="36" t="str">
        <f t="shared" si="14"/>
        <v/>
      </c>
      <c r="R90" t="str">
        <f t="shared" si="15"/>
        <v/>
      </c>
      <c r="S90" t="str">
        <f t="shared" si="16"/>
        <v/>
      </c>
    </row>
    <row r="91" spans="1:19" x14ac:dyDescent="0.2">
      <c r="A91" s="28"/>
      <c r="B91" s="24"/>
      <c r="C91" s="21"/>
      <c r="D91" s="28"/>
      <c r="E91" s="23"/>
      <c r="F91" s="23" t="str">
        <f t="shared" si="17"/>
        <v>0000000000000</v>
      </c>
      <c r="G91" s="23" t="str">
        <f t="shared" si="18"/>
        <v>000</v>
      </c>
      <c r="H91" s="23">
        <f t="shared" si="19"/>
        <v>0</v>
      </c>
      <c r="I91" s="23" t="str">
        <f t="shared" si="20"/>
        <v>00</v>
      </c>
      <c r="J91" s="23">
        <f t="shared" si="21"/>
        <v>1</v>
      </c>
      <c r="K91" s="23" t="str">
        <f t="shared" si="22"/>
        <v>01</v>
      </c>
      <c r="L91" s="23">
        <f t="shared" si="23"/>
        <v>1900</v>
      </c>
      <c r="M91" s="23" t="str">
        <f t="shared" si="24"/>
        <v>1900</v>
      </c>
      <c r="N91" s="23" t="str">
        <f t="shared" si="25"/>
        <v>00/01/1900</v>
      </c>
      <c r="O91" s="27" t="str">
        <f t="shared" si="26"/>
        <v>00000000000000000000</v>
      </c>
      <c r="P91" s="24" t="str">
        <f t="shared" si="27"/>
        <v>00000000,00</v>
      </c>
      <c r="Q91" s="36" t="str">
        <f t="shared" si="14"/>
        <v/>
      </c>
      <c r="R91" t="str">
        <f t="shared" si="15"/>
        <v/>
      </c>
      <c r="S91" t="str">
        <f t="shared" si="16"/>
        <v/>
      </c>
    </row>
    <row r="92" spans="1:19" x14ac:dyDescent="0.2">
      <c r="A92" s="28"/>
      <c r="B92" s="24"/>
      <c r="C92" s="21"/>
      <c r="D92" s="28"/>
      <c r="E92" s="23"/>
      <c r="F92" s="23" t="str">
        <f t="shared" si="17"/>
        <v>0000000000000</v>
      </c>
      <c r="G92" s="23" t="str">
        <f t="shared" si="18"/>
        <v>000</v>
      </c>
      <c r="H92" s="23">
        <f t="shared" si="19"/>
        <v>0</v>
      </c>
      <c r="I92" s="23" t="str">
        <f t="shared" si="20"/>
        <v>00</v>
      </c>
      <c r="J92" s="23">
        <f t="shared" si="21"/>
        <v>1</v>
      </c>
      <c r="K92" s="23" t="str">
        <f t="shared" si="22"/>
        <v>01</v>
      </c>
      <c r="L92" s="23">
        <f t="shared" si="23"/>
        <v>1900</v>
      </c>
      <c r="M92" s="23" t="str">
        <f t="shared" si="24"/>
        <v>1900</v>
      </c>
      <c r="N92" s="23" t="str">
        <f t="shared" si="25"/>
        <v>00/01/1900</v>
      </c>
      <c r="O92" s="27" t="str">
        <f t="shared" si="26"/>
        <v>00000000000000000000</v>
      </c>
      <c r="P92" s="24" t="str">
        <f t="shared" si="27"/>
        <v>00000000,00</v>
      </c>
      <c r="Q92" s="36" t="str">
        <f t="shared" si="14"/>
        <v/>
      </c>
      <c r="R92" t="str">
        <f t="shared" si="15"/>
        <v/>
      </c>
      <c r="S92" t="str">
        <f t="shared" si="16"/>
        <v/>
      </c>
    </row>
    <row r="93" spans="1:19" x14ac:dyDescent="0.2">
      <c r="A93" s="28"/>
      <c r="B93" s="24"/>
      <c r="C93" s="21"/>
      <c r="D93" s="28"/>
      <c r="E93" s="23"/>
      <c r="F93" s="23" t="str">
        <f t="shared" si="17"/>
        <v>0000000000000</v>
      </c>
      <c r="G93" s="23" t="str">
        <f t="shared" si="18"/>
        <v>000</v>
      </c>
      <c r="H93" s="23">
        <f t="shared" si="19"/>
        <v>0</v>
      </c>
      <c r="I93" s="23" t="str">
        <f t="shared" si="20"/>
        <v>00</v>
      </c>
      <c r="J93" s="23">
        <f t="shared" si="21"/>
        <v>1</v>
      </c>
      <c r="K93" s="23" t="str">
        <f t="shared" si="22"/>
        <v>01</v>
      </c>
      <c r="L93" s="23">
        <f t="shared" si="23"/>
        <v>1900</v>
      </c>
      <c r="M93" s="23" t="str">
        <f t="shared" si="24"/>
        <v>1900</v>
      </c>
      <c r="N93" s="23" t="str">
        <f t="shared" si="25"/>
        <v>00/01/1900</v>
      </c>
      <c r="O93" s="27" t="str">
        <f t="shared" si="26"/>
        <v>00000000000000000000</v>
      </c>
      <c r="P93" s="24" t="str">
        <f t="shared" si="27"/>
        <v>00000000,00</v>
      </c>
      <c r="Q93" s="36" t="str">
        <f t="shared" si="14"/>
        <v/>
      </c>
      <c r="R93" t="str">
        <f t="shared" si="15"/>
        <v/>
      </c>
      <c r="S93" t="str">
        <f t="shared" si="16"/>
        <v/>
      </c>
    </row>
    <row r="94" spans="1:19" x14ac:dyDescent="0.2">
      <c r="A94" s="28"/>
      <c r="B94" s="24"/>
      <c r="C94" s="21"/>
      <c r="D94" s="28"/>
      <c r="E94" s="23"/>
      <c r="F94" s="23" t="str">
        <f t="shared" si="17"/>
        <v>0000000000000</v>
      </c>
      <c r="G94" s="23" t="str">
        <f t="shared" si="18"/>
        <v>000</v>
      </c>
      <c r="H94" s="23">
        <f t="shared" si="19"/>
        <v>0</v>
      </c>
      <c r="I94" s="23" t="str">
        <f t="shared" si="20"/>
        <v>00</v>
      </c>
      <c r="J94" s="23">
        <f t="shared" si="21"/>
        <v>1</v>
      </c>
      <c r="K94" s="23" t="str">
        <f t="shared" si="22"/>
        <v>01</v>
      </c>
      <c r="L94" s="23">
        <f t="shared" si="23"/>
        <v>1900</v>
      </c>
      <c r="M94" s="23" t="str">
        <f t="shared" si="24"/>
        <v>1900</v>
      </c>
      <c r="N94" s="23" t="str">
        <f t="shared" si="25"/>
        <v>00/01/1900</v>
      </c>
      <c r="O94" s="27" t="str">
        <f t="shared" si="26"/>
        <v>00000000000000000000</v>
      </c>
      <c r="P94" s="24" t="str">
        <f t="shared" si="27"/>
        <v>00000000,00</v>
      </c>
      <c r="Q94" s="36" t="str">
        <f t="shared" si="14"/>
        <v/>
      </c>
      <c r="R94" t="str">
        <f t="shared" si="15"/>
        <v/>
      </c>
      <c r="S94" t="str">
        <f t="shared" si="16"/>
        <v/>
      </c>
    </row>
    <row r="95" spans="1:19" x14ac:dyDescent="0.2">
      <c r="A95" s="28"/>
      <c r="B95" s="24"/>
      <c r="C95" s="21"/>
      <c r="D95" s="28"/>
      <c r="E95" s="23"/>
      <c r="F95" s="23" t="str">
        <f t="shared" si="17"/>
        <v>0000000000000</v>
      </c>
      <c r="G95" s="23" t="str">
        <f t="shared" si="18"/>
        <v>000</v>
      </c>
      <c r="H95" s="23">
        <f t="shared" si="19"/>
        <v>0</v>
      </c>
      <c r="I95" s="23" t="str">
        <f t="shared" si="20"/>
        <v>00</v>
      </c>
      <c r="J95" s="23">
        <f t="shared" si="21"/>
        <v>1</v>
      </c>
      <c r="K95" s="23" t="str">
        <f t="shared" si="22"/>
        <v>01</v>
      </c>
      <c r="L95" s="23">
        <f t="shared" si="23"/>
        <v>1900</v>
      </c>
      <c r="M95" s="23" t="str">
        <f t="shared" si="24"/>
        <v>1900</v>
      </c>
      <c r="N95" s="23" t="str">
        <f t="shared" si="25"/>
        <v>00/01/1900</v>
      </c>
      <c r="O95" s="27" t="str">
        <f t="shared" si="26"/>
        <v>00000000000000000000</v>
      </c>
      <c r="P95" s="24" t="str">
        <f t="shared" si="27"/>
        <v>00000000,00</v>
      </c>
      <c r="Q95" s="36" t="str">
        <f t="shared" si="14"/>
        <v/>
      </c>
      <c r="R95" t="str">
        <f t="shared" si="15"/>
        <v/>
      </c>
      <c r="S95" t="str">
        <f t="shared" si="16"/>
        <v/>
      </c>
    </row>
    <row r="96" spans="1:19" x14ac:dyDescent="0.2">
      <c r="A96" s="28"/>
      <c r="B96" s="24"/>
      <c r="C96" s="21"/>
      <c r="D96" s="28"/>
      <c r="E96" s="23"/>
      <c r="F96" s="23" t="str">
        <f t="shared" si="17"/>
        <v>0000000000000</v>
      </c>
      <c r="G96" s="23" t="str">
        <f t="shared" si="18"/>
        <v>000</v>
      </c>
      <c r="H96" s="23">
        <f t="shared" si="19"/>
        <v>0</v>
      </c>
      <c r="I96" s="23" t="str">
        <f t="shared" si="20"/>
        <v>00</v>
      </c>
      <c r="J96" s="23">
        <f t="shared" si="21"/>
        <v>1</v>
      </c>
      <c r="K96" s="23" t="str">
        <f t="shared" si="22"/>
        <v>01</v>
      </c>
      <c r="L96" s="23">
        <f t="shared" si="23"/>
        <v>1900</v>
      </c>
      <c r="M96" s="23" t="str">
        <f t="shared" si="24"/>
        <v>1900</v>
      </c>
      <c r="N96" s="23" t="str">
        <f t="shared" si="25"/>
        <v>00/01/1900</v>
      </c>
      <c r="O96" s="27" t="str">
        <f t="shared" si="26"/>
        <v>00000000000000000000</v>
      </c>
      <c r="P96" s="24" t="str">
        <f t="shared" si="27"/>
        <v>00000000,00</v>
      </c>
      <c r="Q96" s="36" t="str">
        <f t="shared" si="14"/>
        <v/>
      </c>
      <c r="R96" t="str">
        <f t="shared" si="15"/>
        <v/>
      </c>
      <c r="S96" t="str">
        <f t="shared" si="16"/>
        <v/>
      </c>
    </row>
    <row r="97" spans="1:19" x14ac:dyDescent="0.2">
      <c r="A97" s="28"/>
      <c r="B97" s="24"/>
      <c r="C97" s="21"/>
      <c r="D97" s="28"/>
      <c r="E97" s="23"/>
      <c r="F97" s="23" t="str">
        <f t="shared" si="17"/>
        <v>0000000000000</v>
      </c>
      <c r="G97" s="23" t="str">
        <f t="shared" si="18"/>
        <v>000</v>
      </c>
      <c r="H97" s="23">
        <f t="shared" si="19"/>
        <v>0</v>
      </c>
      <c r="I97" s="23" t="str">
        <f t="shared" si="20"/>
        <v>00</v>
      </c>
      <c r="J97" s="23">
        <f t="shared" si="21"/>
        <v>1</v>
      </c>
      <c r="K97" s="23" t="str">
        <f t="shared" si="22"/>
        <v>01</v>
      </c>
      <c r="L97" s="23">
        <f t="shared" si="23"/>
        <v>1900</v>
      </c>
      <c r="M97" s="23" t="str">
        <f t="shared" si="24"/>
        <v>1900</v>
      </c>
      <c r="N97" s="23" t="str">
        <f t="shared" si="25"/>
        <v>00/01/1900</v>
      </c>
      <c r="O97" s="27" t="str">
        <f t="shared" si="26"/>
        <v>00000000000000000000</v>
      </c>
      <c r="P97" s="24" t="str">
        <f t="shared" si="27"/>
        <v>00000000,00</v>
      </c>
      <c r="Q97" s="36" t="str">
        <f t="shared" si="14"/>
        <v/>
      </c>
      <c r="R97" t="str">
        <f t="shared" si="15"/>
        <v/>
      </c>
      <c r="S97" t="str">
        <f t="shared" si="16"/>
        <v/>
      </c>
    </row>
    <row r="98" spans="1:19" x14ac:dyDescent="0.2">
      <c r="A98" s="28"/>
      <c r="B98" s="24"/>
      <c r="C98" s="21"/>
      <c r="D98" s="28"/>
      <c r="E98" s="23"/>
      <c r="F98" s="23" t="str">
        <f t="shared" si="17"/>
        <v>0000000000000</v>
      </c>
      <c r="G98" s="23" t="str">
        <f t="shared" si="18"/>
        <v>000</v>
      </c>
      <c r="H98" s="23">
        <f t="shared" si="19"/>
        <v>0</v>
      </c>
      <c r="I98" s="23" t="str">
        <f t="shared" si="20"/>
        <v>00</v>
      </c>
      <c r="J98" s="23">
        <f t="shared" si="21"/>
        <v>1</v>
      </c>
      <c r="K98" s="23" t="str">
        <f t="shared" si="22"/>
        <v>01</v>
      </c>
      <c r="L98" s="23">
        <f t="shared" si="23"/>
        <v>1900</v>
      </c>
      <c r="M98" s="23" t="str">
        <f t="shared" si="24"/>
        <v>1900</v>
      </c>
      <c r="N98" s="23" t="str">
        <f t="shared" si="25"/>
        <v>00/01/1900</v>
      </c>
      <c r="O98" s="27" t="str">
        <f t="shared" si="26"/>
        <v>00000000000000000000</v>
      </c>
      <c r="P98" s="24" t="str">
        <f t="shared" si="27"/>
        <v>00000000,00</v>
      </c>
      <c r="Q98" s="36" t="str">
        <f t="shared" si="14"/>
        <v/>
      </c>
      <c r="R98" t="str">
        <f t="shared" si="15"/>
        <v/>
      </c>
      <c r="S98" t="str">
        <f t="shared" si="16"/>
        <v/>
      </c>
    </row>
    <row r="99" spans="1:19" x14ac:dyDescent="0.2">
      <c r="A99" s="28"/>
      <c r="B99" s="24"/>
      <c r="C99" s="21"/>
      <c r="D99" s="28"/>
      <c r="E99" s="23"/>
      <c r="F99" s="23" t="str">
        <f t="shared" si="17"/>
        <v>0000000000000</v>
      </c>
      <c r="G99" s="23" t="str">
        <f t="shared" si="18"/>
        <v>000</v>
      </c>
      <c r="H99" s="23">
        <f t="shared" si="19"/>
        <v>0</v>
      </c>
      <c r="I99" s="23" t="str">
        <f t="shared" si="20"/>
        <v>00</v>
      </c>
      <c r="J99" s="23">
        <f t="shared" si="21"/>
        <v>1</v>
      </c>
      <c r="K99" s="23" t="str">
        <f t="shared" si="22"/>
        <v>01</v>
      </c>
      <c r="L99" s="23">
        <f t="shared" si="23"/>
        <v>1900</v>
      </c>
      <c r="M99" s="23" t="str">
        <f t="shared" si="24"/>
        <v>1900</v>
      </c>
      <c r="N99" s="23" t="str">
        <f t="shared" si="25"/>
        <v>00/01/1900</v>
      </c>
      <c r="O99" s="27" t="str">
        <f t="shared" si="26"/>
        <v>00000000000000000000</v>
      </c>
      <c r="P99" s="24" t="str">
        <f t="shared" si="27"/>
        <v>00000000,00</v>
      </c>
      <c r="Q99" s="36" t="str">
        <f t="shared" si="14"/>
        <v/>
      </c>
      <c r="R99" t="str">
        <f t="shared" si="15"/>
        <v/>
      </c>
      <c r="S99" t="str">
        <f t="shared" si="16"/>
        <v/>
      </c>
    </row>
    <row r="100" spans="1:19" x14ac:dyDescent="0.2">
      <c r="A100" s="28"/>
      <c r="B100" s="24"/>
      <c r="C100" s="21"/>
      <c r="D100" s="28"/>
      <c r="E100" s="23"/>
      <c r="F100" s="23" t="str">
        <f t="shared" si="17"/>
        <v>0000000000000</v>
      </c>
      <c r="G100" s="23" t="str">
        <f t="shared" si="18"/>
        <v>000</v>
      </c>
      <c r="H100" s="23">
        <f t="shared" si="19"/>
        <v>0</v>
      </c>
      <c r="I100" s="23" t="str">
        <f t="shared" si="20"/>
        <v>00</v>
      </c>
      <c r="J100" s="23">
        <f t="shared" si="21"/>
        <v>1</v>
      </c>
      <c r="K100" s="23" t="str">
        <f t="shared" si="22"/>
        <v>01</v>
      </c>
      <c r="L100" s="23">
        <f t="shared" si="23"/>
        <v>1900</v>
      </c>
      <c r="M100" s="23" t="str">
        <f t="shared" si="24"/>
        <v>1900</v>
      </c>
      <c r="N100" s="23" t="str">
        <f t="shared" si="25"/>
        <v>00/01/1900</v>
      </c>
      <c r="O100" s="27" t="str">
        <f t="shared" si="26"/>
        <v>00000000000000000000</v>
      </c>
      <c r="P100" s="24" t="str">
        <f t="shared" si="27"/>
        <v>00000000,00</v>
      </c>
      <c r="Q100" s="36" t="str">
        <f t="shared" si="14"/>
        <v/>
      </c>
      <c r="R100" t="str">
        <f t="shared" si="15"/>
        <v/>
      </c>
      <c r="S100" t="str">
        <f t="shared" si="16"/>
        <v/>
      </c>
    </row>
    <row r="101" spans="1:19" x14ac:dyDescent="0.2">
      <c r="A101" s="28"/>
      <c r="B101" s="24"/>
      <c r="C101" s="21"/>
      <c r="D101" s="28"/>
      <c r="E101" s="23"/>
      <c r="F101" s="23" t="str">
        <f t="shared" si="17"/>
        <v>0000000000000</v>
      </c>
      <c r="G101" s="23" t="str">
        <f t="shared" si="18"/>
        <v>000</v>
      </c>
      <c r="H101" s="23">
        <f t="shared" si="19"/>
        <v>0</v>
      </c>
      <c r="I101" s="23" t="str">
        <f t="shared" si="20"/>
        <v>00</v>
      </c>
      <c r="J101" s="23">
        <f t="shared" si="21"/>
        <v>1</v>
      </c>
      <c r="K101" s="23" t="str">
        <f t="shared" si="22"/>
        <v>01</v>
      </c>
      <c r="L101" s="23">
        <f t="shared" si="23"/>
        <v>1900</v>
      </c>
      <c r="M101" s="23" t="str">
        <f t="shared" si="24"/>
        <v>1900</v>
      </c>
      <c r="N101" s="23" t="str">
        <f t="shared" si="25"/>
        <v>00/01/1900</v>
      </c>
      <c r="O101" s="27" t="str">
        <f t="shared" si="26"/>
        <v>00000000000000000000</v>
      </c>
      <c r="P101" s="24" t="str">
        <f t="shared" si="27"/>
        <v>00000000,00</v>
      </c>
      <c r="Q101" s="36" t="str">
        <f t="shared" si="14"/>
        <v/>
      </c>
      <c r="R101" t="str">
        <f t="shared" si="15"/>
        <v/>
      </c>
      <c r="S101" t="str">
        <f t="shared" si="16"/>
        <v/>
      </c>
    </row>
    <row r="102" spans="1:19" x14ac:dyDescent="0.2">
      <c r="A102" s="28"/>
      <c r="B102" s="24"/>
      <c r="C102" s="21"/>
      <c r="D102" s="28"/>
      <c r="E102" s="23"/>
      <c r="F102" s="23" t="str">
        <f t="shared" si="17"/>
        <v>0000000000000</v>
      </c>
      <c r="G102" s="23" t="str">
        <f t="shared" si="18"/>
        <v>000</v>
      </c>
      <c r="H102" s="23">
        <f t="shared" si="19"/>
        <v>0</v>
      </c>
      <c r="I102" s="23" t="str">
        <f t="shared" si="20"/>
        <v>00</v>
      </c>
      <c r="J102" s="23">
        <f t="shared" si="21"/>
        <v>1</v>
      </c>
      <c r="K102" s="23" t="str">
        <f t="shared" si="22"/>
        <v>01</v>
      </c>
      <c r="L102" s="23">
        <f t="shared" si="23"/>
        <v>1900</v>
      </c>
      <c r="M102" s="23" t="str">
        <f t="shared" si="24"/>
        <v>1900</v>
      </c>
      <c r="N102" s="23" t="str">
        <f t="shared" si="25"/>
        <v>00/01/1900</v>
      </c>
      <c r="O102" s="27" t="str">
        <f t="shared" si="26"/>
        <v>00000000000000000000</v>
      </c>
      <c r="P102" s="24" t="str">
        <f t="shared" si="27"/>
        <v>00000000,00</v>
      </c>
      <c r="Q102" s="36" t="str">
        <f t="shared" si="14"/>
        <v/>
      </c>
      <c r="R102" t="str">
        <f t="shared" si="15"/>
        <v/>
      </c>
      <c r="S102" t="str">
        <f t="shared" si="16"/>
        <v/>
      </c>
    </row>
    <row r="103" spans="1:19" x14ac:dyDescent="0.2">
      <c r="A103" s="28"/>
      <c r="B103" s="24"/>
      <c r="C103" s="21"/>
      <c r="D103" s="28"/>
      <c r="E103" s="23"/>
      <c r="F103" s="23" t="str">
        <f t="shared" si="17"/>
        <v>0000000000000</v>
      </c>
      <c r="G103" s="23" t="str">
        <f t="shared" si="18"/>
        <v>000</v>
      </c>
      <c r="H103" s="23">
        <f t="shared" si="19"/>
        <v>0</v>
      </c>
      <c r="I103" s="23" t="str">
        <f t="shared" si="20"/>
        <v>00</v>
      </c>
      <c r="J103" s="23">
        <f t="shared" si="21"/>
        <v>1</v>
      </c>
      <c r="K103" s="23" t="str">
        <f t="shared" si="22"/>
        <v>01</v>
      </c>
      <c r="L103" s="23">
        <f t="shared" si="23"/>
        <v>1900</v>
      </c>
      <c r="M103" s="23" t="str">
        <f t="shared" si="24"/>
        <v>1900</v>
      </c>
      <c r="N103" s="23" t="str">
        <f t="shared" si="25"/>
        <v>00/01/1900</v>
      </c>
      <c r="O103" s="27" t="str">
        <f t="shared" si="26"/>
        <v>00000000000000000000</v>
      </c>
      <c r="P103" s="24" t="str">
        <f t="shared" si="27"/>
        <v>00000000,00</v>
      </c>
      <c r="Q103" s="36" t="str">
        <f t="shared" si="14"/>
        <v/>
      </c>
      <c r="R103" t="str">
        <f t="shared" si="15"/>
        <v/>
      </c>
      <c r="S103" t="str">
        <f t="shared" si="16"/>
        <v/>
      </c>
    </row>
    <row r="104" spans="1:19" x14ac:dyDescent="0.2">
      <c r="A104" s="28"/>
      <c r="B104" s="24"/>
      <c r="C104" s="21"/>
      <c r="D104" s="28"/>
      <c r="E104" s="23"/>
      <c r="F104" s="23" t="str">
        <f t="shared" si="17"/>
        <v>0000000000000</v>
      </c>
      <c r="G104" s="23" t="str">
        <f t="shared" si="18"/>
        <v>000</v>
      </c>
      <c r="H104" s="23">
        <f t="shared" si="19"/>
        <v>0</v>
      </c>
      <c r="I104" s="23" t="str">
        <f t="shared" si="20"/>
        <v>00</v>
      </c>
      <c r="J104" s="23">
        <f t="shared" si="21"/>
        <v>1</v>
      </c>
      <c r="K104" s="23" t="str">
        <f t="shared" si="22"/>
        <v>01</v>
      </c>
      <c r="L104" s="23">
        <f t="shared" si="23"/>
        <v>1900</v>
      </c>
      <c r="M104" s="23" t="str">
        <f t="shared" si="24"/>
        <v>1900</v>
      </c>
      <c r="N104" s="23" t="str">
        <f t="shared" si="25"/>
        <v>00/01/1900</v>
      </c>
      <c r="O104" s="27" t="str">
        <f t="shared" si="26"/>
        <v>00000000000000000000</v>
      </c>
      <c r="P104" s="24" t="str">
        <f t="shared" si="27"/>
        <v>00000000,00</v>
      </c>
      <c r="Q104" s="36" t="str">
        <f t="shared" si="14"/>
        <v/>
      </c>
      <c r="R104" t="str">
        <f t="shared" si="15"/>
        <v/>
      </c>
      <c r="S104" t="str">
        <f t="shared" si="16"/>
        <v/>
      </c>
    </row>
    <row r="105" spans="1:19" x14ac:dyDescent="0.2">
      <c r="A105" s="28"/>
      <c r="B105" s="24"/>
      <c r="C105" s="21"/>
      <c r="D105" s="28"/>
      <c r="E105" s="23"/>
      <c r="F105" s="23" t="str">
        <f t="shared" si="17"/>
        <v>0000000000000</v>
      </c>
      <c r="G105" s="23" t="str">
        <f t="shared" si="18"/>
        <v>000</v>
      </c>
      <c r="H105" s="23">
        <f t="shared" si="19"/>
        <v>0</v>
      </c>
      <c r="I105" s="23" t="str">
        <f t="shared" si="20"/>
        <v>00</v>
      </c>
      <c r="J105" s="23">
        <f t="shared" si="21"/>
        <v>1</v>
      </c>
      <c r="K105" s="23" t="str">
        <f t="shared" si="22"/>
        <v>01</v>
      </c>
      <c r="L105" s="23">
        <f t="shared" si="23"/>
        <v>1900</v>
      </c>
      <c r="M105" s="23" t="str">
        <f t="shared" si="24"/>
        <v>1900</v>
      </c>
      <c r="N105" s="23" t="str">
        <f t="shared" si="25"/>
        <v>00/01/1900</v>
      </c>
      <c r="O105" s="27" t="str">
        <f t="shared" si="26"/>
        <v>00000000000000000000</v>
      </c>
      <c r="P105" s="24" t="str">
        <f t="shared" si="27"/>
        <v>00000000,00</v>
      </c>
      <c r="Q105" s="36" t="str">
        <f t="shared" si="14"/>
        <v/>
      </c>
      <c r="R105" t="str">
        <f t="shared" si="15"/>
        <v/>
      </c>
      <c r="S105" t="str">
        <f t="shared" si="16"/>
        <v/>
      </c>
    </row>
    <row r="106" spans="1:19" x14ac:dyDescent="0.2">
      <c r="A106" s="28"/>
      <c r="B106" s="24"/>
      <c r="C106" s="21"/>
      <c r="D106" s="28"/>
      <c r="E106" s="23"/>
      <c r="F106" s="23" t="str">
        <f t="shared" si="17"/>
        <v>0000000000000</v>
      </c>
      <c r="G106" s="23" t="str">
        <f t="shared" si="18"/>
        <v>000</v>
      </c>
      <c r="H106" s="23">
        <f t="shared" si="19"/>
        <v>0</v>
      </c>
      <c r="I106" s="23" t="str">
        <f t="shared" si="20"/>
        <v>00</v>
      </c>
      <c r="J106" s="23">
        <f t="shared" si="21"/>
        <v>1</v>
      </c>
      <c r="K106" s="23" t="str">
        <f t="shared" si="22"/>
        <v>01</v>
      </c>
      <c r="L106" s="23">
        <f t="shared" si="23"/>
        <v>1900</v>
      </c>
      <c r="M106" s="23" t="str">
        <f t="shared" si="24"/>
        <v>1900</v>
      </c>
      <c r="N106" s="23" t="str">
        <f t="shared" si="25"/>
        <v>00/01/1900</v>
      </c>
      <c r="O106" s="27" t="str">
        <f t="shared" si="26"/>
        <v>00000000000000000000</v>
      </c>
      <c r="P106" s="24" t="str">
        <f t="shared" si="27"/>
        <v>00000000,00</v>
      </c>
      <c r="Q106" s="36" t="str">
        <f t="shared" si="14"/>
        <v/>
      </c>
      <c r="R106" t="str">
        <f t="shared" si="15"/>
        <v/>
      </c>
      <c r="S106" t="str">
        <f t="shared" si="16"/>
        <v/>
      </c>
    </row>
    <row r="107" spans="1:19" x14ac:dyDescent="0.2">
      <c r="A107" s="28"/>
      <c r="B107" s="24"/>
      <c r="C107" s="21"/>
      <c r="D107" s="28"/>
      <c r="E107" s="23"/>
      <c r="F107" s="23" t="str">
        <f t="shared" si="17"/>
        <v>0000000000000</v>
      </c>
      <c r="G107" s="23" t="str">
        <f t="shared" si="18"/>
        <v>000</v>
      </c>
      <c r="H107" s="23">
        <f t="shared" si="19"/>
        <v>0</v>
      </c>
      <c r="I107" s="23" t="str">
        <f t="shared" si="20"/>
        <v>00</v>
      </c>
      <c r="J107" s="23">
        <f t="shared" si="21"/>
        <v>1</v>
      </c>
      <c r="K107" s="23" t="str">
        <f t="shared" si="22"/>
        <v>01</v>
      </c>
      <c r="L107" s="23">
        <f t="shared" si="23"/>
        <v>1900</v>
      </c>
      <c r="M107" s="23" t="str">
        <f t="shared" si="24"/>
        <v>1900</v>
      </c>
      <c r="N107" s="23" t="str">
        <f t="shared" si="25"/>
        <v>00/01/1900</v>
      </c>
      <c r="O107" s="27" t="str">
        <f t="shared" si="26"/>
        <v>00000000000000000000</v>
      </c>
      <c r="P107" s="24" t="str">
        <f t="shared" si="27"/>
        <v>00000000,00</v>
      </c>
      <c r="Q107" s="36" t="str">
        <f t="shared" si="14"/>
        <v/>
      </c>
      <c r="R107" t="str">
        <f t="shared" si="15"/>
        <v/>
      </c>
      <c r="S107" t="str">
        <f t="shared" si="16"/>
        <v/>
      </c>
    </row>
    <row r="108" spans="1:19" x14ac:dyDescent="0.2">
      <c r="A108" s="28"/>
      <c r="B108" s="24"/>
      <c r="C108" s="21"/>
      <c r="D108" s="28"/>
      <c r="E108" s="23"/>
      <c r="F108" s="23" t="str">
        <f t="shared" si="17"/>
        <v>0000000000000</v>
      </c>
      <c r="G108" s="23" t="str">
        <f t="shared" si="18"/>
        <v>000</v>
      </c>
      <c r="H108" s="23">
        <f t="shared" si="19"/>
        <v>0</v>
      </c>
      <c r="I108" s="23" t="str">
        <f t="shared" si="20"/>
        <v>00</v>
      </c>
      <c r="J108" s="23">
        <f t="shared" si="21"/>
        <v>1</v>
      </c>
      <c r="K108" s="23" t="str">
        <f t="shared" si="22"/>
        <v>01</v>
      </c>
      <c r="L108" s="23">
        <f t="shared" si="23"/>
        <v>1900</v>
      </c>
      <c r="M108" s="23" t="str">
        <f t="shared" si="24"/>
        <v>1900</v>
      </c>
      <c r="N108" s="23" t="str">
        <f t="shared" si="25"/>
        <v>00/01/1900</v>
      </c>
      <c r="O108" s="27" t="str">
        <f t="shared" si="26"/>
        <v>00000000000000000000</v>
      </c>
      <c r="P108" s="24" t="str">
        <f t="shared" si="27"/>
        <v>00000000,00</v>
      </c>
      <c r="Q108" s="36" t="str">
        <f t="shared" si="14"/>
        <v/>
      </c>
      <c r="R108" t="str">
        <f t="shared" si="15"/>
        <v/>
      </c>
      <c r="S108" t="str">
        <f t="shared" si="16"/>
        <v/>
      </c>
    </row>
    <row r="109" spans="1:19" x14ac:dyDescent="0.2">
      <c r="A109" s="28"/>
      <c r="B109" s="24"/>
      <c r="C109" s="21"/>
      <c r="D109" s="28"/>
      <c r="E109" s="23"/>
      <c r="F109" s="23" t="str">
        <f t="shared" si="17"/>
        <v>0000000000000</v>
      </c>
      <c r="G109" s="23" t="str">
        <f t="shared" si="18"/>
        <v>000</v>
      </c>
      <c r="H109" s="23">
        <f t="shared" si="19"/>
        <v>0</v>
      </c>
      <c r="I109" s="23" t="str">
        <f t="shared" si="20"/>
        <v>00</v>
      </c>
      <c r="J109" s="23">
        <f t="shared" si="21"/>
        <v>1</v>
      </c>
      <c r="K109" s="23" t="str">
        <f t="shared" si="22"/>
        <v>01</v>
      </c>
      <c r="L109" s="23">
        <f t="shared" si="23"/>
        <v>1900</v>
      </c>
      <c r="M109" s="23" t="str">
        <f t="shared" si="24"/>
        <v>1900</v>
      </c>
      <c r="N109" s="23" t="str">
        <f t="shared" si="25"/>
        <v>00/01/1900</v>
      </c>
      <c r="O109" s="27" t="str">
        <f t="shared" si="26"/>
        <v>00000000000000000000</v>
      </c>
      <c r="P109" s="24" t="str">
        <f t="shared" si="27"/>
        <v>00000000,00</v>
      </c>
      <c r="Q109" s="36" t="str">
        <f t="shared" si="14"/>
        <v/>
      </c>
      <c r="R109" t="str">
        <f t="shared" si="15"/>
        <v/>
      </c>
      <c r="S109" t="str">
        <f t="shared" si="16"/>
        <v/>
      </c>
    </row>
    <row r="110" spans="1:19" x14ac:dyDescent="0.2">
      <c r="A110" s="28"/>
      <c r="B110" s="24"/>
      <c r="C110" s="21"/>
      <c r="D110" s="28"/>
      <c r="E110" s="23"/>
      <c r="F110" s="23" t="str">
        <f t="shared" si="17"/>
        <v>0000000000000</v>
      </c>
      <c r="G110" s="23" t="str">
        <f t="shared" si="18"/>
        <v>000</v>
      </c>
      <c r="H110" s="23">
        <f t="shared" si="19"/>
        <v>0</v>
      </c>
      <c r="I110" s="23" t="str">
        <f t="shared" si="20"/>
        <v>00</v>
      </c>
      <c r="J110" s="23">
        <f t="shared" si="21"/>
        <v>1</v>
      </c>
      <c r="K110" s="23" t="str">
        <f t="shared" si="22"/>
        <v>01</v>
      </c>
      <c r="L110" s="23">
        <f t="shared" si="23"/>
        <v>1900</v>
      </c>
      <c r="M110" s="23" t="str">
        <f t="shared" si="24"/>
        <v>1900</v>
      </c>
      <c r="N110" s="23" t="str">
        <f t="shared" si="25"/>
        <v>00/01/1900</v>
      </c>
      <c r="O110" s="27" t="str">
        <f t="shared" si="26"/>
        <v>00000000000000000000</v>
      </c>
      <c r="P110" s="24" t="str">
        <f t="shared" si="27"/>
        <v>00000000,00</v>
      </c>
      <c r="Q110" s="36" t="str">
        <f t="shared" si="14"/>
        <v/>
      </c>
      <c r="R110" t="str">
        <f t="shared" si="15"/>
        <v/>
      </c>
      <c r="S110" t="str">
        <f t="shared" si="16"/>
        <v/>
      </c>
    </row>
  </sheetData>
  <mergeCells count="1">
    <mergeCell ref="A1:A2"/>
  </mergeCells>
  <phoneticPr fontId="2" type="noConversion"/>
  <dataValidations count="1">
    <dataValidation type="list" allowBlank="1" showInputMessage="1" showErrorMessage="1" sqref="A6">
      <formula1>JUR</formula1>
    </dataValidation>
  </dataValidations>
  <pageMargins left="0.75" right="0.75" top="1" bottom="1" header="0" footer="0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10"/>
  <sheetViews>
    <sheetView zoomScale="80" workbookViewId="0">
      <pane ySplit="5" topLeftCell="A6" activePane="bottomLeft" state="frozen"/>
      <selection activeCell="A6" sqref="A6"/>
      <selection pane="bottomLeft" activeCell="U107" sqref="U107"/>
    </sheetView>
  </sheetViews>
  <sheetFormatPr baseColWidth="10" defaultRowHeight="12.75" x14ac:dyDescent="0.2"/>
  <cols>
    <col min="1" max="1" width="6.7109375" style="9" customWidth="1"/>
    <col min="2" max="2" width="14.42578125" bestFit="1" customWidth="1"/>
    <col min="3" max="3" width="10.85546875" style="32" bestFit="1" customWidth="1"/>
    <col min="4" max="4" width="25.140625" style="9" bestFit="1" customWidth="1"/>
    <col min="5" max="5" width="11.42578125" style="17"/>
    <col min="6" max="6" width="7" style="17" bestFit="1" customWidth="1"/>
    <col min="7" max="7" width="11.5703125" style="1" bestFit="1" customWidth="1"/>
    <col min="8" max="8" width="11.5703125" style="1" hidden="1" customWidth="1"/>
    <col min="9" max="9" width="4.42578125" style="1" hidden="1" customWidth="1"/>
    <col min="10" max="10" width="5" style="1" hidden="1" customWidth="1"/>
    <col min="11" max="11" width="3.42578125" style="1" hidden="1" customWidth="1"/>
    <col min="12" max="12" width="8.140625" style="1" hidden="1" customWidth="1"/>
    <col min="13" max="13" width="5.5703125" style="1" hidden="1" customWidth="1"/>
    <col min="14" max="14" width="8.140625" style="1" hidden="1" customWidth="1"/>
    <col min="15" max="15" width="4.140625" hidden="1" customWidth="1"/>
    <col min="16" max="16" width="2.28515625" hidden="1" customWidth="1"/>
    <col min="17" max="17" width="12.42578125" hidden="1" customWidth="1"/>
    <col min="18" max="18" width="65" bestFit="1" customWidth="1"/>
  </cols>
  <sheetData>
    <row r="1" spans="1:20" s="4" customFormat="1" x14ac:dyDescent="0.2">
      <c r="A1" s="50" t="s">
        <v>0</v>
      </c>
      <c r="B1" s="4" t="s">
        <v>1</v>
      </c>
      <c r="C1" s="5" t="s">
        <v>15</v>
      </c>
      <c r="D1" s="4" t="s">
        <v>16</v>
      </c>
      <c r="E1" s="48" t="s">
        <v>17</v>
      </c>
      <c r="F1" s="48"/>
      <c r="G1" s="7" t="s">
        <v>9</v>
      </c>
      <c r="H1" s="7"/>
      <c r="I1" s="7"/>
      <c r="J1" s="7"/>
      <c r="K1" s="7"/>
      <c r="L1" s="7"/>
      <c r="M1" s="7"/>
      <c r="N1" s="7"/>
      <c r="R1" s="4" t="s">
        <v>21</v>
      </c>
    </row>
    <row r="2" spans="1:20" s="4" customFormat="1" x14ac:dyDescent="0.2">
      <c r="A2" s="50"/>
      <c r="C2" s="5"/>
      <c r="D2" s="8"/>
      <c r="E2" s="6" t="s">
        <v>18</v>
      </c>
      <c r="F2" s="6" t="s">
        <v>7</v>
      </c>
      <c r="G2" s="7" t="s">
        <v>10</v>
      </c>
      <c r="H2" s="7"/>
      <c r="I2" s="7"/>
      <c r="J2" s="7"/>
      <c r="K2" s="7"/>
      <c r="L2" s="7"/>
      <c r="M2" s="7"/>
      <c r="N2" s="7"/>
      <c r="R2" s="4" t="s">
        <v>22</v>
      </c>
    </row>
    <row r="3" spans="1:20" s="8" customFormat="1" x14ac:dyDescent="0.2">
      <c r="A3" s="8">
        <v>3</v>
      </c>
      <c r="B3" s="8">
        <v>13</v>
      </c>
      <c r="C3" s="8">
        <v>7</v>
      </c>
      <c r="D3" s="8">
        <v>22</v>
      </c>
      <c r="E3" s="8">
        <v>2</v>
      </c>
      <c r="F3" s="8" t="s">
        <v>19</v>
      </c>
      <c r="R3" s="8" t="s">
        <v>23</v>
      </c>
    </row>
    <row r="4" spans="1:20" s="8" customFormat="1" x14ac:dyDescent="0.2">
      <c r="F4" s="8" t="s">
        <v>20</v>
      </c>
    </row>
    <row r="5" spans="1:20" x14ac:dyDescent="0.2">
      <c r="D5" s="3"/>
    </row>
    <row r="6" spans="1:20" x14ac:dyDescent="0.2">
      <c r="A6" s="19"/>
      <c r="B6" s="20"/>
      <c r="C6" s="33"/>
      <c r="D6" s="34"/>
      <c r="E6" s="25"/>
      <c r="F6" s="25"/>
      <c r="G6" s="23"/>
      <c r="H6" s="23" t="str">
        <f>TEXT(B6,"0000000000000")</f>
        <v>0000000000000</v>
      </c>
      <c r="I6" s="23" t="str">
        <f>TEXT(A6,"000")</f>
        <v>000</v>
      </c>
      <c r="J6" s="23">
        <f>MONTH(C6)</f>
        <v>1</v>
      </c>
      <c r="K6" s="23" t="str">
        <f>TEXT(J6,"00")</f>
        <v>01</v>
      </c>
      <c r="L6" s="23">
        <f>YEAR(C6)</f>
        <v>1900</v>
      </c>
      <c r="M6" s="23" t="str">
        <f>TEXT(L6,"0000")</f>
        <v>1900</v>
      </c>
      <c r="N6" s="23" t="str">
        <f>CONCATENATE(M6,"/",K6)</f>
        <v>1900/01</v>
      </c>
      <c r="O6" s="24" t="str">
        <f>TEXT(E6,"00")</f>
        <v>00</v>
      </c>
      <c r="P6" s="24" t="str">
        <f>TEXT(F6,"0")</f>
        <v>0</v>
      </c>
      <c r="Q6" s="24" t="str">
        <f>TEXT(G6,"00000000,00")</f>
        <v>00000000,00</v>
      </c>
      <c r="R6" s="36" t="str">
        <f>IF(A6="","",CONCATENATE(I6,H6,N6,D6,O6,P6,Q6))</f>
        <v/>
      </c>
      <c r="S6" t="str">
        <f>IF(A6="","",LEN(R6))</f>
        <v/>
      </c>
      <c r="T6" t="str">
        <f>IF(A6="","",IF(S6=59,"OK","ERROR DE LONGITUD DEL TEXTO"))</f>
        <v/>
      </c>
    </row>
    <row r="7" spans="1:20" x14ac:dyDescent="0.2">
      <c r="A7" s="28"/>
      <c r="B7" s="24"/>
      <c r="C7" s="35"/>
      <c r="D7" s="26"/>
      <c r="E7" s="25"/>
      <c r="F7" s="25"/>
      <c r="G7" s="23"/>
      <c r="H7" s="23" t="str">
        <f>TEXT(B7,"0000000000000")</f>
        <v>0000000000000</v>
      </c>
      <c r="I7" s="23" t="str">
        <f>TEXT(A7,"000")</f>
        <v>000</v>
      </c>
      <c r="J7" s="23">
        <f>MONTH(C7)</f>
        <v>1</v>
      </c>
      <c r="K7" s="23" t="str">
        <f>TEXT(J7,"00")</f>
        <v>01</v>
      </c>
      <c r="L7" s="23">
        <f>YEAR(C7)</f>
        <v>1900</v>
      </c>
      <c r="M7" s="23" t="str">
        <f>TEXT(L7,"0000")</f>
        <v>1900</v>
      </c>
      <c r="N7" s="23" t="str">
        <f>CONCATENATE(M7,"/",K7)</f>
        <v>1900/01</v>
      </c>
      <c r="O7" s="24" t="str">
        <f>TEXT(E7,"00")</f>
        <v>00</v>
      </c>
      <c r="P7" s="24" t="str">
        <f>TEXT(F7,"0")</f>
        <v>0</v>
      </c>
      <c r="Q7" s="24" t="str">
        <f>TEXT(G7,"00000000,00")</f>
        <v>00000000,00</v>
      </c>
      <c r="R7" s="36" t="str">
        <f t="shared" ref="R7:R70" si="0">IF(A7="","",CONCATENATE(I7,H7,N7,D7,O7,P7,Q7))</f>
        <v/>
      </c>
      <c r="S7" t="str">
        <f t="shared" ref="S7:S70" si="1">IF(A7="","",LEN(R7))</f>
        <v/>
      </c>
      <c r="T7" t="str">
        <f t="shared" ref="T7:T70" si="2">IF(A7="","",IF(S7=59,"OK","ERROR DE LONGITUD DEL TEXTO"))</f>
        <v/>
      </c>
    </row>
    <row r="8" spans="1:20" x14ac:dyDescent="0.2">
      <c r="A8" s="28"/>
      <c r="B8" s="24"/>
      <c r="C8" s="35"/>
      <c r="D8" s="26"/>
      <c r="E8" s="25"/>
      <c r="F8" s="25"/>
      <c r="G8" s="23"/>
      <c r="H8" s="23" t="str">
        <f>TEXT(B8,"0000000000000")</f>
        <v>0000000000000</v>
      </c>
      <c r="I8" s="23" t="str">
        <f>TEXT(A8,"000")</f>
        <v>000</v>
      </c>
      <c r="J8" s="23">
        <f>MONTH(C8)</f>
        <v>1</v>
      </c>
      <c r="K8" s="23" t="str">
        <f>TEXT(J8,"00")</f>
        <v>01</v>
      </c>
      <c r="L8" s="23">
        <f>YEAR(C8)</f>
        <v>1900</v>
      </c>
      <c r="M8" s="23" t="str">
        <f>TEXT(L8,"0000")</f>
        <v>1900</v>
      </c>
      <c r="N8" s="23" t="str">
        <f>CONCATENATE(M8,"/",K8)</f>
        <v>1900/01</v>
      </c>
      <c r="O8" s="24" t="str">
        <f>TEXT(E8,"00")</f>
        <v>00</v>
      </c>
      <c r="P8" s="24" t="str">
        <f>TEXT(F8,"0")</f>
        <v>0</v>
      </c>
      <c r="Q8" s="24" t="str">
        <f>TEXT(G8,"00000000,00")</f>
        <v>00000000,00</v>
      </c>
      <c r="R8" s="36" t="str">
        <f t="shared" si="0"/>
        <v/>
      </c>
      <c r="S8" t="str">
        <f t="shared" si="1"/>
        <v/>
      </c>
      <c r="T8" t="str">
        <f t="shared" si="2"/>
        <v/>
      </c>
    </row>
    <row r="9" spans="1:20" x14ac:dyDescent="0.2">
      <c r="A9" s="28"/>
      <c r="B9" s="24"/>
      <c r="C9" s="35"/>
      <c r="D9" s="26"/>
      <c r="E9" s="25"/>
      <c r="F9" s="25"/>
      <c r="G9" s="23"/>
      <c r="H9" s="23" t="str">
        <f t="shared" ref="H9:H72" si="3">TEXT(B9,"0000000000000")</f>
        <v>0000000000000</v>
      </c>
      <c r="I9" s="23" t="str">
        <f t="shared" ref="I9:I72" si="4">TEXT(A9,"000")</f>
        <v>000</v>
      </c>
      <c r="J9" s="23">
        <f t="shared" ref="J9:J72" si="5">MONTH(C9)</f>
        <v>1</v>
      </c>
      <c r="K9" s="23" t="str">
        <f t="shared" ref="K9:K72" si="6">TEXT(J9,"00")</f>
        <v>01</v>
      </c>
      <c r="L9" s="23">
        <f t="shared" ref="L9:L72" si="7">YEAR(C9)</f>
        <v>1900</v>
      </c>
      <c r="M9" s="23" t="str">
        <f t="shared" ref="M9:M72" si="8">TEXT(L9,"0000")</f>
        <v>1900</v>
      </c>
      <c r="N9" s="23" t="str">
        <f t="shared" ref="N9:N72" si="9">CONCATENATE(M9,"/",K9)</f>
        <v>1900/01</v>
      </c>
      <c r="O9" s="24" t="str">
        <f t="shared" ref="O9:O72" si="10">TEXT(E9,"00")</f>
        <v>00</v>
      </c>
      <c r="P9" s="24" t="str">
        <f t="shared" ref="P9:P72" si="11">TEXT(F9,"0")</f>
        <v>0</v>
      </c>
      <c r="Q9" s="24" t="str">
        <f t="shared" ref="Q9:Q72" si="12">TEXT(G9,"00000000,00")</f>
        <v>00000000,00</v>
      </c>
      <c r="R9" s="36" t="str">
        <f t="shared" si="0"/>
        <v/>
      </c>
      <c r="S9" t="str">
        <f t="shared" si="1"/>
        <v/>
      </c>
      <c r="T9" t="str">
        <f t="shared" si="2"/>
        <v/>
      </c>
    </row>
    <row r="10" spans="1:20" x14ac:dyDescent="0.2">
      <c r="A10" s="28"/>
      <c r="B10" s="24"/>
      <c r="C10" s="35"/>
      <c r="D10" s="26"/>
      <c r="E10" s="25"/>
      <c r="F10" s="25"/>
      <c r="G10" s="23"/>
      <c r="H10" s="23" t="str">
        <f t="shared" si="3"/>
        <v>0000000000000</v>
      </c>
      <c r="I10" s="23" t="str">
        <f t="shared" si="4"/>
        <v>000</v>
      </c>
      <c r="J10" s="23">
        <f t="shared" si="5"/>
        <v>1</v>
      </c>
      <c r="K10" s="23" t="str">
        <f t="shared" si="6"/>
        <v>01</v>
      </c>
      <c r="L10" s="23">
        <f t="shared" si="7"/>
        <v>1900</v>
      </c>
      <c r="M10" s="23" t="str">
        <f t="shared" si="8"/>
        <v>1900</v>
      </c>
      <c r="N10" s="23" t="str">
        <f t="shared" si="9"/>
        <v>1900/01</v>
      </c>
      <c r="O10" s="24" t="str">
        <f t="shared" si="10"/>
        <v>00</v>
      </c>
      <c r="P10" s="24" t="str">
        <f t="shared" si="11"/>
        <v>0</v>
      </c>
      <c r="Q10" s="24" t="str">
        <f t="shared" si="12"/>
        <v>00000000,00</v>
      </c>
      <c r="R10" s="36" t="str">
        <f t="shared" si="0"/>
        <v/>
      </c>
      <c r="S10" t="str">
        <f t="shared" si="1"/>
        <v/>
      </c>
      <c r="T10" t="str">
        <f t="shared" si="2"/>
        <v/>
      </c>
    </row>
    <row r="11" spans="1:20" x14ac:dyDescent="0.2">
      <c r="A11" s="28"/>
      <c r="B11" s="24"/>
      <c r="C11" s="35"/>
      <c r="D11" s="26"/>
      <c r="E11" s="25"/>
      <c r="F11" s="25"/>
      <c r="G11" s="23"/>
      <c r="H11" s="23" t="str">
        <f t="shared" si="3"/>
        <v>0000000000000</v>
      </c>
      <c r="I11" s="23" t="str">
        <f t="shared" si="4"/>
        <v>000</v>
      </c>
      <c r="J11" s="23">
        <f t="shared" si="5"/>
        <v>1</v>
      </c>
      <c r="K11" s="23" t="str">
        <f t="shared" si="6"/>
        <v>01</v>
      </c>
      <c r="L11" s="23">
        <f t="shared" si="7"/>
        <v>1900</v>
      </c>
      <c r="M11" s="23" t="str">
        <f t="shared" si="8"/>
        <v>1900</v>
      </c>
      <c r="N11" s="23" t="str">
        <f t="shared" si="9"/>
        <v>1900/01</v>
      </c>
      <c r="O11" s="24" t="str">
        <f t="shared" si="10"/>
        <v>00</v>
      </c>
      <c r="P11" s="24" t="str">
        <f t="shared" si="11"/>
        <v>0</v>
      </c>
      <c r="Q11" s="24" t="str">
        <f t="shared" si="12"/>
        <v>00000000,00</v>
      </c>
      <c r="R11" s="36" t="str">
        <f t="shared" si="0"/>
        <v/>
      </c>
      <c r="S11" t="str">
        <f t="shared" si="1"/>
        <v/>
      </c>
      <c r="T11" t="str">
        <f t="shared" si="2"/>
        <v/>
      </c>
    </row>
    <row r="12" spans="1:20" x14ac:dyDescent="0.2">
      <c r="A12" s="28"/>
      <c r="B12" s="24"/>
      <c r="C12" s="35"/>
      <c r="D12" s="26"/>
      <c r="E12" s="25"/>
      <c r="F12" s="25"/>
      <c r="G12" s="23"/>
      <c r="H12" s="23" t="str">
        <f t="shared" si="3"/>
        <v>0000000000000</v>
      </c>
      <c r="I12" s="23" t="str">
        <f t="shared" si="4"/>
        <v>000</v>
      </c>
      <c r="J12" s="23">
        <f t="shared" si="5"/>
        <v>1</v>
      </c>
      <c r="K12" s="23" t="str">
        <f t="shared" si="6"/>
        <v>01</v>
      </c>
      <c r="L12" s="23">
        <f t="shared" si="7"/>
        <v>1900</v>
      </c>
      <c r="M12" s="23" t="str">
        <f t="shared" si="8"/>
        <v>1900</v>
      </c>
      <c r="N12" s="23" t="str">
        <f t="shared" si="9"/>
        <v>1900/01</v>
      </c>
      <c r="O12" s="24" t="str">
        <f t="shared" si="10"/>
        <v>00</v>
      </c>
      <c r="P12" s="24" t="str">
        <f t="shared" si="11"/>
        <v>0</v>
      </c>
      <c r="Q12" s="24" t="str">
        <f t="shared" si="12"/>
        <v>00000000,00</v>
      </c>
      <c r="R12" s="36" t="str">
        <f t="shared" si="0"/>
        <v/>
      </c>
      <c r="S12" t="str">
        <f t="shared" si="1"/>
        <v/>
      </c>
      <c r="T12" t="str">
        <f t="shared" si="2"/>
        <v/>
      </c>
    </row>
    <row r="13" spans="1:20" x14ac:dyDescent="0.2">
      <c r="A13" s="28"/>
      <c r="B13" s="24"/>
      <c r="C13" s="35"/>
      <c r="D13" s="26"/>
      <c r="E13" s="25"/>
      <c r="F13" s="25"/>
      <c r="G13" s="23"/>
      <c r="H13" s="23" t="str">
        <f t="shared" si="3"/>
        <v>0000000000000</v>
      </c>
      <c r="I13" s="23" t="str">
        <f t="shared" si="4"/>
        <v>000</v>
      </c>
      <c r="J13" s="23">
        <f t="shared" si="5"/>
        <v>1</v>
      </c>
      <c r="K13" s="23" t="str">
        <f t="shared" si="6"/>
        <v>01</v>
      </c>
      <c r="L13" s="23">
        <f t="shared" si="7"/>
        <v>1900</v>
      </c>
      <c r="M13" s="23" t="str">
        <f t="shared" si="8"/>
        <v>1900</v>
      </c>
      <c r="N13" s="23" t="str">
        <f t="shared" si="9"/>
        <v>1900/01</v>
      </c>
      <c r="O13" s="24" t="str">
        <f t="shared" si="10"/>
        <v>00</v>
      </c>
      <c r="P13" s="24" t="str">
        <f t="shared" si="11"/>
        <v>0</v>
      </c>
      <c r="Q13" s="24" t="str">
        <f t="shared" si="12"/>
        <v>00000000,00</v>
      </c>
      <c r="R13" s="36" t="str">
        <f t="shared" si="0"/>
        <v/>
      </c>
      <c r="S13" t="str">
        <f t="shared" si="1"/>
        <v/>
      </c>
      <c r="T13" t="str">
        <f t="shared" si="2"/>
        <v/>
      </c>
    </row>
    <row r="14" spans="1:20" x14ac:dyDescent="0.2">
      <c r="A14" s="28"/>
      <c r="B14" s="24"/>
      <c r="C14" s="35"/>
      <c r="D14" s="26"/>
      <c r="E14" s="25"/>
      <c r="F14" s="25"/>
      <c r="G14" s="23"/>
      <c r="H14" s="23" t="str">
        <f t="shared" si="3"/>
        <v>0000000000000</v>
      </c>
      <c r="I14" s="23" t="str">
        <f t="shared" si="4"/>
        <v>000</v>
      </c>
      <c r="J14" s="23">
        <f t="shared" si="5"/>
        <v>1</v>
      </c>
      <c r="K14" s="23" t="str">
        <f t="shared" si="6"/>
        <v>01</v>
      </c>
      <c r="L14" s="23">
        <f t="shared" si="7"/>
        <v>1900</v>
      </c>
      <c r="M14" s="23" t="str">
        <f t="shared" si="8"/>
        <v>1900</v>
      </c>
      <c r="N14" s="23" t="str">
        <f t="shared" si="9"/>
        <v>1900/01</v>
      </c>
      <c r="O14" s="24" t="str">
        <f t="shared" si="10"/>
        <v>00</v>
      </c>
      <c r="P14" s="24" t="str">
        <f t="shared" si="11"/>
        <v>0</v>
      </c>
      <c r="Q14" s="24" t="str">
        <f t="shared" si="12"/>
        <v>00000000,00</v>
      </c>
      <c r="R14" s="36" t="str">
        <f t="shared" si="0"/>
        <v/>
      </c>
      <c r="S14" t="str">
        <f t="shared" si="1"/>
        <v/>
      </c>
      <c r="T14" t="str">
        <f t="shared" si="2"/>
        <v/>
      </c>
    </row>
    <row r="15" spans="1:20" x14ac:dyDescent="0.2">
      <c r="A15" s="28"/>
      <c r="B15" s="24"/>
      <c r="C15" s="35"/>
      <c r="D15" s="26"/>
      <c r="E15" s="25"/>
      <c r="F15" s="25"/>
      <c r="G15" s="23"/>
      <c r="H15" s="23" t="str">
        <f t="shared" si="3"/>
        <v>0000000000000</v>
      </c>
      <c r="I15" s="23" t="str">
        <f t="shared" si="4"/>
        <v>000</v>
      </c>
      <c r="J15" s="23">
        <f t="shared" si="5"/>
        <v>1</v>
      </c>
      <c r="K15" s="23" t="str">
        <f t="shared" si="6"/>
        <v>01</v>
      </c>
      <c r="L15" s="23">
        <f t="shared" si="7"/>
        <v>1900</v>
      </c>
      <c r="M15" s="23" t="str">
        <f t="shared" si="8"/>
        <v>1900</v>
      </c>
      <c r="N15" s="23" t="str">
        <f t="shared" si="9"/>
        <v>1900/01</v>
      </c>
      <c r="O15" s="24" t="str">
        <f t="shared" si="10"/>
        <v>00</v>
      </c>
      <c r="P15" s="24" t="str">
        <f t="shared" si="11"/>
        <v>0</v>
      </c>
      <c r="Q15" s="24" t="str">
        <f t="shared" si="12"/>
        <v>00000000,00</v>
      </c>
      <c r="R15" s="36" t="str">
        <f t="shared" si="0"/>
        <v/>
      </c>
      <c r="S15" t="str">
        <f t="shared" si="1"/>
        <v/>
      </c>
      <c r="T15" t="str">
        <f t="shared" si="2"/>
        <v/>
      </c>
    </row>
    <row r="16" spans="1:20" x14ac:dyDescent="0.2">
      <c r="A16" s="28"/>
      <c r="B16" s="24"/>
      <c r="C16" s="35"/>
      <c r="D16" s="26"/>
      <c r="E16" s="25"/>
      <c r="F16" s="25"/>
      <c r="G16" s="23"/>
      <c r="H16" s="23" t="str">
        <f t="shared" si="3"/>
        <v>0000000000000</v>
      </c>
      <c r="I16" s="23" t="str">
        <f t="shared" si="4"/>
        <v>000</v>
      </c>
      <c r="J16" s="23">
        <f t="shared" si="5"/>
        <v>1</v>
      </c>
      <c r="K16" s="23" t="str">
        <f t="shared" si="6"/>
        <v>01</v>
      </c>
      <c r="L16" s="23">
        <f t="shared" si="7"/>
        <v>1900</v>
      </c>
      <c r="M16" s="23" t="str">
        <f t="shared" si="8"/>
        <v>1900</v>
      </c>
      <c r="N16" s="23" t="str">
        <f t="shared" si="9"/>
        <v>1900/01</v>
      </c>
      <c r="O16" s="24" t="str">
        <f t="shared" si="10"/>
        <v>00</v>
      </c>
      <c r="P16" s="24" t="str">
        <f t="shared" si="11"/>
        <v>0</v>
      </c>
      <c r="Q16" s="24" t="str">
        <f t="shared" si="12"/>
        <v>00000000,00</v>
      </c>
      <c r="R16" s="36" t="str">
        <f t="shared" si="0"/>
        <v/>
      </c>
      <c r="S16" t="str">
        <f t="shared" si="1"/>
        <v/>
      </c>
      <c r="T16" t="str">
        <f t="shared" si="2"/>
        <v/>
      </c>
    </row>
    <row r="17" spans="1:20" x14ac:dyDescent="0.2">
      <c r="A17" s="28"/>
      <c r="B17" s="24"/>
      <c r="C17" s="35"/>
      <c r="D17" s="26"/>
      <c r="E17" s="25"/>
      <c r="F17" s="25"/>
      <c r="G17" s="23"/>
      <c r="H17" s="23" t="str">
        <f t="shared" si="3"/>
        <v>0000000000000</v>
      </c>
      <c r="I17" s="23" t="str">
        <f t="shared" si="4"/>
        <v>000</v>
      </c>
      <c r="J17" s="23">
        <f t="shared" si="5"/>
        <v>1</v>
      </c>
      <c r="K17" s="23" t="str">
        <f t="shared" si="6"/>
        <v>01</v>
      </c>
      <c r="L17" s="23">
        <f t="shared" si="7"/>
        <v>1900</v>
      </c>
      <c r="M17" s="23" t="str">
        <f t="shared" si="8"/>
        <v>1900</v>
      </c>
      <c r="N17" s="23" t="str">
        <f t="shared" si="9"/>
        <v>1900/01</v>
      </c>
      <c r="O17" s="24" t="str">
        <f t="shared" si="10"/>
        <v>00</v>
      </c>
      <c r="P17" s="24" t="str">
        <f t="shared" si="11"/>
        <v>0</v>
      </c>
      <c r="Q17" s="24" t="str">
        <f t="shared" si="12"/>
        <v>00000000,00</v>
      </c>
      <c r="R17" s="36" t="str">
        <f t="shared" si="0"/>
        <v/>
      </c>
      <c r="S17" t="str">
        <f t="shared" si="1"/>
        <v/>
      </c>
      <c r="T17" t="str">
        <f t="shared" si="2"/>
        <v/>
      </c>
    </row>
    <row r="18" spans="1:20" x14ac:dyDescent="0.2">
      <c r="A18" s="28"/>
      <c r="B18" s="24"/>
      <c r="C18" s="35"/>
      <c r="D18" s="26"/>
      <c r="E18" s="25"/>
      <c r="F18" s="25"/>
      <c r="G18" s="23"/>
      <c r="H18" s="23" t="str">
        <f t="shared" si="3"/>
        <v>0000000000000</v>
      </c>
      <c r="I18" s="23" t="str">
        <f t="shared" si="4"/>
        <v>000</v>
      </c>
      <c r="J18" s="23">
        <f t="shared" si="5"/>
        <v>1</v>
      </c>
      <c r="K18" s="23" t="str">
        <f t="shared" si="6"/>
        <v>01</v>
      </c>
      <c r="L18" s="23">
        <f t="shared" si="7"/>
        <v>1900</v>
      </c>
      <c r="M18" s="23" t="str">
        <f t="shared" si="8"/>
        <v>1900</v>
      </c>
      <c r="N18" s="23" t="str">
        <f t="shared" si="9"/>
        <v>1900/01</v>
      </c>
      <c r="O18" s="24" t="str">
        <f t="shared" si="10"/>
        <v>00</v>
      </c>
      <c r="P18" s="24" t="str">
        <f t="shared" si="11"/>
        <v>0</v>
      </c>
      <c r="Q18" s="24" t="str">
        <f t="shared" si="12"/>
        <v>00000000,00</v>
      </c>
      <c r="R18" s="36" t="str">
        <f t="shared" si="0"/>
        <v/>
      </c>
      <c r="S18" t="str">
        <f t="shared" si="1"/>
        <v/>
      </c>
      <c r="T18" t="str">
        <f t="shared" si="2"/>
        <v/>
      </c>
    </row>
    <row r="19" spans="1:20" x14ac:dyDescent="0.2">
      <c r="A19" s="28"/>
      <c r="B19" s="24"/>
      <c r="C19" s="35"/>
      <c r="D19" s="26"/>
      <c r="E19" s="25"/>
      <c r="F19" s="25"/>
      <c r="G19" s="23"/>
      <c r="H19" s="23" t="str">
        <f t="shared" si="3"/>
        <v>0000000000000</v>
      </c>
      <c r="I19" s="23" t="str">
        <f t="shared" si="4"/>
        <v>000</v>
      </c>
      <c r="J19" s="23">
        <f t="shared" si="5"/>
        <v>1</v>
      </c>
      <c r="K19" s="23" t="str">
        <f t="shared" si="6"/>
        <v>01</v>
      </c>
      <c r="L19" s="23">
        <f t="shared" si="7"/>
        <v>1900</v>
      </c>
      <c r="M19" s="23" t="str">
        <f t="shared" si="8"/>
        <v>1900</v>
      </c>
      <c r="N19" s="23" t="str">
        <f t="shared" si="9"/>
        <v>1900/01</v>
      </c>
      <c r="O19" s="24" t="str">
        <f t="shared" si="10"/>
        <v>00</v>
      </c>
      <c r="P19" s="24" t="str">
        <f t="shared" si="11"/>
        <v>0</v>
      </c>
      <c r="Q19" s="24" t="str">
        <f t="shared" si="12"/>
        <v>00000000,00</v>
      </c>
      <c r="R19" s="36" t="str">
        <f t="shared" si="0"/>
        <v/>
      </c>
      <c r="S19" t="str">
        <f t="shared" si="1"/>
        <v/>
      </c>
      <c r="T19" t="str">
        <f t="shared" si="2"/>
        <v/>
      </c>
    </row>
    <row r="20" spans="1:20" x14ac:dyDescent="0.2">
      <c r="A20" s="28"/>
      <c r="B20" s="24"/>
      <c r="C20" s="35"/>
      <c r="D20" s="26"/>
      <c r="E20" s="25"/>
      <c r="F20" s="25"/>
      <c r="G20" s="23"/>
      <c r="H20" s="23" t="str">
        <f t="shared" si="3"/>
        <v>0000000000000</v>
      </c>
      <c r="I20" s="23" t="str">
        <f t="shared" si="4"/>
        <v>000</v>
      </c>
      <c r="J20" s="23">
        <f t="shared" si="5"/>
        <v>1</v>
      </c>
      <c r="K20" s="23" t="str">
        <f t="shared" si="6"/>
        <v>01</v>
      </c>
      <c r="L20" s="23">
        <f t="shared" si="7"/>
        <v>1900</v>
      </c>
      <c r="M20" s="23" t="str">
        <f t="shared" si="8"/>
        <v>1900</v>
      </c>
      <c r="N20" s="23" t="str">
        <f t="shared" si="9"/>
        <v>1900/01</v>
      </c>
      <c r="O20" s="24" t="str">
        <f t="shared" si="10"/>
        <v>00</v>
      </c>
      <c r="P20" s="24" t="str">
        <f t="shared" si="11"/>
        <v>0</v>
      </c>
      <c r="Q20" s="24" t="str">
        <f t="shared" si="12"/>
        <v>00000000,00</v>
      </c>
      <c r="R20" s="36" t="str">
        <f t="shared" si="0"/>
        <v/>
      </c>
      <c r="S20" t="str">
        <f t="shared" si="1"/>
        <v/>
      </c>
      <c r="T20" t="str">
        <f t="shared" si="2"/>
        <v/>
      </c>
    </row>
    <row r="21" spans="1:20" x14ac:dyDescent="0.2">
      <c r="A21" s="28"/>
      <c r="B21" s="24"/>
      <c r="C21" s="35"/>
      <c r="D21" s="26"/>
      <c r="E21" s="25"/>
      <c r="F21" s="25"/>
      <c r="G21" s="23"/>
      <c r="H21" s="23" t="str">
        <f t="shared" si="3"/>
        <v>0000000000000</v>
      </c>
      <c r="I21" s="23" t="str">
        <f t="shared" si="4"/>
        <v>000</v>
      </c>
      <c r="J21" s="23">
        <f t="shared" si="5"/>
        <v>1</v>
      </c>
      <c r="K21" s="23" t="str">
        <f t="shared" si="6"/>
        <v>01</v>
      </c>
      <c r="L21" s="23">
        <f t="shared" si="7"/>
        <v>1900</v>
      </c>
      <c r="M21" s="23" t="str">
        <f t="shared" si="8"/>
        <v>1900</v>
      </c>
      <c r="N21" s="23" t="str">
        <f t="shared" si="9"/>
        <v>1900/01</v>
      </c>
      <c r="O21" s="24" t="str">
        <f t="shared" si="10"/>
        <v>00</v>
      </c>
      <c r="P21" s="24" t="str">
        <f t="shared" si="11"/>
        <v>0</v>
      </c>
      <c r="Q21" s="24" t="str">
        <f t="shared" si="12"/>
        <v>00000000,00</v>
      </c>
      <c r="R21" s="36" t="str">
        <f t="shared" si="0"/>
        <v/>
      </c>
      <c r="S21" t="str">
        <f t="shared" si="1"/>
        <v/>
      </c>
      <c r="T21" t="str">
        <f t="shared" si="2"/>
        <v/>
      </c>
    </row>
    <row r="22" spans="1:20" x14ac:dyDescent="0.2">
      <c r="A22" s="28"/>
      <c r="B22" s="24"/>
      <c r="C22" s="35"/>
      <c r="D22" s="26"/>
      <c r="E22" s="25"/>
      <c r="F22" s="25"/>
      <c r="G22" s="23"/>
      <c r="H22" s="23" t="str">
        <f t="shared" si="3"/>
        <v>0000000000000</v>
      </c>
      <c r="I22" s="23" t="str">
        <f t="shared" si="4"/>
        <v>000</v>
      </c>
      <c r="J22" s="23">
        <f t="shared" si="5"/>
        <v>1</v>
      </c>
      <c r="K22" s="23" t="str">
        <f t="shared" si="6"/>
        <v>01</v>
      </c>
      <c r="L22" s="23">
        <f t="shared" si="7"/>
        <v>1900</v>
      </c>
      <c r="M22" s="23" t="str">
        <f t="shared" si="8"/>
        <v>1900</v>
      </c>
      <c r="N22" s="23" t="str">
        <f t="shared" si="9"/>
        <v>1900/01</v>
      </c>
      <c r="O22" s="24" t="str">
        <f t="shared" si="10"/>
        <v>00</v>
      </c>
      <c r="P22" s="24" t="str">
        <f t="shared" si="11"/>
        <v>0</v>
      </c>
      <c r="Q22" s="24" t="str">
        <f t="shared" si="12"/>
        <v>00000000,00</v>
      </c>
      <c r="R22" s="36" t="str">
        <f t="shared" si="0"/>
        <v/>
      </c>
      <c r="S22" t="str">
        <f t="shared" si="1"/>
        <v/>
      </c>
      <c r="T22" t="str">
        <f t="shared" si="2"/>
        <v/>
      </c>
    </row>
    <row r="23" spans="1:20" x14ac:dyDescent="0.2">
      <c r="A23" s="28"/>
      <c r="B23" s="24"/>
      <c r="C23" s="35"/>
      <c r="D23" s="26"/>
      <c r="E23" s="25"/>
      <c r="F23" s="25"/>
      <c r="G23" s="23"/>
      <c r="H23" s="23" t="str">
        <f t="shared" si="3"/>
        <v>0000000000000</v>
      </c>
      <c r="I23" s="23" t="str">
        <f t="shared" si="4"/>
        <v>000</v>
      </c>
      <c r="J23" s="23">
        <f t="shared" si="5"/>
        <v>1</v>
      </c>
      <c r="K23" s="23" t="str">
        <f t="shared" si="6"/>
        <v>01</v>
      </c>
      <c r="L23" s="23">
        <f t="shared" si="7"/>
        <v>1900</v>
      </c>
      <c r="M23" s="23" t="str">
        <f t="shared" si="8"/>
        <v>1900</v>
      </c>
      <c r="N23" s="23" t="str">
        <f t="shared" si="9"/>
        <v>1900/01</v>
      </c>
      <c r="O23" s="24" t="str">
        <f t="shared" si="10"/>
        <v>00</v>
      </c>
      <c r="P23" s="24" t="str">
        <f t="shared" si="11"/>
        <v>0</v>
      </c>
      <c r="Q23" s="24" t="str">
        <f t="shared" si="12"/>
        <v>00000000,00</v>
      </c>
      <c r="R23" s="36" t="str">
        <f t="shared" si="0"/>
        <v/>
      </c>
      <c r="S23" t="str">
        <f t="shared" si="1"/>
        <v/>
      </c>
      <c r="T23" t="str">
        <f t="shared" si="2"/>
        <v/>
      </c>
    </row>
    <row r="24" spans="1:20" x14ac:dyDescent="0.2">
      <c r="A24" s="28"/>
      <c r="B24" s="24"/>
      <c r="C24" s="35"/>
      <c r="D24" s="26"/>
      <c r="E24" s="25"/>
      <c r="F24" s="25"/>
      <c r="G24" s="23"/>
      <c r="H24" s="23" t="str">
        <f t="shared" si="3"/>
        <v>0000000000000</v>
      </c>
      <c r="I24" s="23" t="str">
        <f t="shared" si="4"/>
        <v>000</v>
      </c>
      <c r="J24" s="23">
        <f t="shared" si="5"/>
        <v>1</v>
      </c>
      <c r="K24" s="23" t="str">
        <f t="shared" si="6"/>
        <v>01</v>
      </c>
      <c r="L24" s="23">
        <f t="shared" si="7"/>
        <v>1900</v>
      </c>
      <c r="M24" s="23" t="str">
        <f t="shared" si="8"/>
        <v>1900</v>
      </c>
      <c r="N24" s="23" t="str">
        <f t="shared" si="9"/>
        <v>1900/01</v>
      </c>
      <c r="O24" s="24" t="str">
        <f t="shared" si="10"/>
        <v>00</v>
      </c>
      <c r="P24" s="24" t="str">
        <f t="shared" si="11"/>
        <v>0</v>
      </c>
      <c r="Q24" s="24" t="str">
        <f t="shared" si="12"/>
        <v>00000000,00</v>
      </c>
      <c r="R24" s="36" t="str">
        <f t="shared" si="0"/>
        <v/>
      </c>
      <c r="S24" t="str">
        <f t="shared" si="1"/>
        <v/>
      </c>
      <c r="T24" t="str">
        <f t="shared" si="2"/>
        <v/>
      </c>
    </row>
    <row r="25" spans="1:20" x14ac:dyDescent="0.2">
      <c r="A25" s="28"/>
      <c r="B25" s="24"/>
      <c r="C25" s="35"/>
      <c r="D25" s="26"/>
      <c r="E25" s="25"/>
      <c r="F25" s="25"/>
      <c r="G25" s="23"/>
      <c r="H25" s="23" t="str">
        <f t="shared" si="3"/>
        <v>0000000000000</v>
      </c>
      <c r="I25" s="23" t="str">
        <f t="shared" si="4"/>
        <v>000</v>
      </c>
      <c r="J25" s="23">
        <f t="shared" si="5"/>
        <v>1</v>
      </c>
      <c r="K25" s="23" t="str">
        <f t="shared" si="6"/>
        <v>01</v>
      </c>
      <c r="L25" s="23">
        <f t="shared" si="7"/>
        <v>1900</v>
      </c>
      <c r="M25" s="23" t="str">
        <f t="shared" si="8"/>
        <v>1900</v>
      </c>
      <c r="N25" s="23" t="str">
        <f t="shared" si="9"/>
        <v>1900/01</v>
      </c>
      <c r="O25" s="24" t="str">
        <f t="shared" si="10"/>
        <v>00</v>
      </c>
      <c r="P25" s="24" t="str">
        <f t="shared" si="11"/>
        <v>0</v>
      </c>
      <c r="Q25" s="24" t="str">
        <f t="shared" si="12"/>
        <v>00000000,00</v>
      </c>
      <c r="R25" s="36" t="str">
        <f t="shared" si="0"/>
        <v/>
      </c>
      <c r="S25" t="str">
        <f t="shared" si="1"/>
        <v/>
      </c>
      <c r="T25" t="str">
        <f t="shared" si="2"/>
        <v/>
      </c>
    </row>
    <row r="26" spans="1:20" x14ac:dyDescent="0.2">
      <c r="A26" s="28"/>
      <c r="B26" s="24"/>
      <c r="C26" s="35"/>
      <c r="D26" s="26"/>
      <c r="E26" s="25"/>
      <c r="F26" s="25"/>
      <c r="G26" s="23"/>
      <c r="H26" s="23" t="str">
        <f t="shared" si="3"/>
        <v>0000000000000</v>
      </c>
      <c r="I26" s="23" t="str">
        <f t="shared" si="4"/>
        <v>000</v>
      </c>
      <c r="J26" s="23">
        <f t="shared" si="5"/>
        <v>1</v>
      </c>
      <c r="K26" s="23" t="str">
        <f t="shared" si="6"/>
        <v>01</v>
      </c>
      <c r="L26" s="23">
        <f t="shared" si="7"/>
        <v>1900</v>
      </c>
      <c r="M26" s="23" t="str">
        <f t="shared" si="8"/>
        <v>1900</v>
      </c>
      <c r="N26" s="23" t="str">
        <f t="shared" si="9"/>
        <v>1900/01</v>
      </c>
      <c r="O26" s="24" t="str">
        <f t="shared" si="10"/>
        <v>00</v>
      </c>
      <c r="P26" s="24" t="str">
        <f t="shared" si="11"/>
        <v>0</v>
      </c>
      <c r="Q26" s="24" t="str">
        <f t="shared" si="12"/>
        <v>00000000,00</v>
      </c>
      <c r="R26" s="36" t="str">
        <f t="shared" si="0"/>
        <v/>
      </c>
      <c r="S26" t="str">
        <f t="shared" si="1"/>
        <v/>
      </c>
      <c r="T26" t="str">
        <f t="shared" si="2"/>
        <v/>
      </c>
    </row>
    <row r="27" spans="1:20" x14ac:dyDescent="0.2">
      <c r="A27" s="28"/>
      <c r="B27" s="24"/>
      <c r="C27" s="35"/>
      <c r="D27" s="26"/>
      <c r="E27" s="25"/>
      <c r="F27" s="25"/>
      <c r="G27" s="23"/>
      <c r="H27" s="23" t="str">
        <f t="shared" si="3"/>
        <v>0000000000000</v>
      </c>
      <c r="I27" s="23" t="str">
        <f t="shared" si="4"/>
        <v>000</v>
      </c>
      <c r="J27" s="23">
        <f t="shared" si="5"/>
        <v>1</v>
      </c>
      <c r="K27" s="23" t="str">
        <f t="shared" si="6"/>
        <v>01</v>
      </c>
      <c r="L27" s="23">
        <f t="shared" si="7"/>
        <v>1900</v>
      </c>
      <c r="M27" s="23" t="str">
        <f t="shared" si="8"/>
        <v>1900</v>
      </c>
      <c r="N27" s="23" t="str">
        <f t="shared" si="9"/>
        <v>1900/01</v>
      </c>
      <c r="O27" s="24" t="str">
        <f t="shared" si="10"/>
        <v>00</v>
      </c>
      <c r="P27" s="24" t="str">
        <f t="shared" si="11"/>
        <v>0</v>
      </c>
      <c r="Q27" s="24" t="str">
        <f t="shared" si="12"/>
        <v>00000000,00</v>
      </c>
      <c r="R27" s="36" t="str">
        <f t="shared" si="0"/>
        <v/>
      </c>
      <c r="S27" t="str">
        <f t="shared" si="1"/>
        <v/>
      </c>
      <c r="T27" t="str">
        <f t="shared" si="2"/>
        <v/>
      </c>
    </row>
    <row r="28" spans="1:20" x14ac:dyDescent="0.2">
      <c r="A28" s="28"/>
      <c r="B28" s="24"/>
      <c r="C28" s="35"/>
      <c r="D28" s="26"/>
      <c r="E28" s="25"/>
      <c r="F28" s="25"/>
      <c r="G28" s="23"/>
      <c r="H28" s="23" t="str">
        <f t="shared" si="3"/>
        <v>0000000000000</v>
      </c>
      <c r="I28" s="23" t="str">
        <f t="shared" si="4"/>
        <v>000</v>
      </c>
      <c r="J28" s="23">
        <f t="shared" si="5"/>
        <v>1</v>
      </c>
      <c r="K28" s="23" t="str">
        <f t="shared" si="6"/>
        <v>01</v>
      </c>
      <c r="L28" s="23">
        <f t="shared" si="7"/>
        <v>1900</v>
      </c>
      <c r="M28" s="23" t="str">
        <f t="shared" si="8"/>
        <v>1900</v>
      </c>
      <c r="N28" s="23" t="str">
        <f t="shared" si="9"/>
        <v>1900/01</v>
      </c>
      <c r="O28" s="24" t="str">
        <f t="shared" si="10"/>
        <v>00</v>
      </c>
      <c r="P28" s="24" t="str">
        <f t="shared" si="11"/>
        <v>0</v>
      </c>
      <c r="Q28" s="24" t="str">
        <f t="shared" si="12"/>
        <v>00000000,00</v>
      </c>
      <c r="R28" s="36" t="str">
        <f t="shared" si="0"/>
        <v/>
      </c>
      <c r="S28" t="str">
        <f t="shared" si="1"/>
        <v/>
      </c>
      <c r="T28" t="str">
        <f t="shared" si="2"/>
        <v/>
      </c>
    </row>
    <row r="29" spans="1:20" x14ac:dyDescent="0.2">
      <c r="A29" s="28"/>
      <c r="B29" s="24"/>
      <c r="C29" s="35"/>
      <c r="D29" s="26"/>
      <c r="E29" s="25"/>
      <c r="F29" s="25"/>
      <c r="G29" s="23"/>
      <c r="H29" s="23" t="str">
        <f t="shared" si="3"/>
        <v>0000000000000</v>
      </c>
      <c r="I29" s="23" t="str">
        <f t="shared" si="4"/>
        <v>000</v>
      </c>
      <c r="J29" s="23">
        <f t="shared" si="5"/>
        <v>1</v>
      </c>
      <c r="K29" s="23" t="str">
        <f t="shared" si="6"/>
        <v>01</v>
      </c>
      <c r="L29" s="23">
        <f t="shared" si="7"/>
        <v>1900</v>
      </c>
      <c r="M29" s="23" t="str">
        <f t="shared" si="8"/>
        <v>1900</v>
      </c>
      <c r="N29" s="23" t="str">
        <f t="shared" si="9"/>
        <v>1900/01</v>
      </c>
      <c r="O29" s="24" t="str">
        <f t="shared" si="10"/>
        <v>00</v>
      </c>
      <c r="P29" s="24" t="str">
        <f t="shared" si="11"/>
        <v>0</v>
      </c>
      <c r="Q29" s="24" t="str">
        <f t="shared" si="12"/>
        <v>00000000,00</v>
      </c>
      <c r="R29" s="36" t="str">
        <f t="shared" si="0"/>
        <v/>
      </c>
      <c r="S29" t="str">
        <f t="shared" si="1"/>
        <v/>
      </c>
      <c r="T29" t="str">
        <f t="shared" si="2"/>
        <v/>
      </c>
    </row>
    <row r="30" spans="1:20" x14ac:dyDescent="0.2">
      <c r="A30" s="28"/>
      <c r="B30" s="24"/>
      <c r="C30" s="35"/>
      <c r="D30" s="26"/>
      <c r="E30" s="25"/>
      <c r="F30" s="25"/>
      <c r="G30" s="23"/>
      <c r="H30" s="23" t="str">
        <f t="shared" si="3"/>
        <v>0000000000000</v>
      </c>
      <c r="I30" s="23" t="str">
        <f t="shared" si="4"/>
        <v>000</v>
      </c>
      <c r="J30" s="23">
        <f t="shared" si="5"/>
        <v>1</v>
      </c>
      <c r="K30" s="23" t="str">
        <f t="shared" si="6"/>
        <v>01</v>
      </c>
      <c r="L30" s="23">
        <f t="shared" si="7"/>
        <v>1900</v>
      </c>
      <c r="M30" s="23" t="str">
        <f t="shared" si="8"/>
        <v>1900</v>
      </c>
      <c r="N30" s="23" t="str">
        <f t="shared" si="9"/>
        <v>1900/01</v>
      </c>
      <c r="O30" s="24" t="str">
        <f t="shared" si="10"/>
        <v>00</v>
      </c>
      <c r="P30" s="24" t="str">
        <f t="shared" si="11"/>
        <v>0</v>
      </c>
      <c r="Q30" s="24" t="str">
        <f t="shared" si="12"/>
        <v>00000000,00</v>
      </c>
      <c r="R30" s="36" t="str">
        <f t="shared" si="0"/>
        <v/>
      </c>
      <c r="S30" t="str">
        <f t="shared" si="1"/>
        <v/>
      </c>
      <c r="T30" t="str">
        <f t="shared" si="2"/>
        <v/>
      </c>
    </row>
    <row r="31" spans="1:20" x14ac:dyDescent="0.2">
      <c r="A31" s="28"/>
      <c r="B31" s="24"/>
      <c r="C31" s="35"/>
      <c r="D31" s="26"/>
      <c r="E31" s="25"/>
      <c r="F31" s="25"/>
      <c r="G31" s="23"/>
      <c r="H31" s="23" t="str">
        <f t="shared" si="3"/>
        <v>0000000000000</v>
      </c>
      <c r="I31" s="23" t="str">
        <f t="shared" si="4"/>
        <v>000</v>
      </c>
      <c r="J31" s="23">
        <f t="shared" si="5"/>
        <v>1</v>
      </c>
      <c r="K31" s="23" t="str">
        <f t="shared" si="6"/>
        <v>01</v>
      </c>
      <c r="L31" s="23">
        <f t="shared" si="7"/>
        <v>1900</v>
      </c>
      <c r="M31" s="23" t="str">
        <f t="shared" si="8"/>
        <v>1900</v>
      </c>
      <c r="N31" s="23" t="str">
        <f t="shared" si="9"/>
        <v>1900/01</v>
      </c>
      <c r="O31" s="24" t="str">
        <f t="shared" si="10"/>
        <v>00</v>
      </c>
      <c r="P31" s="24" t="str">
        <f t="shared" si="11"/>
        <v>0</v>
      </c>
      <c r="Q31" s="24" t="str">
        <f t="shared" si="12"/>
        <v>00000000,00</v>
      </c>
      <c r="R31" s="36" t="str">
        <f t="shared" si="0"/>
        <v/>
      </c>
      <c r="S31" t="str">
        <f t="shared" si="1"/>
        <v/>
      </c>
      <c r="T31" t="str">
        <f t="shared" si="2"/>
        <v/>
      </c>
    </row>
    <row r="32" spans="1:20" x14ac:dyDescent="0.2">
      <c r="A32" s="28"/>
      <c r="B32" s="24"/>
      <c r="C32" s="35"/>
      <c r="D32" s="26"/>
      <c r="E32" s="25"/>
      <c r="F32" s="25"/>
      <c r="G32" s="23"/>
      <c r="H32" s="23" t="str">
        <f t="shared" si="3"/>
        <v>0000000000000</v>
      </c>
      <c r="I32" s="23" t="str">
        <f t="shared" si="4"/>
        <v>000</v>
      </c>
      <c r="J32" s="23">
        <f t="shared" si="5"/>
        <v>1</v>
      </c>
      <c r="K32" s="23" t="str">
        <f t="shared" si="6"/>
        <v>01</v>
      </c>
      <c r="L32" s="23">
        <f t="shared" si="7"/>
        <v>1900</v>
      </c>
      <c r="M32" s="23" t="str">
        <f t="shared" si="8"/>
        <v>1900</v>
      </c>
      <c r="N32" s="23" t="str">
        <f t="shared" si="9"/>
        <v>1900/01</v>
      </c>
      <c r="O32" s="24" t="str">
        <f t="shared" si="10"/>
        <v>00</v>
      </c>
      <c r="P32" s="24" t="str">
        <f t="shared" si="11"/>
        <v>0</v>
      </c>
      <c r="Q32" s="24" t="str">
        <f t="shared" si="12"/>
        <v>00000000,00</v>
      </c>
      <c r="R32" s="36" t="str">
        <f t="shared" si="0"/>
        <v/>
      </c>
      <c r="S32" t="str">
        <f t="shared" si="1"/>
        <v/>
      </c>
      <c r="T32" t="str">
        <f t="shared" si="2"/>
        <v/>
      </c>
    </row>
    <row r="33" spans="1:20" x14ac:dyDescent="0.2">
      <c r="A33" s="28"/>
      <c r="B33" s="24"/>
      <c r="C33" s="35"/>
      <c r="D33" s="26"/>
      <c r="E33" s="25"/>
      <c r="F33" s="25"/>
      <c r="G33" s="23"/>
      <c r="H33" s="23" t="str">
        <f t="shared" si="3"/>
        <v>0000000000000</v>
      </c>
      <c r="I33" s="23" t="str">
        <f t="shared" si="4"/>
        <v>000</v>
      </c>
      <c r="J33" s="23">
        <f t="shared" si="5"/>
        <v>1</v>
      </c>
      <c r="K33" s="23" t="str">
        <f t="shared" si="6"/>
        <v>01</v>
      </c>
      <c r="L33" s="23">
        <f t="shared" si="7"/>
        <v>1900</v>
      </c>
      <c r="M33" s="23" t="str">
        <f t="shared" si="8"/>
        <v>1900</v>
      </c>
      <c r="N33" s="23" t="str">
        <f t="shared" si="9"/>
        <v>1900/01</v>
      </c>
      <c r="O33" s="24" t="str">
        <f t="shared" si="10"/>
        <v>00</v>
      </c>
      <c r="P33" s="24" t="str">
        <f t="shared" si="11"/>
        <v>0</v>
      </c>
      <c r="Q33" s="24" t="str">
        <f t="shared" si="12"/>
        <v>00000000,00</v>
      </c>
      <c r="R33" s="36" t="str">
        <f t="shared" si="0"/>
        <v/>
      </c>
      <c r="S33" t="str">
        <f t="shared" si="1"/>
        <v/>
      </c>
      <c r="T33" t="str">
        <f t="shared" si="2"/>
        <v/>
      </c>
    </row>
    <row r="34" spans="1:20" x14ac:dyDescent="0.2">
      <c r="A34" s="28"/>
      <c r="B34" s="24"/>
      <c r="C34" s="35"/>
      <c r="D34" s="26"/>
      <c r="E34" s="25"/>
      <c r="F34" s="25"/>
      <c r="G34" s="23"/>
      <c r="H34" s="23" t="str">
        <f t="shared" si="3"/>
        <v>0000000000000</v>
      </c>
      <c r="I34" s="23" t="str">
        <f t="shared" si="4"/>
        <v>000</v>
      </c>
      <c r="J34" s="23">
        <f t="shared" si="5"/>
        <v>1</v>
      </c>
      <c r="K34" s="23" t="str">
        <f t="shared" si="6"/>
        <v>01</v>
      </c>
      <c r="L34" s="23">
        <f t="shared" si="7"/>
        <v>1900</v>
      </c>
      <c r="M34" s="23" t="str">
        <f t="shared" si="8"/>
        <v>1900</v>
      </c>
      <c r="N34" s="23" t="str">
        <f t="shared" si="9"/>
        <v>1900/01</v>
      </c>
      <c r="O34" s="24" t="str">
        <f t="shared" si="10"/>
        <v>00</v>
      </c>
      <c r="P34" s="24" t="str">
        <f t="shared" si="11"/>
        <v>0</v>
      </c>
      <c r="Q34" s="24" t="str">
        <f t="shared" si="12"/>
        <v>00000000,00</v>
      </c>
      <c r="R34" s="36" t="str">
        <f t="shared" si="0"/>
        <v/>
      </c>
      <c r="S34" t="str">
        <f t="shared" si="1"/>
        <v/>
      </c>
      <c r="T34" t="str">
        <f t="shared" si="2"/>
        <v/>
      </c>
    </row>
    <row r="35" spans="1:20" x14ac:dyDescent="0.2">
      <c r="A35" s="28"/>
      <c r="B35" s="24"/>
      <c r="C35" s="35"/>
      <c r="D35" s="26"/>
      <c r="E35" s="25"/>
      <c r="F35" s="25"/>
      <c r="G35" s="23"/>
      <c r="H35" s="23" t="str">
        <f t="shared" si="3"/>
        <v>0000000000000</v>
      </c>
      <c r="I35" s="23" t="str">
        <f t="shared" si="4"/>
        <v>000</v>
      </c>
      <c r="J35" s="23">
        <f t="shared" si="5"/>
        <v>1</v>
      </c>
      <c r="K35" s="23" t="str">
        <f t="shared" si="6"/>
        <v>01</v>
      </c>
      <c r="L35" s="23">
        <f t="shared" si="7"/>
        <v>1900</v>
      </c>
      <c r="M35" s="23" t="str">
        <f t="shared" si="8"/>
        <v>1900</v>
      </c>
      <c r="N35" s="23" t="str">
        <f t="shared" si="9"/>
        <v>1900/01</v>
      </c>
      <c r="O35" s="24" t="str">
        <f t="shared" si="10"/>
        <v>00</v>
      </c>
      <c r="P35" s="24" t="str">
        <f t="shared" si="11"/>
        <v>0</v>
      </c>
      <c r="Q35" s="24" t="str">
        <f t="shared" si="12"/>
        <v>00000000,00</v>
      </c>
      <c r="R35" s="36" t="str">
        <f t="shared" si="0"/>
        <v/>
      </c>
      <c r="S35" t="str">
        <f t="shared" si="1"/>
        <v/>
      </c>
      <c r="T35" t="str">
        <f t="shared" si="2"/>
        <v/>
      </c>
    </row>
    <row r="36" spans="1:20" x14ac:dyDescent="0.2">
      <c r="A36" s="28"/>
      <c r="B36" s="24"/>
      <c r="C36" s="35"/>
      <c r="D36" s="26"/>
      <c r="E36" s="25"/>
      <c r="F36" s="25"/>
      <c r="G36" s="23"/>
      <c r="H36" s="23" t="str">
        <f t="shared" si="3"/>
        <v>0000000000000</v>
      </c>
      <c r="I36" s="23" t="str">
        <f t="shared" si="4"/>
        <v>000</v>
      </c>
      <c r="J36" s="23">
        <f t="shared" si="5"/>
        <v>1</v>
      </c>
      <c r="K36" s="23" t="str">
        <f t="shared" si="6"/>
        <v>01</v>
      </c>
      <c r="L36" s="23">
        <f t="shared" si="7"/>
        <v>1900</v>
      </c>
      <c r="M36" s="23" t="str">
        <f t="shared" si="8"/>
        <v>1900</v>
      </c>
      <c r="N36" s="23" t="str">
        <f t="shared" si="9"/>
        <v>1900/01</v>
      </c>
      <c r="O36" s="24" t="str">
        <f t="shared" si="10"/>
        <v>00</v>
      </c>
      <c r="P36" s="24" t="str">
        <f t="shared" si="11"/>
        <v>0</v>
      </c>
      <c r="Q36" s="24" t="str">
        <f t="shared" si="12"/>
        <v>00000000,00</v>
      </c>
      <c r="R36" s="36" t="str">
        <f t="shared" si="0"/>
        <v/>
      </c>
      <c r="S36" t="str">
        <f t="shared" si="1"/>
        <v/>
      </c>
      <c r="T36" t="str">
        <f t="shared" si="2"/>
        <v/>
      </c>
    </row>
    <row r="37" spans="1:20" x14ac:dyDescent="0.2">
      <c r="A37" s="28"/>
      <c r="B37" s="24"/>
      <c r="C37" s="35"/>
      <c r="D37" s="26"/>
      <c r="E37" s="25"/>
      <c r="F37" s="25"/>
      <c r="G37" s="23"/>
      <c r="H37" s="23" t="str">
        <f t="shared" si="3"/>
        <v>0000000000000</v>
      </c>
      <c r="I37" s="23" t="str">
        <f t="shared" si="4"/>
        <v>000</v>
      </c>
      <c r="J37" s="23">
        <f t="shared" si="5"/>
        <v>1</v>
      </c>
      <c r="K37" s="23" t="str">
        <f t="shared" si="6"/>
        <v>01</v>
      </c>
      <c r="L37" s="23">
        <f t="shared" si="7"/>
        <v>1900</v>
      </c>
      <c r="M37" s="23" t="str">
        <f t="shared" si="8"/>
        <v>1900</v>
      </c>
      <c r="N37" s="23" t="str">
        <f t="shared" si="9"/>
        <v>1900/01</v>
      </c>
      <c r="O37" s="24" t="str">
        <f t="shared" si="10"/>
        <v>00</v>
      </c>
      <c r="P37" s="24" t="str">
        <f t="shared" si="11"/>
        <v>0</v>
      </c>
      <c r="Q37" s="24" t="str">
        <f t="shared" si="12"/>
        <v>00000000,00</v>
      </c>
      <c r="R37" s="36" t="str">
        <f t="shared" si="0"/>
        <v/>
      </c>
      <c r="S37" t="str">
        <f t="shared" si="1"/>
        <v/>
      </c>
      <c r="T37" t="str">
        <f t="shared" si="2"/>
        <v/>
      </c>
    </row>
    <row r="38" spans="1:20" x14ac:dyDescent="0.2">
      <c r="A38" s="28"/>
      <c r="B38" s="24"/>
      <c r="C38" s="35"/>
      <c r="D38" s="26"/>
      <c r="E38" s="25"/>
      <c r="F38" s="25"/>
      <c r="G38" s="23"/>
      <c r="H38" s="23" t="str">
        <f t="shared" si="3"/>
        <v>0000000000000</v>
      </c>
      <c r="I38" s="23" t="str">
        <f t="shared" si="4"/>
        <v>000</v>
      </c>
      <c r="J38" s="23">
        <f t="shared" si="5"/>
        <v>1</v>
      </c>
      <c r="K38" s="23" t="str">
        <f t="shared" si="6"/>
        <v>01</v>
      </c>
      <c r="L38" s="23">
        <f t="shared" si="7"/>
        <v>1900</v>
      </c>
      <c r="M38" s="23" t="str">
        <f t="shared" si="8"/>
        <v>1900</v>
      </c>
      <c r="N38" s="23" t="str">
        <f t="shared" si="9"/>
        <v>1900/01</v>
      </c>
      <c r="O38" s="24" t="str">
        <f t="shared" si="10"/>
        <v>00</v>
      </c>
      <c r="P38" s="24" t="str">
        <f t="shared" si="11"/>
        <v>0</v>
      </c>
      <c r="Q38" s="24" t="str">
        <f t="shared" si="12"/>
        <v>00000000,00</v>
      </c>
      <c r="R38" s="36" t="str">
        <f t="shared" si="0"/>
        <v/>
      </c>
      <c r="S38" t="str">
        <f t="shared" si="1"/>
        <v/>
      </c>
      <c r="T38" t="str">
        <f t="shared" si="2"/>
        <v/>
      </c>
    </row>
    <row r="39" spans="1:20" x14ac:dyDescent="0.2">
      <c r="A39" s="28"/>
      <c r="B39" s="24"/>
      <c r="C39" s="35"/>
      <c r="D39" s="26"/>
      <c r="E39" s="25"/>
      <c r="F39" s="25"/>
      <c r="G39" s="23"/>
      <c r="H39" s="23" t="str">
        <f t="shared" si="3"/>
        <v>0000000000000</v>
      </c>
      <c r="I39" s="23" t="str">
        <f t="shared" si="4"/>
        <v>000</v>
      </c>
      <c r="J39" s="23">
        <f t="shared" si="5"/>
        <v>1</v>
      </c>
      <c r="K39" s="23" t="str">
        <f t="shared" si="6"/>
        <v>01</v>
      </c>
      <c r="L39" s="23">
        <f t="shared" si="7"/>
        <v>1900</v>
      </c>
      <c r="M39" s="23" t="str">
        <f t="shared" si="8"/>
        <v>1900</v>
      </c>
      <c r="N39" s="23" t="str">
        <f t="shared" si="9"/>
        <v>1900/01</v>
      </c>
      <c r="O39" s="24" t="str">
        <f t="shared" si="10"/>
        <v>00</v>
      </c>
      <c r="P39" s="24" t="str">
        <f t="shared" si="11"/>
        <v>0</v>
      </c>
      <c r="Q39" s="24" t="str">
        <f t="shared" si="12"/>
        <v>00000000,00</v>
      </c>
      <c r="R39" s="36" t="str">
        <f t="shared" si="0"/>
        <v/>
      </c>
      <c r="S39" t="str">
        <f t="shared" si="1"/>
        <v/>
      </c>
      <c r="T39" t="str">
        <f t="shared" si="2"/>
        <v/>
      </c>
    </row>
    <row r="40" spans="1:20" x14ac:dyDescent="0.2">
      <c r="A40" s="28"/>
      <c r="B40" s="24"/>
      <c r="C40" s="35"/>
      <c r="D40" s="26"/>
      <c r="E40" s="25"/>
      <c r="F40" s="25"/>
      <c r="G40" s="23"/>
      <c r="H40" s="23" t="str">
        <f t="shared" si="3"/>
        <v>0000000000000</v>
      </c>
      <c r="I40" s="23" t="str">
        <f t="shared" si="4"/>
        <v>000</v>
      </c>
      <c r="J40" s="23">
        <f t="shared" si="5"/>
        <v>1</v>
      </c>
      <c r="K40" s="23" t="str">
        <f t="shared" si="6"/>
        <v>01</v>
      </c>
      <c r="L40" s="23">
        <f t="shared" si="7"/>
        <v>1900</v>
      </c>
      <c r="M40" s="23" t="str">
        <f t="shared" si="8"/>
        <v>1900</v>
      </c>
      <c r="N40" s="23" t="str">
        <f t="shared" si="9"/>
        <v>1900/01</v>
      </c>
      <c r="O40" s="24" t="str">
        <f t="shared" si="10"/>
        <v>00</v>
      </c>
      <c r="P40" s="24" t="str">
        <f t="shared" si="11"/>
        <v>0</v>
      </c>
      <c r="Q40" s="24" t="str">
        <f t="shared" si="12"/>
        <v>00000000,00</v>
      </c>
      <c r="R40" s="36" t="str">
        <f t="shared" si="0"/>
        <v/>
      </c>
      <c r="S40" t="str">
        <f t="shared" si="1"/>
        <v/>
      </c>
      <c r="T40" t="str">
        <f t="shared" si="2"/>
        <v/>
      </c>
    </row>
    <row r="41" spans="1:20" x14ac:dyDescent="0.2">
      <c r="A41" s="28"/>
      <c r="B41" s="24"/>
      <c r="C41" s="35"/>
      <c r="D41" s="26"/>
      <c r="E41" s="25"/>
      <c r="F41" s="25"/>
      <c r="G41" s="23"/>
      <c r="H41" s="23" t="str">
        <f t="shared" si="3"/>
        <v>0000000000000</v>
      </c>
      <c r="I41" s="23" t="str">
        <f t="shared" si="4"/>
        <v>000</v>
      </c>
      <c r="J41" s="23">
        <f t="shared" si="5"/>
        <v>1</v>
      </c>
      <c r="K41" s="23" t="str">
        <f t="shared" si="6"/>
        <v>01</v>
      </c>
      <c r="L41" s="23">
        <f t="shared" si="7"/>
        <v>1900</v>
      </c>
      <c r="M41" s="23" t="str">
        <f t="shared" si="8"/>
        <v>1900</v>
      </c>
      <c r="N41" s="23" t="str">
        <f t="shared" si="9"/>
        <v>1900/01</v>
      </c>
      <c r="O41" s="24" t="str">
        <f t="shared" si="10"/>
        <v>00</v>
      </c>
      <c r="P41" s="24" t="str">
        <f t="shared" si="11"/>
        <v>0</v>
      </c>
      <c r="Q41" s="24" t="str">
        <f t="shared" si="12"/>
        <v>00000000,00</v>
      </c>
      <c r="R41" s="36" t="str">
        <f t="shared" si="0"/>
        <v/>
      </c>
      <c r="S41" t="str">
        <f t="shared" si="1"/>
        <v/>
      </c>
      <c r="T41" t="str">
        <f t="shared" si="2"/>
        <v/>
      </c>
    </row>
    <row r="42" spans="1:20" x14ac:dyDescent="0.2">
      <c r="A42" s="28"/>
      <c r="B42" s="24"/>
      <c r="C42" s="35"/>
      <c r="D42" s="26"/>
      <c r="E42" s="25"/>
      <c r="F42" s="25"/>
      <c r="G42" s="23"/>
      <c r="H42" s="23" t="str">
        <f t="shared" si="3"/>
        <v>0000000000000</v>
      </c>
      <c r="I42" s="23" t="str">
        <f t="shared" si="4"/>
        <v>000</v>
      </c>
      <c r="J42" s="23">
        <f t="shared" si="5"/>
        <v>1</v>
      </c>
      <c r="K42" s="23" t="str">
        <f t="shared" si="6"/>
        <v>01</v>
      </c>
      <c r="L42" s="23">
        <f t="shared" si="7"/>
        <v>1900</v>
      </c>
      <c r="M42" s="23" t="str">
        <f t="shared" si="8"/>
        <v>1900</v>
      </c>
      <c r="N42" s="23" t="str">
        <f t="shared" si="9"/>
        <v>1900/01</v>
      </c>
      <c r="O42" s="24" t="str">
        <f t="shared" si="10"/>
        <v>00</v>
      </c>
      <c r="P42" s="24" t="str">
        <f t="shared" si="11"/>
        <v>0</v>
      </c>
      <c r="Q42" s="24" t="str">
        <f t="shared" si="12"/>
        <v>00000000,00</v>
      </c>
      <c r="R42" s="36" t="str">
        <f t="shared" si="0"/>
        <v/>
      </c>
      <c r="S42" t="str">
        <f t="shared" si="1"/>
        <v/>
      </c>
      <c r="T42" t="str">
        <f t="shared" si="2"/>
        <v/>
      </c>
    </row>
    <row r="43" spans="1:20" x14ac:dyDescent="0.2">
      <c r="A43" s="28"/>
      <c r="B43" s="24"/>
      <c r="C43" s="35"/>
      <c r="D43" s="26"/>
      <c r="E43" s="25"/>
      <c r="F43" s="25"/>
      <c r="G43" s="23"/>
      <c r="H43" s="23" t="str">
        <f t="shared" si="3"/>
        <v>0000000000000</v>
      </c>
      <c r="I43" s="23" t="str">
        <f t="shared" si="4"/>
        <v>000</v>
      </c>
      <c r="J43" s="23">
        <f t="shared" si="5"/>
        <v>1</v>
      </c>
      <c r="K43" s="23" t="str">
        <f t="shared" si="6"/>
        <v>01</v>
      </c>
      <c r="L43" s="23">
        <f t="shared" si="7"/>
        <v>1900</v>
      </c>
      <c r="M43" s="23" t="str">
        <f t="shared" si="8"/>
        <v>1900</v>
      </c>
      <c r="N43" s="23" t="str">
        <f t="shared" si="9"/>
        <v>1900/01</v>
      </c>
      <c r="O43" s="24" t="str">
        <f t="shared" si="10"/>
        <v>00</v>
      </c>
      <c r="P43" s="24" t="str">
        <f t="shared" si="11"/>
        <v>0</v>
      </c>
      <c r="Q43" s="24" t="str">
        <f t="shared" si="12"/>
        <v>00000000,00</v>
      </c>
      <c r="R43" s="36" t="str">
        <f t="shared" si="0"/>
        <v/>
      </c>
      <c r="S43" t="str">
        <f t="shared" si="1"/>
        <v/>
      </c>
      <c r="T43" t="str">
        <f t="shared" si="2"/>
        <v/>
      </c>
    </row>
    <row r="44" spans="1:20" x14ac:dyDescent="0.2">
      <c r="A44" s="28"/>
      <c r="B44" s="24"/>
      <c r="C44" s="35"/>
      <c r="D44" s="26"/>
      <c r="E44" s="25"/>
      <c r="F44" s="25"/>
      <c r="G44" s="23"/>
      <c r="H44" s="23" t="str">
        <f t="shared" si="3"/>
        <v>0000000000000</v>
      </c>
      <c r="I44" s="23" t="str">
        <f t="shared" si="4"/>
        <v>000</v>
      </c>
      <c r="J44" s="23">
        <f t="shared" si="5"/>
        <v>1</v>
      </c>
      <c r="K44" s="23" t="str">
        <f t="shared" si="6"/>
        <v>01</v>
      </c>
      <c r="L44" s="23">
        <f t="shared" si="7"/>
        <v>1900</v>
      </c>
      <c r="M44" s="23" t="str">
        <f t="shared" si="8"/>
        <v>1900</v>
      </c>
      <c r="N44" s="23" t="str">
        <f t="shared" si="9"/>
        <v>1900/01</v>
      </c>
      <c r="O44" s="24" t="str">
        <f t="shared" si="10"/>
        <v>00</v>
      </c>
      <c r="P44" s="24" t="str">
        <f t="shared" si="11"/>
        <v>0</v>
      </c>
      <c r="Q44" s="24" t="str">
        <f t="shared" si="12"/>
        <v>00000000,00</v>
      </c>
      <c r="R44" s="36" t="str">
        <f t="shared" si="0"/>
        <v/>
      </c>
      <c r="S44" t="str">
        <f t="shared" si="1"/>
        <v/>
      </c>
      <c r="T44" t="str">
        <f t="shared" si="2"/>
        <v/>
      </c>
    </row>
    <row r="45" spans="1:20" x14ac:dyDescent="0.2">
      <c r="A45" s="28"/>
      <c r="B45" s="24"/>
      <c r="C45" s="35"/>
      <c r="D45" s="26"/>
      <c r="E45" s="25"/>
      <c r="F45" s="25"/>
      <c r="G45" s="23"/>
      <c r="H45" s="23" t="str">
        <f t="shared" si="3"/>
        <v>0000000000000</v>
      </c>
      <c r="I45" s="23" t="str">
        <f t="shared" si="4"/>
        <v>000</v>
      </c>
      <c r="J45" s="23">
        <f t="shared" si="5"/>
        <v>1</v>
      </c>
      <c r="K45" s="23" t="str">
        <f t="shared" si="6"/>
        <v>01</v>
      </c>
      <c r="L45" s="23">
        <f t="shared" si="7"/>
        <v>1900</v>
      </c>
      <c r="M45" s="23" t="str">
        <f t="shared" si="8"/>
        <v>1900</v>
      </c>
      <c r="N45" s="23" t="str">
        <f t="shared" si="9"/>
        <v>1900/01</v>
      </c>
      <c r="O45" s="24" t="str">
        <f t="shared" si="10"/>
        <v>00</v>
      </c>
      <c r="P45" s="24" t="str">
        <f t="shared" si="11"/>
        <v>0</v>
      </c>
      <c r="Q45" s="24" t="str">
        <f t="shared" si="12"/>
        <v>00000000,00</v>
      </c>
      <c r="R45" s="36" t="str">
        <f t="shared" si="0"/>
        <v/>
      </c>
      <c r="S45" t="str">
        <f t="shared" si="1"/>
        <v/>
      </c>
      <c r="T45" t="str">
        <f t="shared" si="2"/>
        <v/>
      </c>
    </row>
    <row r="46" spans="1:20" x14ac:dyDescent="0.2">
      <c r="A46" s="28"/>
      <c r="B46" s="24"/>
      <c r="C46" s="35"/>
      <c r="D46" s="26"/>
      <c r="E46" s="25"/>
      <c r="F46" s="25"/>
      <c r="G46" s="23"/>
      <c r="H46" s="23" t="str">
        <f t="shared" si="3"/>
        <v>0000000000000</v>
      </c>
      <c r="I46" s="23" t="str">
        <f t="shared" si="4"/>
        <v>000</v>
      </c>
      <c r="J46" s="23">
        <f t="shared" si="5"/>
        <v>1</v>
      </c>
      <c r="K46" s="23" t="str">
        <f t="shared" si="6"/>
        <v>01</v>
      </c>
      <c r="L46" s="23">
        <f t="shared" si="7"/>
        <v>1900</v>
      </c>
      <c r="M46" s="23" t="str">
        <f t="shared" si="8"/>
        <v>1900</v>
      </c>
      <c r="N46" s="23" t="str">
        <f t="shared" si="9"/>
        <v>1900/01</v>
      </c>
      <c r="O46" s="24" t="str">
        <f t="shared" si="10"/>
        <v>00</v>
      </c>
      <c r="P46" s="24" t="str">
        <f t="shared" si="11"/>
        <v>0</v>
      </c>
      <c r="Q46" s="24" t="str">
        <f t="shared" si="12"/>
        <v>00000000,00</v>
      </c>
      <c r="R46" s="36" t="str">
        <f t="shared" si="0"/>
        <v/>
      </c>
      <c r="S46" t="str">
        <f t="shared" si="1"/>
        <v/>
      </c>
      <c r="T46" t="str">
        <f t="shared" si="2"/>
        <v/>
      </c>
    </row>
    <row r="47" spans="1:20" x14ac:dyDescent="0.2">
      <c r="A47" s="28"/>
      <c r="B47" s="24"/>
      <c r="C47" s="35"/>
      <c r="D47" s="26"/>
      <c r="E47" s="25"/>
      <c r="F47" s="25"/>
      <c r="G47" s="23"/>
      <c r="H47" s="23" t="str">
        <f t="shared" si="3"/>
        <v>0000000000000</v>
      </c>
      <c r="I47" s="23" t="str">
        <f t="shared" si="4"/>
        <v>000</v>
      </c>
      <c r="J47" s="23">
        <f t="shared" si="5"/>
        <v>1</v>
      </c>
      <c r="K47" s="23" t="str">
        <f t="shared" si="6"/>
        <v>01</v>
      </c>
      <c r="L47" s="23">
        <f t="shared" si="7"/>
        <v>1900</v>
      </c>
      <c r="M47" s="23" t="str">
        <f t="shared" si="8"/>
        <v>1900</v>
      </c>
      <c r="N47" s="23" t="str">
        <f t="shared" si="9"/>
        <v>1900/01</v>
      </c>
      <c r="O47" s="24" t="str">
        <f t="shared" si="10"/>
        <v>00</v>
      </c>
      <c r="P47" s="24" t="str">
        <f t="shared" si="11"/>
        <v>0</v>
      </c>
      <c r="Q47" s="24" t="str">
        <f t="shared" si="12"/>
        <v>00000000,00</v>
      </c>
      <c r="R47" s="36" t="str">
        <f t="shared" si="0"/>
        <v/>
      </c>
      <c r="S47" t="str">
        <f t="shared" si="1"/>
        <v/>
      </c>
      <c r="T47" t="str">
        <f t="shared" si="2"/>
        <v/>
      </c>
    </row>
    <row r="48" spans="1:20" x14ac:dyDescent="0.2">
      <c r="A48" s="28"/>
      <c r="B48" s="24"/>
      <c r="C48" s="35"/>
      <c r="D48" s="26"/>
      <c r="E48" s="25"/>
      <c r="F48" s="25"/>
      <c r="G48" s="23"/>
      <c r="H48" s="23" t="str">
        <f t="shared" si="3"/>
        <v>0000000000000</v>
      </c>
      <c r="I48" s="23" t="str">
        <f t="shared" si="4"/>
        <v>000</v>
      </c>
      <c r="J48" s="23">
        <f t="shared" si="5"/>
        <v>1</v>
      </c>
      <c r="K48" s="23" t="str">
        <f t="shared" si="6"/>
        <v>01</v>
      </c>
      <c r="L48" s="23">
        <f t="shared" si="7"/>
        <v>1900</v>
      </c>
      <c r="M48" s="23" t="str">
        <f t="shared" si="8"/>
        <v>1900</v>
      </c>
      <c r="N48" s="23" t="str">
        <f t="shared" si="9"/>
        <v>1900/01</v>
      </c>
      <c r="O48" s="24" t="str">
        <f t="shared" si="10"/>
        <v>00</v>
      </c>
      <c r="P48" s="24" t="str">
        <f t="shared" si="11"/>
        <v>0</v>
      </c>
      <c r="Q48" s="24" t="str">
        <f t="shared" si="12"/>
        <v>00000000,00</v>
      </c>
      <c r="R48" s="36" t="str">
        <f t="shared" si="0"/>
        <v/>
      </c>
      <c r="S48" t="str">
        <f t="shared" si="1"/>
        <v/>
      </c>
      <c r="T48" t="str">
        <f t="shared" si="2"/>
        <v/>
      </c>
    </row>
    <row r="49" spans="1:20" x14ac:dyDescent="0.2">
      <c r="A49" s="28"/>
      <c r="B49" s="24"/>
      <c r="C49" s="35"/>
      <c r="D49" s="26"/>
      <c r="E49" s="25"/>
      <c r="F49" s="25"/>
      <c r="G49" s="23"/>
      <c r="H49" s="23" t="str">
        <f t="shared" si="3"/>
        <v>0000000000000</v>
      </c>
      <c r="I49" s="23" t="str">
        <f t="shared" si="4"/>
        <v>000</v>
      </c>
      <c r="J49" s="23">
        <f t="shared" si="5"/>
        <v>1</v>
      </c>
      <c r="K49" s="23" t="str">
        <f t="shared" si="6"/>
        <v>01</v>
      </c>
      <c r="L49" s="23">
        <f t="shared" si="7"/>
        <v>1900</v>
      </c>
      <c r="M49" s="23" t="str">
        <f t="shared" si="8"/>
        <v>1900</v>
      </c>
      <c r="N49" s="23" t="str">
        <f t="shared" si="9"/>
        <v>1900/01</v>
      </c>
      <c r="O49" s="24" t="str">
        <f t="shared" si="10"/>
        <v>00</v>
      </c>
      <c r="P49" s="24" t="str">
        <f t="shared" si="11"/>
        <v>0</v>
      </c>
      <c r="Q49" s="24" t="str">
        <f t="shared" si="12"/>
        <v>00000000,00</v>
      </c>
      <c r="R49" s="36" t="str">
        <f t="shared" si="0"/>
        <v/>
      </c>
      <c r="S49" t="str">
        <f t="shared" si="1"/>
        <v/>
      </c>
      <c r="T49" t="str">
        <f t="shared" si="2"/>
        <v/>
      </c>
    </row>
    <row r="50" spans="1:20" x14ac:dyDescent="0.2">
      <c r="A50" s="28"/>
      <c r="B50" s="24"/>
      <c r="C50" s="35"/>
      <c r="D50" s="26"/>
      <c r="E50" s="25"/>
      <c r="F50" s="25"/>
      <c r="G50" s="23"/>
      <c r="H50" s="23" t="str">
        <f t="shared" si="3"/>
        <v>0000000000000</v>
      </c>
      <c r="I50" s="23" t="str">
        <f t="shared" si="4"/>
        <v>000</v>
      </c>
      <c r="J50" s="23">
        <f t="shared" si="5"/>
        <v>1</v>
      </c>
      <c r="K50" s="23" t="str">
        <f t="shared" si="6"/>
        <v>01</v>
      </c>
      <c r="L50" s="23">
        <f t="shared" si="7"/>
        <v>1900</v>
      </c>
      <c r="M50" s="23" t="str">
        <f t="shared" si="8"/>
        <v>1900</v>
      </c>
      <c r="N50" s="23" t="str">
        <f t="shared" si="9"/>
        <v>1900/01</v>
      </c>
      <c r="O50" s="24" t="str">
        <f t="shared" si="10"/>
        <v>00</v>
      </c>
      <c r="P50" s="24" t="str">
        <f t="shared" si="11"/>
        <v>0</v>
      </c>
      <c r="Q50" s="24" t="str">
        <f t="shared" si="12"/>
        <v>00000000,00</v>
      </c>
      <c r="R50" s="36" t="str">
        <f t="shared" si="0"/>
        <v/>
      </c>
      <c r="S50" t="str">
        <f t="shared" si="1"/>
        <v/>
      </c>
      <c r="T50" t="str">
        <f t="shared" si="2"/>
        <v/>
      </c>
    </row>
    <row r="51" spans="1:20" x14ac:dyDescent="0.2">
      <c r="A51" s="28"/>
      <c r="B51" s="24"/>
      <c r="C51" s="35"/>
      <c r="D51" s="26"/>
      <c r="E51" s="25"/>
      <c r="F51" s="25"/>
      <c r="G51" s="23"/>
      <c r="H51" s="23" t="str">
        <f t="shared" si="3"/>
        <v>0000000000000</v>
      </c>
      <c r="I51" s="23" t="str">
        <f t="shared" si="4"/>
        <v>000</v>
      </c>
      <c r="J51" s="23">
        <f t="shared" si="5"/>
        <v>1</v>
      </c>
      <c r="K51" s="23" t="str">
        <f t="shared" si="6"/>
        <v>01</v>
      </c>
      <c r="L51" s="23">
        <f t="shared" si="7"/>
        <v>1900</v>
      </c>
      <c r="M51" s="23" t="str">
        <f t="shared" si="8"/>
        <v>1900</v>
      </c>
      <c r="N51" s="23" t="str">
        <f t="shared" si="9"/>
        <v>1900/01</v>
      </c>
      <c r="O51" s="24" t="str">
        <f t="shared" si="10"/>
        <v>00</v>
      </c>
      <c r="P51" s="24" t="str">
        <f t="shared" si="11"/>
        <v>0</v>
      </c>
      <c r="Q51" s="24" t="str">
        <f t="shared" si="12"/>
        <v>00000000,00</v>
      </c>
      <c r="R51" s="36" t="str">
        <f t="shared" si="0"/>
        <v/>
      </c>
      <c r="S51" t="str">
        <f t="shared" si="1"/>
        <v/>
      </c>
      <c r="T51" t="str">
        <f t="shared" si="2"/>
        <v/>
      </c>
    </row>
    <row r="52" spans="1:20" x14ac:dyDescent="0.2">
      <c r="A52" s="28"/>
      <c r="B52" s="24"/>
      <c r="C52" s="35"/>
      <c r="D52" s="26"/>
      <c r="E52" s="25"/>
      <c r="F52" s="25"/>
      <c r="G52" s="23"/>
      <c r="H52" s="23" t="str">
        <f t="shared" si="3"/>
        <v>0000000000000</v>
      </c>
      <c r="I52" s="23" t="str">
        <f t="shared" si="4"/>
        <v>000</v>
      </c>
      <c r="J52" s="23">
        <f t="shared" si="5"/>
        <v>1</v>
      </c>
      <c r="K52" s="23" t="str">
        <f t="shared" si="6"/>
        <v>01</v>
      </c>
      <c r="L52" s="23">
        <f t="shared" si="7"/>
        <v>1900</v>
      </c>
      <c r="M52" s="23" t="str">
        <f t="shared" si="8"/>
        <v>1900</v>
      </c>
      <c r="N52" s="23" t="str">
        <f t="shared" si="9"/>
        <v>1900/01</v>
      </c>
      <c r="O52" s="24" t="str">
        <f t="shared" si="10"/>
        <v>00</v>
      </c>
      <c r="P52" s="24" t="str">
        <f t="shared" si="11"/>
        <v>0</v>
      </c>
      <c r="Q52" s="24" t="str">
        <f t="shared" si="12"/>
        <v>00000000,00</v>
      </c>
      <c r="R52" s="36" t="str">
        <f t="shared" si="0"/>
        <v/>
      </c>
      <c r="S52" t="str">
        <f t="shared" si="1"/>
        <v/>
      </c>
      <c r="T52" t="str">
        <f t="shared" si="2"/>
        <v/>
      </c>
    </row>
    <row r="53" spans="1:20" x14ac:dyDescent="0.2">
      <c r="A53" s="28"/>
      <c r="B53" s="24"/>
      <c r="C53" s="35"/>
      <c r="D53" s="26"/>
      <c r="E53" s="25"/>
      <c r="F53" s="25"/>
      <c r="G53" s="23"/>
      <c r="H53" s="23" t="str">
        <f t="shared" si="3"/>
        <v>0000000000000</v>
      </c>
      <c r="I53" s="23" t="str">
        <f t="shared" si="4"/>
        <v>000</v>
      </c>
      <c r="J53" s="23">
        <f t="shared" si="5"/>
        <v>1</v>
      </c>
      <c r="K53" s="23" t="str">
        <f t="shared" si="6"/>
        <v>01</v>
      </c>
      <c r="L53" s="23">
        <f t="shared" si="7"/>
        <v>1900</v>
      </c>
      <c r="M53" s="23" t="str">
        <f t="shared" si="8"/>
        <v>1900</v>
      </c>
      <c r="N53" s="23" t="str">
        <f t="shared" si="9"/>
        <v>1900/01</v>
      </c>
      <c r="O53" s="24" t="str">
        <f t="shared" si="10"/>
        <v>00</v>
      </c>
      <c r="P53" s="24" t="str">
        <f t="shared" si="11"/>
        <v>0</v>
      </c>
      <c r="Q53" s="24" t="str">
        <f t="shared" si="12"/>
        <v>00000000,00</v>
      </c>
      <c r="R53" s="36" t="str">
        <f t="shared" si="0"/>
        <v/>
      </c>
      <c r="S53" t="str">
        <f t="shared" si="1"/>
        <v/>
      </c>
      <c r="T53" t="str">
        <f t="shared" si="2"/>
        <v/>
      </c>
    </row>
    <row r="54" spans="1:20" x14ac:dyDescent="0.2">
      <c r="A54" s="28"/>
      <c r="B54" s="24"/>
      <c r="C54" s="35"/>
      <c r="D54" s="26"/>
      <c r="E54" s="25"/>
      <c r="F54" s="25"/>
      <c r="G54" s="23"/>
      <c r="H54" s="23" t="str">
        <f t="shared" si="3"/>
        <v>0000000000000</v>
      </c>
      <c r="I54" s="23" t="str">
        <f t="shared" si="4"/>
        <v>000</v>
      </c>
      <c r="J54" s="23">
        <f t="shared" si="5"/>
        <v>1</v>
      </c>
      <c r="K54" s="23" t="str">
        <f t="shared" si="6"/>
        <v>01</v>
      </c>
      <c r="L54" s="23">
        <f t="shared" si="7"/>
        <v>1900</v>
      </c>
      <c r="M54" s="23" t="str">
        <f t="shared" si="8"/>
        <v>1900</v>
      </c>
      <c r="N54" s="23" t="str">
        <f t="shared" si="9"/>
        <v>1900/01</v>
      </c>
      <c r="O54" s="24" t="str">
        <f t="shared" si="10"/>
        <v>00</v>
      </c>
      <c r="P54" s="24" t="str">
        <f t="shared" si="11"/>
        <v>0</v>
      </c>
      <c r="Q54" s="24" t="str">
        <f t="shared" si="12"/>
        <v>00000000,00</v>
      </c>
      <c r="R54" s="36" t="str">
        <f t="shared" si="0"/>
        <v/>
      </c>
      <c r="S54" t="str">
        <f t="shared" si="1"/>
        <v/>
      </c>
      <c r="T54" t="str">
        <f t="shared" si="2"/>
        <v/>
      </c>
    </row>
    <row r="55" spans="1:20" x14ac:dyDescent="0.2">
      <c r="A55" s="28"/>
      <c r="B55" s="24"/>
      <c r="C55" s="35"/>
      <c r="D55" s="26"/>
      <c r="E55" s="25"/>
      <c r="F55" s="25"/>
      <c r="G55" s="23"/>
      <c r="H55" s="23" t="str">
        <f t="shared" si="3"/>
        <v>0000000000000</v>
      </c>
      <c r="I55" s="23" t="str">
        <f t="shared" si="4"/>
        <v>000</v>
      </c>
      <c r="J55" s="23">
        <f t="shared" si="5"/>
        <v>1</v>
      </c>
      <c r="K55" s="23" t="str">
        <f t="shared" si="6"/>
        <v>01</v>
      </c>
      <c r="L55" s="23">
        <f t="shared" si="7"/>
        <v>1900</v>
      </c>
      <c r="M55" s="23" t="str">
        <f t="shared" si="8"/>
        <v>1900</v>
      </c>
      <c r="N55" s="23" t="str">
        <f t="shared" si="9"/>
        <v>1900/01</v>
      </c>
      <c r="O55" s="24" t="str">
        <f t="shared" si="10"/>
        <v>00</v>
      </c>
      <c r="P55" s="24" t="str">
        <f t="shared" si="11"/>
        <v>0</v>
      </c>
      <c r="Q55" s="24" t="str">
        <f t="shared" si="12"/>
        <v>00000000,00</v>
      </c>
      <c r="R55" s="36" t="str">
        <f t="shared" si="0"/>
        <v/>
      </c>
      <c r="S55" t="str">
        <f t="shared" si="1"/>
        <v/>
      </c>
      <c r="T55" t="str">
        <f t="shared" si="2"/>
        <v/>
      </c>
    </row>
    <row r="56" spans="1:20" x14ac:dyDescent="0.2">
      <c r="A56" s="28"/>
      <c r="B56" s="24"/>
      <c r="C56" s="35"/>
      <c r="D56" s="26"/>
      <c r="E56" s="25"/>
      <c r="F56" s="25"/>
      <c r="G56" s="23"/>
      <c r="H56" s="23" t="str">
        <f t="shared" si="3"/>
        <v>0000000000000</v>
      </c>
      <c r="I56" s="23" t="str">
        <f t="shared" si="4"/>
        <v>000</v>
      </c>
      <c r="J56" s="23">
        <f t="shared" si="5"/>
        <v>1</v>
      </c>
      <c r="K56" s="23" t="str">
        <f t="shared" si="6"/>
        <v>01</v>
      </c>
      <c r="L56" s="23">
        <f t="shared" si="7"/>
        <v>1900</v>
      </c>
      <c r="M56" s="23" t="str">
        <f t="shared" si="8"/>
        <v>1900</v>
      </c>
      <c r="N56" s="23" t="str">
        <f t="shared" si="9"/>
        <v>1900/01</v>
      </c>
      <c r="O56" s="24" t="str">
        <f t="shared" si="10"/>
        <v>00</v>
      </c>
      <c r="P56" s="24" t="str">
        <f t="shared" si="11"/>
        <v>0</v>
      </c>
      <c r="Q56" s="24" t="str">
        <f t="shared" si="12"/>
        <v>00000000,00</v>
      </c>
      <c r="R56" s="36" t="str">
        <f t="shared" si="0"/>
        <v/>
      </c>
      <c r="S56" t="str">
        <f t="shared" si="1"/>
        <v/>
      </c>
      <c r="T56" t="str">
        <f t="shared" si="2"/>
        <v/>
      </c>
    </row>
    <row r="57" spans="1:20" x14ac:dyDescent="0.2">
      <c r="A57" s="28"/>
      <c r="B57" s="24"/>
      <c r="C57" s="35"/>
      <c r="D57" s="26"/>
      <c r="E57" s="25"/>
      <c r="F57" s="25"/>
      <c r="G57" s="23"/>
      <c r="H57" s="23" t="str">
        <f t="shared" si="3"/>
        <v>0000000000000</v>
      </c>
      <c r="I57" s="23" t="str">
        <f t="shared" si="4"/>
        <v>000</v>
      </c>
      <c r="J57" s="23">
        <f t="shared" si="5"/>
        <v>1</v>
      </c>
      <c r="K57" s="23" t="str">
        <f t="shared" si="6"/>
        <v>01</v>
      </c>
      <c r="L57" s="23">
        <f t="shared" si="7"/>
        <v>1900</v>
      </c>
      <c r="M57" s="23" t="str">
        <f t="shared" si="8"/>
        <v>1900</v>
      </c>
      <c r="N57" s="23" t="str">
        <f t="shared" si="9"/>
        <v>1900/01</v>
      </c>
      <c r="O57" s="24" t="str">
        <f t="shared" si="10"/>
        <v>00</v>
      </c>
      <c r="P57" s="24" t="str">
        <f t="shared" si="11"/>
        <v>0</v>
      </c>
      <c r="Q57" s="24" t="str">
        <f t="shared" si="12"/>
        <v>00000000,00</v>
      </c>
      <c r="R57" s="36" t="str">
        <f t="shared" si="0"/>
        <v/>
      </c>
      <c r="S57" t="str">
        <f t="shared" si="1"/>
        <v/>
      </c>
      <c r="T57" t="str">
        <f t="shared" si="2"/>
        <v/>
      </c>
    </row>
    <row r="58" spans="1:20" x14ac:dyDescent="0.2">
      <c r="A58" s="28"/>
      <c r="B58" s="24"/>
      <c r="C58" s="35"/>
      <c r="D58" s="26"/>
      <c r="E58" s="25"/>
      <c r="F58" s="25"/>
      <c r="G58" s="23"/>
      <c r="H58" s="23" t="str">
        <f t="shared" si="3"/>
        <v>0000000000000</v>
      </c>
      <c r="I58" s="23" t="str">
        <f t="shared" si="4"/>
        <v>000</v>
      </c>
      <c r="J58" s="23">
        <f t="shared" si="5"/>
        <v>1</v>
      </c>
      <c r="K58" s="23" t="str">
        <f t="shared" si="6"/>
        <v>01</v>
      </c>
      <c r="L58" s="23">
        <f t="shared" si="7"/>
        <v>1900</v>
      </c>
      <c r="M58" s="23" t="str">
        <f t="shared" si="8"/>
        <v>1900</v>
      </c>
      <c r="N58" s="23" t="str">
        <f t="shared" si="9"/>
        <v>1900/01</v>
      </c>
      <c r="O58" s="24" t="str">
        <f t="shared" si="10"/>
        <v>00</v>
      </c>
      <c r="P58" s="24" t="str">
        <f t="shared" si="11"/>
        <v>0</v>
      </c>
      <c r="Q58" s="24" t="str">
        <f t="shared" si="12"/>
        <v>00000000,00</v>
      </c>
      <c r="R58" s="36" t="str">
        <f t="shared" si="0"/>
        <v/>
      </c>
      <c r="S58" t="str">
        <f t="shared" si="1"/>
        <v/>
      </c>
      <c r="T58" t="str">
        <f t="shared" si="2"/>
        <v/>
      </c>
    </row>
    <row r="59" spans="1:20" x14ac:dyDescent="0.2">
      <c r="A59" s="28"/>
      <c r="B59" s="24"/>
      <c r="C59" s="35"/>
      <c r="D59" s="26"/>
      <c r="E59" s="25"/>
      <c r="F59" s="25"/>
      <c r="G59" s="23"/>
      <c r="H59" s="23" t="str">
        <f t="shared" si="3"/>
        <v>0000000000000</v>
      </c>
      <c r="I59" s="23" t="str">
        <f t="shared" si="4"/>
        <v>000</v>
      </c>
      <c r="J59" s="23">
        <f t="shared" si="5"/>
        <v>1</v>
      </c>
      <c r="K59" s="23" t="str">
        <f t="shared" si="6"/>
        <v>01</v>
      </c>
      <c r="L59" s="23">
        <f t="shared" si="7"/>
        <v>1900</v>
      </c>
      <c r="M59" s="23" t="str">
        <f t="shared" si="8"/>
        <v>1900</v>
      </c>
      <c r="N59" s="23" t="str">
        <f t="shared" si="9"/>
        <v>1900/01</v>
      </c>
      <c r="O59" s="24" t="str">
        <f t="shared" si="10"/>
        <v>00</v>
      </c>
      <c r="P59" s="24" t="str">
        <f t="shared" si="11"/>
        <v>0</v>
      </c>
      <c r="Q59" s="24" t="str">
        <f t="shared" si="12"/>
        <v>00000000,00</v>
      </c>
      <c r="R59" s="36" t="str">
        <f t="shared" si="0"/>
        <v/>
      </c>
      <c r="S59" t="str">
        <f t="shared" si="1"/>
        <v/>
      </c>
      <c r="T59" t="str">
        <f t="shared" si="2"/>
        <v/>
      </c>
    </row>
    <row r="60" spans="1:20" x14ac:dyDescent="0.2">
      <c r="A60" s="28"/>
      <c r="B60" s="24"/>
      <c r="C60" s="35"/>
      <c r="D60" s="26"/>
      <c r="E60" s="25"/>
      <c r="F60" s="25"/>
      <c r="G60" s="23"/>
      <c r="H60" s="23" t="str">
        <f t="shared" si="3"/>
        <v>0000000000000</v>
      </c>
      <c r="I60" s="23" t="str">
        <f t="shared" si="4"/>
        <v>000</v>
      </c>
      <c r="J60" s="23">
        <f t="shared" si="5"/>
        <v>1</v>
      </c>
      <c r="K60" s="23" t="str">
        <f t="shared" si="6"/>
        <v>01</v>
      </c>
      <c r="L60" s="23">
        <f t="shared" si="7"/>
        <v>1900</v>
      </c>
      <c r="M60" s="23" t="str">
        <f t="shared" si="8"/>
        <v>1900</v>
      </c>
      <c r="N60" s="23" t="str">
        <f t="shared" si="9"/>
        <v>1900/01</v>
      </c>
      <c r="O60" s="24" t="str">
        <f t="shared" si="10"/>
        <v>00</v>
      </c>
      <c r="P60" s="24" t="str">
        <f t="shared" si="11"/>
        <v>0</v>
      </c>
      <c r="Q60" s="24" t="str">
        <f t="shared" si="12"/>
        <v>00000000,00</v>
      </c>
      <c r="R60" s="36" t="str">
        <f t="shared" si="0"/>
        <v/>
      </c>
      <c r="S60" t="str">
        <f t="shared" si="1"/>
        <v/>
      </c>
      <c r="T60" t="str">
        <f t="shared" si="2"/>
        <v/>
      </c>
    </row>
    <row r="61" spans="1:20" x14ac:dyDescent="0.2">
      <c r="A61" s="28"/>
      <c r="B61" s="24"/>
      <c r="C61" s="35"/>
      <c r="D61" s="26"/>
      <c r="E61" s="25"/>
      <c r="F61" s="25"/>
      <c r="G61" s="23"/>
      <c r="H61" s="23" t="str">
        <f t="shared" si="3"/>
        <v>0000000000000</v>
      </c>
      <c r="I61" s="23" t="str">
        <f t="shared" si="4"/>
        <v>000</v>
      </c>
      <c r="J61" s="23">
        <f t="shared" si="5"/>
        <v>1</v>
      </c>
      <c r="K61" s="23" t="str">
        <f t="shared" si="6"/>
        <v>01</v>
      </c>
      <c r="L61" s="23">
        <f t="shared" si="7"/>
        <v>1900</v>
      </c>
      <c r="M61" s="23" t="str">
        <f t="shared" si="8"/>
        <v>1900</v>
      </c>
      <c r="N61" s="23" t="str">
        <f t="shared" si="9"/>
        <v>1900/01</v>
      </c>
      <c r="O61" s="24" t="str">
        <f t="shared" si="10"/>
        <v>00</v>
      </c>
      <c r="P61" s="24" t="str">
        <f t="shared" si="11"/>
        <v>0</v>
      </c>
      <c r="Q61" s="24" t="str">
        <f t="shared" si="12"/>
        <v>00000000,00</v>
      </c>
      <c r="R61" s="36" t="str">
        <f t="shared" si="0"/>
        <v/>
      </c>
      <c r="S61" t="str">
        <f t="shared" si="1"/>
        <v/>
      </c>
      <c r="T61" t="str">
        <f t="shared" si="2"/>
        <v/>
      </c>
    </row>
    <row r="62" spans="1:20" x14ac:dyDescent="0.2">
      <c r="A62" s="28"/>
      <c r="B62" s="24"/>
      <c r="C62" s="35"/>
      <c r="D62" s="26"/>
      <c r="E62" s="25"/>
      <c r="F62" s="25"/>
      <c r="G62" s="23"/>
      <c r="H62" s="23" t="str">
        <f t="shared" si="3"/>
        <v>0000000000000</v>
      </c>
      <c r="I62" s="23" t="str">
        <f t="shared" si="4"/>
        <v>000</v>
      </c>
      <c r="J62" s="23">
        <f t="shared" si="5"/>
        <v>1</v>
      </c>
      <c r="K62" s="23" t="str">
        <f t="shared" si="6"/>
        <v>01</v>
      </c>
      <c r="L62" s="23">
        <f t="shared" si="7"/>
        <v>1900</v>
      </c>
      <c r="M62" s="23" t="str">
        <f t="shared" si="8"/>
        <v>1900</v>
      </c>
      <c r="N62" s="23" t="str">
        <f t="shared" si="9"/>
        <v>1900/01</v>
      </c>
      <c r="O62" s="24" t="str">
        <f t="shared" si="10"/>
        <v>00</v>
      </c>
      <c r="P62" s="24" t="str">
        <f t="shared" si="11"/>
        <v>0</v>
      </c>
      <c r="Q62" s="24" t="str">
        <f t="shared" si="12"/>
        <v>00000000,00</v>
      </c>
      <c r="R62" s="36" t="str">
        <f t="shared" si="0"/>
        <v/>
      </c>
      <c r="S62" t="str">
        <f t="shared" si="1"/>
        <v/>
      </c>
      <c r="T62" t="str">
        <f t="shared" si="2"/>
        <v/>
      </c>
    </row>
    <row r="63" spans="1:20" x14ac:dyDescent="0.2">
      <c r="A63" s="28"/>
      <c r="B63" s="24"/>
      <c r="C63" s="35"/>
      <c r="D63" s="26"/>
      <c r="E63" s="25"/>
      <c r="F63" s="25"/>
      <c r="G63" s="23"/>
      <c r="H63" s="23" t="str">
        <f t="shared" si="3"/>
        <v>0000000000000</v>
      </c>
      <c r="I63" s="23" t="str">
        <f t="shared" si="4"/>
        <v>000</v>
      </c>
      <c r="J63" s="23">
        <f t="shared" si="5"/>
        <v>1</v>
      </c>
      <c r="K63" s="23" t="str">
        <f t="shared" si="6"/>
        <v>01</v>
      </c>
      <c r="L63" s="23">
        <f t="shared" si="7"/>
        <v>1900</v>
      </c>
      <c r="M63" s="23" t="str">
        <f t="shared" si="8"/>
        <v>1900</v>
      </c>
      <c r="N63" s="23" t="str">
        <f t="shared" si="9"/>
        <v>1900/01</v>
      </c>
      <c r="O63" s="24" t="str">
        <f t="shared" si="10"/>
        <v>00</v>
      </c>
      <c r="P63" s="24" t="str">
        <f t="shared" si="11"/>
        <v>0</v>
      </c>
      <c r="Q63" s="24" t="str">
        <f t="shared" si="12"/>
        <v>00000000,00</v>
      </c>
      <c r="R63" s="36" t="str">
        <f t="shared" si="0"/>
        <v/>
      </c>
      <c r="S63" t="str">
        <f t="shared" si="1"/>
        <v/>
      </c>
      <c r="T63" t="str">
        <f t="shared" si="2"/>
        <v/>
      </c>
    </row>
    <row r="64" spans="1:20" x14ac:dyDescent="0.2">
      <c r="A64" s="28"/>
      <c r="B64" s="24"/>
      <c r="C64" s="35"/>
      <c r="D64" s="26"/>
      <c r="E64" s="25"/>
      <c r="F64" s="25"/>
      <c r="G64" s="23"/>
      <c r="H64" s="23" t="str">
        <f t="shared" si="3"/>
        <v>0000000000000</v>
      </c>
      <c r="I64" s="23" t="str">
        <f t="shared" si="4"/>
        <v>000</v>
      </c>
      <c r="J64" s="23">
        <f t="shared" si="5"/>
        <v>1</v>
      </c>
      <c r="K64" s="23" t="str">
        <f t="shared" si="6"/>
        <v>01</v>
      </c>
      <c r="L64" s="23">
        <f t="shared" si="7"/>
        <v>1900</v>
      </c>
      <c r="M64" s="23" t="str">
        <f t="shared" si="8"/>
        <v>1900</v>
      </c>
      <c r="N64" s="23" t="str">
        <f t="shared" si="9"/>
        <v>1900/01</v>
      </c>
      <c r="O64" s="24" t="str">
        <f t="shared" si="10"/>
        <v>00</v>
      </c>
      <c r="P64" s="24" t="str">
        <f t="shared" si="11"/>
        <v>0</v>
      </c>
      <c r="Q64" s="24" t="str">
        <f t="shared" si="12"/>
        <v>00000000,00</v>
      </c>
      <c r="R64" s="36" t="str">
        <f t="shared" si="0"/>
        <v/>
      </c>
      <c r="S64" t="str">
        <f t="shared" si="1"/>
        <v/>
      </c>
      <c r="T64" t="str">
        <f t="shared" si="2"/>
        <v/>
      </c>
    </row>
    <row r="65" spans="1:20" x14ac:dyDescent="0.2">
      <c r="A65" s="28"/>
      <c r="B65" s="24"/>
      <c r="C65" s="35"/>
      <c r="D65" s="26"/>
      <c r="E65" s="25"/>
      <c r="F65" s="25"/>
      <c r="G65" s="23"/>
      <c r="H65" s="23" t="str">
        <f t="shared" si="3"/>
        <v>0000000000000</v>
      </c>
      <c r="I65" s="23" t="str">
        <f t="shared" si="4"/>
        <v>000</v>
      </c>
      <c r="J65" s="23">
        <f t="shared" si="5"/>
        <v>1</v>
      </c>
      <c r="K65" s="23" t="str">
        <f t="shared" si="6"/>
        <v>01</v>
      </c>
      <c r="L65" s="23">
        <f t="shared" si="7"/>
        <v>1900</v>
      </c>
      <c r="M65" s="23" t="str">
        <f t="shared" si="8"/>
        <v>1900</v>
      </c>
      <c r="N65" s="23" t="str">
        <f t="shared" si="9"/>
        <v>1900/01</v>
      </c>
      <c r="O65" s="24" t="str">
        <f t="shared" si="10"/>
        <v>00</v>
      </c>
      <c r="P65" s="24" t="str">
        <f t="shared" si="11"/>
        <v>0</v>
      </c>
      <c r="Q65" s="24" t="str">
        <f t="shared" si="12"/>
        <v>00000000,00</v>
      </c>
      <c r="R65" s="36" t="str">
        <f t="shared" si="0"/>
        <v/>
      </c>
      <c r="S65" t="str">
        <f t="shared" si="1"/>
        <v/>
      </c>
      <c r="T65" t="str">
        <f t="shared" si="2"/>
        <v/>
      </c>
    </row>
    <row r="66" spans="1:20" x14ac:dyDescent="0.2">
      <c r="A66" s="28"/>
      <c r="B66" s="24"/>
      <c r="C66" s="35"/>
      <c r="D66" s="26"/>
      <c r="E66" s="25"/>
      <c r="F66" s="25"/>
      <c r="G66" s="23"/>
      <c r="H66" s="23" t="str">
        <f t="shared" si="3"/>
        <v>0000000000000</v>
      </c>
      <c r="I66" s="23" t="str">
        <f t="shared" si="4"/>
        <v>000</v>
      </c>
      <c r="J66" s="23">
        <f t="shared" si="5"/>
        <v>1</v>
      </c>
      <c r="K66" s="23" t="str">
        <f t="shared" si="6"/>
        <v>01</v>
      </c>
      <c r="L66" s="23">
        <f t="shared" si="7"/>
        <v>1900</v>
      </c>
      <c r="M66" s="23" t="str">
        <f t="shared" si="8"/>
        <v>1900</v>
      </c>
      <c r="N66" s="23" t="str">
        <f t="shared" si="9"/>
        <v>1900/01</v>
      </c>
      <c r="O66" s="24" t="str">
        <f t="shared" si="10"/>
        <v>00</v>
      </c>
      <c r="P66" s="24" t="str">
        <f t="shared" si="11"/>
        <v>0</v>
      </c>
      <c r="Q66" s="24" t="str">
        <f t="shared" si="12"/>
        <v>00000000,00</v>
      </c>
      <c r="R66" s="36" t="str">
        <f t="shared" si="0"/>
        <v/>
      </c>
      <c r="S66" t="str">
        <f t="shared" si="1"/>
        <v/>
      </c>
      <c r="T66" t="str">
        <f t="shared" si="2"/>
        <v/>
      </c>
    </row>
    <row r="67" spans="1:20" x14ac:dyDescent="0.2">
      <c r="A67" s="28"/>
      <c r="B67" s="24"/>
      <c r="C67" s="35"/>
      <c r="D67" s="26"/>
      <c r="E67" s="25"/>
      <c r="F67" s="25"/>
      <c r="G67" s="23"/>
      <c r="H67" s="23" t="str">
        <f t="shared" si="3"/>
        <v>0000000000000</v>
      </c>
      <c r="I67" s="23" t="str">
        <f t="shared" si="4"/>
        <v>000</v>
      </c>
      <c r="J67" s="23">
        <f t="shared" si="5"/>
        <v>1</v>
      </c>
      <c r="K67" s="23" t="str">
        <f t="shared" si="6"/>
        <v>01</v>
      </c>
      <c r="L67" s="23">
        <f t="shared" si="7"/>
        <v>1900</v>
      </c>
      <c r="M67" s="23" t="str">
        <f t="shared" si="8"/>
        <v>1900</v>
      </c>
      <c r="N67" s="23" t="str">
        <f t="shared" si="9"/>
        <v>1900/01</v>
      </c>
      <c r="O67" s="24" t="str">
        <f t="shared" si="10"/>
        <v>00</v>
      </c>
      <c r="P67" s="24" t="str">
        <f t="shared" si="11"/>
        <v>0</v>
      </c>
      <c r="Q67" s="24" t="str">
        <f t="shared" si="12"/>
        <v>00000000,00</v>
      </c>
      <c r="R67" s="36" t="str">
        <f t="shared" si="0"/>
        <v/>
      </c>
      <c r="S67" t="str">
        <f t="shared" si="1"/>
        <v/>
      </c>
      <c r="T67" t="str">
        <f t="shared" si="2"/>
        <v/>
      </c>
    </row>
    <row r="68" spans="1:20" x14ac:dyDescent="0.2">
      <c r="A68" s="28"/>
      <c r="B68" s="24"/>
      <c r="C68" s="35"/>
      <c r="D68" s="26"/>
      <c r="E68" s="25"/>
      <c r="F68" s="25"/>
      <c r="G68" s="23"/>
      <c r="H68" s="23" t="str">
        <f t="shared" si="3"/>
        <v>0000000000000</v>
      </c>
      <c r="I68" s="23" t="str">
        <f t="shared" si="4"/>
        <v>000</v>
      </c>
      <c r="J68" s="23">
        <f t="shared" si="5"/>
        <v>1</v>
      </c>
      <c r="K68" s="23" t="str">
        <f t="shared" si="6"/>
        <v>01</v>
      </c>
      <c r="L68" s="23">
        <f t="shared" si="7"/>
        <v>1900</v>
      </c>
      <c r="M68" s="23" t="str">
        <f t="shared" si="8"/>
        <v>1900</v>
      </c>
      <c r="N68" s="23" t="str">
        <f t="shared" si="9"/>
        <v>1900/01</v>
      </c>
      <c r="O68" s="24" t="str">
        <f t="shared" si="10"/>
        <v>00</v>
      </c>
      <c r="P68" s="24" t="str">
        <f t="shared" si="11"/>
        <v>0</v>
      </c>
      <c r="Q68" s="24" t="str">
        <f t="shared" si="12"/>
        <v>00000000,00</v>
      </c>
      <c r="R68" s="36" t="str">
        <f t="shared" si="0"/>
        <v/>
      </c>
      <c r="S68" t="str">
        <f t="shared" si="1"/>
        <v/>
      </c>
      <c r="T68" t="str">
        <f t="shared" si="2"/>
        <v/>
      </c>
    </row>
    <row r="69" spans="1:20" x14ac:dyDescent="0.2">
      <c r="A69" s="28"/>
      <c r="B69" s="24"/>
      <c r="C69" s="35"/>
      <c r="D69" s="26"/>
      <c r="E69" s="25"/>
      <c r="F69" s="25"/>
      <c r="G69" s="23"/>
      <c r="H69" s="23" t="str">
        <f t="shared" si="3"/>
        <v>0000000000000</v>
      </c>
      <c r="I69" s="23" t="str">
        <f t="shared" si="4"/>
        <v>000</v>
      </c>
      <c r="J69" s="23">
        <f t="shared" si="5"/>
        <v>1</v>
      </c>
      <c r="K69" s="23" t="str">
        <f t="shared" si="6"/>
        <v>01</v>
      </c>
      <c r="L69" s="23">
        <f t="shared" si="7"/>
        <v>1900</v>
      </c>
      <c r="M69" s="23" t="str">
        <f t="shared" si="8"/>
        <v>1900</v>
      </c>
      <c r="N69" s="23" t="str">
        <f t="shared" si="9"/>
        <v>1900/01</v>
      </c>
      <c r="O69" s="24" t="str">
        <f t="shared" si="10"/>
        <v>00</v>
      </c>
      <c r="P69" s="24" t="str">
        <f t="shared" si="11"/>
        <v>0</v>
      </c>
      <c r="Q69" s="24" t="str">
        <f t="shared" si="12"/>
        <v>00000000,00</v>
      </c>
      <c r="R69" s="36" t="str">
        <f t="shared" si="0"/>
        <v/>
      </c>
      <c r="S69" t="str">
        <f t="shared" si="1"/>
        <v/>
      </c>
      <c r="T69" t="str">
        <f t="shared" si="2"/>
        <v/>
      </c>
    </row>
    <row r="70" spans="1:20" x14ac:dyDescent="0.2">
      <c r="A70" s="28"/>
      <c r="B70" s="24"/>
      <c r="C70" s="35"/>
      <c r="D70" s="26"/>
      <c r="E70" s="25"/>
      <c r="F70" s="25"/>
      <c r="G70" s="23"/>
      <c r="H70" s="23" t="str">
        <f t="shared" si="3"/>
        <v>0000000000000</v>
      </c>
      <c r="I70" s="23" t="str">
        <f t="shared" si="4"/>
        <v>000</v>
      </c>
      <c r="J70" s="23">
        <f t="shared" si="5"/>
        <v>1</v>
      </c>
      <c r="K70" s="23" t="str">
        <f t="shared" si="6"/>
        <v>01</v>
      </c>
      <c r="L70" s="23">
        <f t="shared" si="7"/>
        <v>1900</v>
      </c>
      <c r="M70" s="23" t="str">
        <f t="shared" si="8"/>
        <v>1900</v>
      </c>
      <c r="N70" s="23" t="str">
        <f t="shared" si="9"/>
        <v>1900/01</v>
      </c>
      <c r="O70" s="24" t="str">
        <f t="shared" si="10"/>
        <v>00</v>
      </c>
      <c r="P70" s="24" t="str">
        <f t="shared" si="11"/>
        <v>0</v>
      </c>
      <c r="Q70" s="24" t="str">
        <f t="shared" si="12"/>
        <v>00000000,00</v>
      </c>
      <c r="R70" s="36" t="str">
        <f t="shared" si="0"/>
        <v/>
      </c>
      <c r="S70" t="str">
        <f t="shared" si="1"/>
        <v/>
      </c>
      <c r="T70" t="str">
        <f t="shared" si="2"/>
        <v/>
      </c>
    </row>
    <row r="71" spans="1:20" x14ac:dyDescent="0.2">
      <c r="A71" s="28"/>
      <c r="B71" s="24"/>
      <c r="C71" s="35"/>
      <c r="D71" s="26"/>
      <c r="E71" s="25"/>
      <c r="F71" s="25"/>
      <c r="G71" s="23"/>
      <c r="H71" s="23" t="str">
        <f t="shared" si="3"/>
        <v>0000000000000</v>
      </c>
      <c r="I71" s="23" t="str">
        <f t="shared" si="4"/>
        <v>000</v>
      </c>
      <c r="J71" s="23">
        <f t="shared" si="5"/>
        <v>1</v>
      </c>
      <c r="K71" s="23" t="str">
        <f t="shared" si="6"/>
        <v>01</v>
      </c>
      <c r="L71" s="23">
        <f t="shared" si="7"/>
        <v>1900</v>
      </c>
      <c r="M71" s="23" t="str">
        <f t="shared" si="8"/>
        <v>1900</v>
      </c>
      <c r="N71" s="23" t="str">
        <f t="shared" si="9"/>
        <v>1900/01</v>
      </c>
      <c r="O71" s="24" t="str">
        <f t="shared" si="10"/>
        <v>00</v>
      </c>
      <c r="P71" s="24" t="str">
        <f t="shared" si="11"/>
        <v>0</v>
      </c>
      <c r="Q71" s="24" t="str">
        <f t="shared" si="12"/>
        <v>00000000,00</v>
      </c>
      <c r="R71" s="36" t="str">
        <f t="shared" ref="R71:R110" si="13">IF(A71="","",CONCATENATE(I71,H71,N71,D71,O71,P71,Q71))</f>
        <v/>
      </c>
      <c r="S71" t="str">
        <f t="shared" ref="S71:S110" si="14">IF(A71="","",LEN(R71))</f>
        <v/>
      </c>
      <c r="T71" t="str">
        <f t="shared" ref="T71:T110" si="15">IF(A71="","",IF(S71=59,"OK","ERROR DE LONGITUD DEL TEXTO"))</f>
        <v/>
      </c>
    </row>
    <row r="72" spans="1:20" x14ac:dyDescent="0.2">
      <c r="A72" s="28"/>
      <c r="B72" s="24"/>
      <c r="C72" s="35"/>
      <c r="D72" s="26"/>
      <c r="E72" s="25"/>
      <c r="F72" s="25"/>
      <c r="G72" s="23"/>
      <c r="H72" s="23" t="str">
        <f t="shared" si="3"/>
        <v>0000000000000</v>
      </c>
      <c r="I72" s="23" t="str">
        <f t="shared" si="4"/>
        <v>000</v>
      </c>
      <c r="J72" s="23">
        <f t="shared" si="5"/>
        <v>1</v>
      </c>
      <c r="K72" s="23" t="str">
        <f t="shared" si="6"/>
        <v>01</v>
      </c>
      <c r="L72" s="23">
        <f t="shared" si="7"/>
        <v>1900</v>
      </c>
      <c r="M72" s="23" t="str">
        <f t="shared" si="8"/>
        <v>1900</v>
      </c>
      <c r="N72" s="23" t="str">
        <f t="shared" si="9"/>
        <v>1900/01</v>
      </c>
      <c r="O72" s="24" t="str">
        <f t="shared" si="10"/>
        <v>00</v>
      </c>
      <c r="P72" s="24" t="str">
        <f t="shared" si="11"/>
        <v>0</v>
      </c>
      <c r="Q72" s="24" t="str">
        <f t="shared" si="12"/>
        <v>00000000,00</v>
      </c>
      <c r="R72" s="36" t="str">
        <f t="shared" si="13"/>
        <v/>
      </c>
      <c r="S72" t="str">
        <f t="shared" si="14"/>
        <v/>
      </c>
      <c r="T72" t="str">
        <f t="shared" si="15"/>
        <v/>
      </c>
    </row>
    <row r="73" spans="1:20" x14ac:dyDescent="0.2">
      <c r="A73" s="28"/>
      <c r="B73" s="24"/>
      <c r="C73" s="35"/>
      <c r="D73" s="26"/>
      <c r="E73" s="25"/>
      <c r="F73" s="25"/>
      <c r="G73" s="23"/>
      <c r="H73" s="23" t="str">
        <f t="shared" ref="H73:H110" si="16">TEXT(B73,"0000000000000")</f>
        <v>0000000000000</v>
      </c>
      <c r="I73" s="23" t="str">
        <f t="shared" ref="I73:I110" si="17">TEXT(A73,"000")</f>
        <v>000</v>
      </c>
      <c r="J73" s="23">
        <f t="shared" ref="J73:J110" si="18">MONTH(C73)</f>
        <v>1</v>
      </c>
      <c r="K73" s="23" t="str">
        <f t="shared" ref="K73:K110" si="19">TEXT(J73,"00")</f>
        <v>01</v>
      </c>
      <c r="L73" s="23">
        <f t="shared" ref="L73:L110" si="20">YEAR(C73)</f>
        <v>1900</v>
      </c>
      <c r="M73" s="23" t="str">
        <f t="shared" ref="M73:M110" si="21">TEXT(L73,"0000")</f>
        <v>1900</v>
      </c>
      <c r="N73" s="23" t="str">
        <f t="shared" ref="N73:N110" si="22">CONCATENATE(M73,"/",K73)</f>
        <v>1900/01</v>
      </c>
      <c r="O73" s="24" t="str">
        <f t="shared" ref="O73:O110" si="23">TEXT(E73,"00")</f>
        <v>00</v>
      </c>
      <c r="P73" s="24" t="str">
        <f t="shared" ref="P73:P110" si="24">TEXT(F73,"0")</f>
        <v>0</v>
      </c>
      <c r="Q73" s="24" t="str">
        <f t="shared" ref="Q73:Q110" si="25">TEXT(G73,"00000000,00")</f>
        <v>00000000,00</v>
      </c>
      <c r="R73" s="36" t="str">
        <f t="shared" si="13"/>
        <v/>
      </c>
      <c r="S73" t="str">
        <f t="shared" si="14"/>
        <v/>
      </c>
      <c r="T73" t="str">
        <f t="shared" si="15"/>
        <v/>
      </c>
    </row>
    <row r="74" spans="1:20" x14ac:dyDescent="0.2">
      <c r="A74" s="28"/>
      <c r="B74" s="24"/>
      <c r="C74" s="35"/>
      <c r="D74" s="26"/>
      <c r="E74" s="25"/>
      <c r="F74" s="25"/>
      <c r="G74" s="23"/>
      <c r="H74" s="23" t="str">
        <f t="shared" si="16"/>
        <v>0000000000000</v>
      </c>
      <c r="I74" s="23" t="str">
        <f t="shared" si="17"/>
        <v>000</v>
      </c>
      <c r="J74" s="23">
        <f t="shared" si="18"/>
        <v>1</v>
      </c>
      <c r="K74" s="23" t="str">
        <f t="shared" si="19"/>
        <v>01</v>
      </c>
      <c r="L74" s="23">
        <f t="shared" si="20"/>
        <v>1900</v>
      </c>
      <c r="M74" s="23" t="str">
        <f t="shared" si="21"/>
        <v>1900</v>
      </c>
      <c r="N74" s="23" t="str">
        <f t="shared" si="22"/>
        <v>1900/01</v>
      </c>
      <c r="O74" s="24" t="str">
        <f t="shared" si="23"/>
        <v>00</v>
      </c>
      <c r="P74" s="24" t="str">
        <f t="shared" si="24"/>
        <v>0</v>
      </c>
      <c r="Q74" s="24" t="str">
        <f t="shared" si="25"/>
        <v>00000000,00</v>
      </c>
      <c r="R74" s="36" t="str">
        <f t="shared" si="13"/>
        <v/>
      </c>
      <c r="S74" t="str">
        <f t="shared" si="14"/>
        <v/>
      </c>
      <c r="T74" t="str">
        <f t="shared" si="15"/>
        <v/>
      </c>
    </row>
    <row r="75" spans="1:20" x14ac:dyDescent="0.2">
      <c r="A75" s="28"/>
      <c r="B75" s="24"/>
      <c r="C75" s="35"/>
      <c r="D75" s="26"/>
      <c r="E75" s="25"/>
      <c r="F75" s="25"/>
      <c r="G75" s="23"/>
      <c r="H75" s="23" t="str">
        <f t="shared" si="16"/>
        <v>0000000000000</v>
      </c>
      <c r="I75" s="23" t="str">
        <f t="shared" si="17"/>
        <v>000</v>
      </c>
      <c r="J75" s="23">
        <f t="shared" si="18"/>
        <v>1</v>
      </c>
      <c r="K75" s="23" t="str">
        <f t="shared" si="19"/>
        <v>01</v>
      </c>
      <c r="L75" s="23">
        <f t="shared" si="20"/>
        <v>1900</v>
      </c>
      <c r="M75" s="23" t="str">
        <f t="shared" si="21"/>
        <v>1900</v>
      </c>
      <c r="N75" s="23" t="str">
        <f t="shared" si="22"/>
        <v>1900/01</v>
      </c>
      <c r="O75" s="24" t="str">
        <f t="shared" si="23"/>
        <v>00</v>
      </c>
      <c r="P75" s="24" t="str">
        <f t="shared" si="24"/>
        <v>0</v>
      </c>
      <c r="Q75" s="24" t="str">
        <f t="shared" si="25"/>
        <v>00000000,00</v>
      </c>
      <c r="R75" s="36" t="str">
        <f t="shared" si="13"/>
        <v/>
      </c>
      <c r="S75" t="str">
        <f t="shared" si="14"/>
        <v/>
      </c>
      <c r="T75" t="str">
        <f t="shared" si="15"/>
        <v/>
      </c>
    </row>
    <row r="76" spans="1:20" x14ac:dyDescent="0.2">
      <c r="A76" s="28"/>
      <c r="B76" s="24"/>
      <c r="C76" s="35"/>
      <c r="D76" s="26"/>
      <c r="E76" s="25"/>
      <c r="F76" s="25"/>
      <c r="G76" s="23"/>
      <c r="H76" s="23" t="str">
        <f t="shared" si="16"/>
        <v>0000000000000</v>
      </c>
      <c r="I76" s="23" t="str">
        <f t="shared" si="17"/>
        <v>000</v>
      </c>
      <c r="J76" s="23">
        <f t="shared" si="18"/>
        <v>1</v>
      </c>
      <c r="K76" s="23" t="str">
        <f t="shared" si="19"/>
        <v>01</v>
      </c>
      <c r="L76" s="23">
        <f t="shared" si="20"/>
        <v>1900</v>
      </c>
      <c r="M76" s="23" t="str">
        <f t="shared" si="21"/>
        <v>1900</v>
      </c>
      <c r="N76" s="23" t="str">
        <f t="shared" si="22"/>
        <v>1900/01</v>
      </c>
      <c r="O76" s="24" t="str">
        <f t="shared" si="23"/>
        <v>00</v>
      </c>
      <c r="P76" s="24" t="str">
        <f t="shared" si="24"/>
        <v>0</v>
      </c>
      <c r="Q76" s="24" t="str">
        <f t="shared" si="25"/>
        <v>00000000,00</v>
      </c>
      <c r="R76" s="36" t="str">
        <f t="shared" si="13"/>
        <v/>
      </c>
      <c r="S76" t="str">
        <f t="shared" si="14"/>
        <v/>
      </c>
      <c r="T76" t="str">
        <f t="shared" si="15"/>
        <v/>
      </c>
    </row>
    <row r="77" spans="1:20" x14ac:dyDescent="0.2">
      <c r="A77" s="28"/>
      <c r="B77" s="24"/>
      <c r="C77" s="35"/>
      <c r="D77" s="26"/>
      <c r="E77" s="25"/>
      <c r="F77" s="25"/>
      <c r="G77" s="23"/>
      <c r="H77" s="23" t="str">
        <f t="shared" si="16"/>
        <v>0000000000000</v>
      </c>
      <c r="I77" s="23" t="str">
        <f t="shared" si="17"/>
        <v>000</v>
      </c>
      <c r="J77" s="23">
        <f t="shared" si="18"/>
        <v>1</v>
      </c>
      <c r="K77" s="23" t="str">
        <f t="shared" si="19"/>
        <v>01</v>
      </c>
      <c r="L77" s="23">
        <f t="shared" si="20"/>
        <v>1900</v>
      </c>
      <c r="M77" s="23" t="str">
        <f t="shared" si="21"/>
        <v>1900</v>
      </c>
      <c r="N77" s="23" t="str">
        <f t="shared" si="22"/>
        <v>1900/01</v>
      </c>
      <c r="O77" s="24" t="str">
        <f t="shared" si="23"/>
        <v>00</v>
      </c>
      <c r="P77" s="24" t="str">
        <f t="shared" si="24"/>
        <v>0</v>
      </c>
      <c r="Q77" s="24" t="str">
        <f t="shared" si="25"/>
        <v>00000000,00</v>
      </c>
      <c r="R77" s="36" t="str">
        <f t="shared" si="13"/>
        <v/>
      </c>
      <c r="S77" t="str">
        <f t="shared" si="14"/>
        <v/>
      </c>
      <c r="T77" t="str">
        <f t="shared" si="15"/>
        <v/>
      </c>
    </row>
    <row r="78" spans="1:20" x14ac:dyDescent="0.2">
      <c r="A78" s="28"/>
      <c r="B78" s="24"/>
      <c r="C78" s="35"/>
      <c r="D78" s="26"/>
      <c r="E78" s="25"/>
      <c r="F78" s="25"/>
      <c r="G78" s="23"/>
      <c r="H78" s="23" t="str">
        <f t="shared" si="16"/>
        <v>0000000000000</v>
      </c>
      <c r="I78" s="23" t="str">
        <f t="shared" si="17"/>
        <v>000</v>
      </c>
      <c r="J78" s="23">
        <f t="shared" si="18"/>
        <v>1</v>
      </c>
      <c r="K78" s="23" t="str">
        <f t="shared" si="19"/>
        <v>01</v>
      </c>
      <c r="L78" s="23">
        <f t="shared" si="20"/>
        <v>1900</v>
      </c>
      <c r="M78" s="23" t="str">
        <f t="shared" si="21"/>
        <v>1900</v>
      </c>
      <c r="N78" s="23" t="str">
        <f t="shared" si="22"/>
        <v>1900/01</v>
      </c>
      <c r="O78" s="24" t="str">
        <f t="shared" si="23"/>
        <v>00</v>
      </c>
      <c r="P78" s="24" t="str">
        <f t="shared" si="24"/>
        <v>0</v>
      </c>
      <c r="Q78" s="24" t="str">
        <f t="shared" si="25"/>
        <v>00000000,00</v>
      </c>
      <c r="R78" s="36" t="str">
        <f t="shared" si="13"/>
        <v/>
      </c>
      <c r="S78" t="str">
        <f t="shared" si="14"/>
        <v/>
      </c>
      <c r="T78" t="str">
        <f t="shared" si="15"/>
        <v/>
      </c>
    </row>
    <row r="79" spans="1:20" x14ac:dyDescent="0.2">
      <c r="A79" s="28"/>
      <c r="B79" s="24"/>
      <c r="C79" s="35"/>
      <c r="D79" s="26"/>
      <c r="E79" s="25"/>
      <c r="F79" s="25"/>
      <c r="G79" s="23"/>
      <c r="H79" s="23" t="str">
        <f t="shared" si="16"/>
        <v>0000000000000</v>
      </c>
      <c r="I79" s="23" t="str">
        <f t="shared" si="17"/>
        <v>000</v>
      </c>
      <c r="J79" s="23">
        <f t="shared" si="18"/>
        <v>1</v>
      </c>
      <c r="K79" s="23" t="str">
        <f t="shared" si="19"/>
        <v>01</v>
      </c>
      <c r="L79" s="23">
        <f t="shared" si="20"/>
        <v>1900</v>
      </c>
      <c r="M79" s="23" t="str">
        <f t="shared" si="21"/>
        <v>1900</v>
      </c>
      <c r="N79" s="23" t="str">
        <f t="shared" si="22"/>
        <v>1900/01</v>
      </c>
      <c r="O79" s="24" t="str">
        <f t="shared" si="23"/>
        <v>00</v>
      </c>
      <c r="P79" s="24" t="str">
        <f t="shared" si="24"/>
        <v>0</v>
      </c>
      <c r="Q79" s="24" t="str">
        <f t="shared" si="25"/>
        <v>00000000,00</v>
      </c>
      <c r="R79" s="36" t="str">
        <f t="shared" si="13"/>
        <v/>
      </c>
      <c r="S79" t="str">
        <f t="shared" si="14"/>
        <v/>
      </c>
      <c r="T79" t="str">
        <f t="shared" si="15"/>
        <v/>
      </c>
    </row>
    <row r="80" spans="1:20" x14ac:dyDescent="0.2">
      <c r="A80" s="28"/>
      <c r="B80" s="24"/>
      <c r="C80" s="35"/>
      <c r="D80" s="26"/>
      <c r="E80" s="25"/>
      <c r="F80" s="25"/>
      <c r="G80" s="23"/>
      <c r="H80" s="23" t="str">
        <f t="shared" si="16"/>
        <v>0000000000000</v>
      </c>
      <c r="I80" s="23" t="str">
        <f t="shared" si="17"/>
        <v>000</v>
      </c>
      <c r="J80" s="23">
        <f t="shared" si="18"/>
        <v>1</v>
      </c>
      <c r="K80" s="23" t="str">
        <f t="shared" si="19"/>
        <v>01</v>
      </c>
      <c r="L80" s="23">
        <f t="shared" si="20"/>
        <v>1900</v>
      </c>
      <c r="M80" s="23" t="str">
        <f t="shared" si="21"/>
        <v>1900</v>
      </c>
      <c r="N80" s="23" t="str">
        <f t="shared" si="22"/>
        <v>1900/01</v>
      </c>
      <c r="O80" s="24" t="str">
        <f t="shared" si="23"/>
        <v>00</v>
      </c>
      <c r="P80" s="24" t="str">
        <f t="shared" si="24"/>
        <v>0</v>
      </c>
      <c r="Q80" s="24" t="str">
        <f t="shared" si="25"/>
        <v>00000000,00</v>
      </c>
      <c r="R80" s="36" t="str">
        <f t="shared" si="13"/>
        <v/>
      </c>
      <c r="S80" t="str">
        <f t="shared" si="14"/>
        <v/>
      </c>
      <c r="T80" t="str">
        <f t="shared" si="15"/>
        <v/>
      </c>
    </row>
    <row r="81" spans="1:20" x14ac:dyDescent="0.2">
      <c r="A81" s="28"/>
      <c r="B81" s="24"/>
      <c r="C81" s="35"/>
      <c r="D81" s="26"/>
      <c r="E81" s="25"/>
      <c r="F81" s="25"/>
      <c r="G81" s="23"/>
      <c r="H81" s="23" t="str">
        <f t="shared" si="16"/>
        <v>0000000000000</v>
      </c>
      <c r="I81" s="23" t="str">
        <f t="shared" si="17"/>
        <v>000</v>
      </c>
      <c r="J81" s="23">
        <f t="shared" si="18"/>
        <v>1</v>
      </c>
      <c r="K81" s="23" t="str">
        <f t="shared" si="19"/>
        <v>01</v>
      </c>
      <c r="L81" s="23">
        <f t="shared" si="20"/>
        <v>1900</v>
      </c>
      <c r="M81" s="23" t="str">
        <f t="shared" si="21"/>
        <v>1900</v>
      </c>
      <c r="N81" s="23" t="str">
        <f t="shared" si="22"/>
        <v>1900/01</v>
      </c>
      <c r="O81" s="24" t="str">
        <f t="shared" si="23"/>
        <v>00</v>
      </c>
      <c r="P81" s="24" t="str">
        <f t="shared" si="24"/>
        <v>0</v>
      </c>
      <c r="Q81" s="24" t="str">
        <f t="shared" si="25"/>
        <v>00000000,00</v>
      </c>
      <c r="R81" s="36" t="str">
        <f t="shared" si="13"/>
        <v/>
      </c>
      <c r="S81" t="str">
        <f t="shared" si="14"/>
        <v/>
      </c>
      <c r="T81" t="str">
        <f t="shared" si="15"/>
        <v/>
      </c>
    </row>
    <row r="82" spans="1:20" x14ac:dyDescent="0.2">
      <c r="A82" s="28"/>
      <c r="B82" s="24"/>
      <c r="C82" s="35"/>
      <c r="D82" s="26"/>
      <c r="E82" s="25"/>
      <c r="F82" s="25"/>
      <c r="G82" s="23"/>
      <c r="H82" s="23" t="str">
        <f t="shared" si="16"/>
        <v>0000000000000</v>
      </c>
      <c r="I82" s="23" t="str">
        <f t="shared" si="17"/>
        <v>000</v>
      </c>
      <c r="J82" s="23">
        <f t="shared" si="18"/>
        <v>1</v>
      </c>
      <c r="K82" s="23" t="str">
        <f t="shared" si="19"/>
        <v>01</v>
      </c>
      <c r="L82" s="23">
        <f t="shared" si="20"/>
        <v>1900</v>
      </c>
      <c r="M82" s="23" t="str">
        <f t="shared" si="21"/>
        <v>1900</v>
      </c>
      <c r="N82" s="23" t="str">
        <f t="shared" si="22"/>
        <v>1900/01</v>
      </c>
      <c r="O82" s="24" t="str">
        <f t="shared" si="23"/>
        <v>00</v>
      </c>
      <c r="P82" s="24" t="str">
        <f t="shared" si="24"/>
        <v>0</v>
      </c>
      <c r="Q82" s="24" t="str">
        <f t="shared" si="25"/>
        <v>00000000,00</v>
      </c>
      <c r="R82" s="36" t="str">
        <f t="shared" si="13"/>
        <v/>
      </c>
      <c r="S82" t="str">
        <f t="shared" si="14"/>
        <v/>
      </c>
      <c r="T82" t="str">
        <f t="shared" si="15"/>
        <v/>
      </c>
    </row>
    <row r="83" spans="1:20" x14ac:dyDescent="0.2">
      <c r="A83" s="28"/>
      <c r="B83" s="24"/>
      <c r="C83" s="35"/>
      <c r="D83" s="26"/>
      <c r="E83" s="25"/>
      <c r="F83" s="25"/>
      <c r="G83" s="23"/>
      <c r="H83" s="23" t="str">
        <f t="shared" si="16"/>
        <v>0000000000000</v>
      </c>
      <c r="I83" s="23" t="str">
        <f t="shared" si="17"/>
        <v>000</v>
      </c>
      <c r="J83" s="23">
        <f t="shared" si="18"/>
        <v>1</v>
      </c>
      <c r="K83" s="23" t="str">
        <f t="shared" si="19"/>
        <v>01</v>
      </c>
      <c r="L83" s="23">
        <f t="shared" si="20"/>
        <v>1900</v>
      </c>
      <c r="M83" s="23" t="str">
        <f t="shared" si="21"/>
        <v>1900</v>
      </c>
      <c r="N83" s="23" t="str">
        <f t="shared" si="22"/>
        <v>1900/01</v>
      </c>
      <c r="O83" s="24" t="str">
        <f t="shared" si="23"/>
        <v>00</v>
      </c>
      <c r="P83" s="24" t="str">
        <f t="shared" si="24"/>
        <v>0</v>
      </c>
      <c r="Q83" s="24" t="str">
        <f t="shared" si="25"/>
        <v>00000000,00</v>
      </c>
      <c r="R83" s="36" t="str">
        <f t="shared" si="13"/>
        <v/>
      </c>
      <c r="S83" t="str">
        <f t="shared" si="14"/>
        <v/>
      </c>
      <c r="T83" t="str">
        <f t="shared" si="15"/>
        <v/>
      </c>
    </row>
    <row r="84" spans="1:20" x14ac:dyDescent="0.2">
      <c r="A84" s="28"/>
      <c r="B84" s="24"/>
      <c r="C84" s="35"/>
      <c r="D84" s="26"/>
      <c r="E84" s="25"/>
      <c r="F84" s="25"/>
      <c r="G84" s="23"/>
      <c r="H84" s="23" t="str">
        <f t="shared" si="16"/>
        <v>0000000000000</v>
      </c>
      <c r="I84" s="23" t="str">
        <f t="shared" si="17"/>
        <v>000</v>
      </c>
      <c r="J84" s="23">
        <f t="shared" si="18"/>
        <v>1</v>
      </c>
      <c r="K84" s="23" t="str">
        <f t="shared" si="19"/>
        <v>01</v>
      </c>
      <c r="L84" s="23">
        <f t="shared" si="20"/>
        <v>1900</v>
      </c>
      <c r="M84" s="23" t="str">
        <f t="shared" si="21"/>
        <v>1900</v>
      </c>
      <c r="N84" s="23" t="str">
        <f t="shared" si="22"/>
        <v>1900/01</v>
      </c>
      <c r="O84" s="24" t="str">
        <f t="shared" si="23"/>
        <v>00</v>
      </c>
      <c r="P84" s="24" t="str">
        <f t="shared" si="24"/>
        <v>0</v>
      </c>
      <c r="Q84" s="24" t="str">
        <f t="shared" si="25"/>
        <v>00000000,00</v>
      </c>
      <c r="R84" s="36" t="str">
        <f t="shared" si="13"/>
        <v/>
      </c>
      <c r="S84" t="str">
        <f t="shared" si="14"/>
        <v/>
      </c>
      <c r="T84" t="str">
        <f t="shared" si="15"/>
        <v/>
      </c>
    </row>
    <row r="85" spans="1:20" x14ac:dyDescent="0.2">
      <c r="A85" s="28"/>
      <c r="B85" s="24"/>
      <c r="C85" s="35"/>
      <c r="D85" s="26"/>
      <c r="E85" s="25"/>
      <c r="F85" s="25"/>
      <c r="G85" s="23"/>
      <c r="H85" s="23" t="str">
        <f t="shared" si="16"/>
        <v>0000000000000</v>
      </c>
      <c r="I85" s="23" t="str">
        <f t="shared" si="17"/>
        <v>000</v>
      </c>
      <c r="J85" s="23">
        <f t="shared" si="18"/>
        <v>1</v>
      </c>
      <c r="K85" s="23" t="str">
        <f t="shared" si="19"/>
        <v>01</v>
      </c>
      <c r="L85" s="23">
        <f t="shared" si="20"/>
        <v>1900</v>
      </c>
      <c r="M85" s="23" t="str">
        <f t="shared" si="21"/>
        <v>1900</v>
      </c>
      <c r="N85" s="23" t="str">
        <f t="shared" si="22"/>
        <v>1900/01</v>
      </c>
      <c r="O85" s="24" t="str">
        <f t="shared" si="23"/>
        <v>00</v>
      </c>
      <c r="P85" s="24" t="str">
        <f t="shared" si="24"/>
        <v>0</v>
      </c>
      <c r="Q85" s="24" t="str">
        <f t="shared" si="25"/>
        <v>00000000,00</v>
      </c>
      <c r="R85" s="36" t="str">
        <f t="shared" si="13"/>
        <v/>
      </c>
      <c r="S85" t="str">
        <f t="shared" si="14"/>
        <v/>
      </c>
      <c r="T85" t="str">
        <f t="shared" si="15"/>
        <v/>
      </c>
    </row>
    <row r="86" spans="1:20" x14ac:dyDescent="0.2">
      <c r="A86" s="28"/>
      <c r="B86" s="24"/>
      <c r="C86" s="35"/>
      <c r="D86" s="26"/>
      <c r="E86" s="25"/>
      <c r="F86" s="25"/>
      <c r="G86" s="23"/>
      <c r="H86" s="23" t="str">
        <f t="shared" si="16"/>
        <v>0000000000000</v>
      </c>
      <c r="I86" s="23" t="str">
        <f t="shared" si="17"/>
        <v>000</v>
      </c>
      <c r="J86" s="23">
        <f t="shared" si="18"/>
        <v>1</v>
      </c>
      <c r="K86" s="23" t="str">
        <f t="shared" si="19"/>
        <v>01</v>
      </c>
      <c r="L86" s="23">
        <f t="shared" si="20"/>
        <v>1900</v>
      </c>
      <c r="M86" s="23" t="str">
        <f t="shared" si="21"/>
        <v>1900</v>
      </c>
      <c r="N86" s="23" t="str">
        <f t="shared" si="22"/>
        <v>1900/01</v>
      </c>
      <c r="O86" s="24" t="str">
        <f t="shared" si="23"/>
        <v>00</v>
      </c>
      <c r="P86" s="24" t="str">
        <f t="shared" si="24"/>
        <v>0</v>
      </c>
      <c r="Q86" s="24" t="str">
        <f t="shared" si="25"/>
        <v>00000000,00</v>
      </c>
      <c r="R86" s="36" t="str">
        <f t="shared" si="13"/>
        <v/>
      </c>
      <c r="S86" t="str">
        <f t="shared" si="14"/>
        <v/>
      </c>
      <c r="T86" t="str">
        <f t="shared" si="15"/>
        <v/>
      </c>
    </row>
    <row r="87" spans="1:20" x14ac:dyDescent="0.2">
      <c r="A87" s="28"/>
      <c r="B87" s="24"/>
      <c r="C87" s="35"/>
      <c r="D87" s="26"/>
      <c r="E87" s="25"/>
      <c r="F87" s="25"/>
      <c r="G87" s="23"/>
      <c r="H87" s="23" t="str">
        <f t="shared" si="16"/>
        <v>0000000000000</v>
      </c>
      <c r="I87" s="23" t="str">
        <f t="shared" si="17"/>
        <v>000</v>
      </c>
      <c r="J87" s="23">
        <f t="shared" si="18"/>
        <v>1</v>
      </c>
      <c r="K87" s="23" t="str">
        <f t="shared" si="19"/>
        <v>01</v>
      </c>
      <c r="L87" s="23">
        <f t="shared" si="20"/>
        <v>1900</v>
      </c>
      <c r="M87" s="23" t="str">
        <f t="shared" si="21"/>
        <v>1900</v>
      </c>
      <c r="N87" s="23" t="str">
        <f t="shared" si="22"/>
        <v>1900/01</v>
      </c>
      <c r="O87" s="24" t="str">
        <f t="shared" si="23"/>
        <v>00</v>
      </c>
      <c r="P87" s="24" t="str">
        <f t="shared" si="24"/>
        <v>0</v>
      </c>
      <c r="Q87" s="24" t="str">
        <f t="shared" si="25"/>
        <v>00000000,00</v>
      </c>
      <c r="R87" s="36" t="str">
        <f t="shared" si="13"/>
        <v/>
      </c>
      <c r="S87" t="str">
        <f t="shared" si="14"/>
        <v/>
      </c>
      <c r="T87" t="str">
        <f t="shared" si="15"/>
        <v/>
      </c>
    </row>
    <row r="88" spans="1:20" x14ac:dyDescent="0.2">
      <c r="A88" s="28"/>
      <c r="B88" s="24"/>
      <c r="C88" s="35"/>
      <c r="D88" s="26"/>
      <c r="E88" s="25"/>
      <c r="F88" s="25"/>
      <c r="G88" s="23"/>
      <c r="H88" s="23" t="str">
        <f t="shared" si="16"/>
        <v>0000000000000</v>
      </c>
      <c r="I88" s="23" t="str">
        <f t="shared" si="17"/>
        <v>000</v>
      </c>
      <c r="J88" s="23">
        <f t="shared" si="18"/>
        <v>1</v>
      </c>
      <c r="K88" s="23" t="str">
        <f t="shared" si="19"/>
        <v>01</v>
      </c>
      <c r="L88" s="23">
        <f t="shared" si="20"/>
        <v>1900</v>
      </c>
      <c r="M88" s="23" t="str">
        <f t="shared" si="21"/>
        <v>1900</v>
      </c>
      <c r="N88" s="23" t="str">
        <f t="shared" si="22"/>
        <v>1900/01</v>
      </c>
      <c r="O88" s="24" t="str">
        <f t="shared" si="23"/>
        <v>00</v>
      </c>
      <c r="P88" s="24" t="str">
        <f t="shared" si="24"/>
        <v>0</v>
      </c>
      <c r="Q88" s="24" t="str">
        <f t="shared" si="25"/>
        <v>00000000,00</v>
      </c>
      <c r="R88" s="36" t="str">
        <f t="shared" si="13"/>
        <v/>
      </c>
      <c r="S88" t="str">
        <f t="shared" si="14"/>
        <v/>
      </c>
      <c r="T88" t="str">
        <f t="shared" si="15"/>
        <v/>
      </c>
    </row>
    <row r="89" spans="1:20" x14ac:dyDescent="0.2">
      <c r="A89" s="28"/>
      <c r="B89" s="24"/>
      <c r="C89" s="35"/>
      <c r="D89" s="26"/>
      <c r="E89" s="25"/>
      <c r="F89" s="25"/>
      <c r="G89" s="23"/>
      <c r="H89" s="23" t="str">
        <f t="shared" si="16"/>
        <v>0000000000000</v>
      </c>
      <c r="I89" s="23" t="str">
        <f t="shared" si="17"/>
        <v>000</v>
      </c>
      <c r="J89" s="23">
        <f t="shared" si="18"/>
        <v>1</v>
      </c>
      <c r="K89" s="23" t="str">
        <f t="shared" si="19"/>
        <v>01</v>
      </c>
      <c r="L89" s="23">
        <f t="shared" si="20"/>
        <v>1900</v>
      </c>
      <c r="M89" s="23" t="str">
        <f t="shared" si="21"/>
        <v>1900</v>
      </c>
      <c r="N89" s="23" t="str">
        <f t="shared" si="22"/>
        <v>1900/01</v>
      </c>
      <c r="O89" s="24" t="str">
        <f t="shared" si="23"/>
        <v>00</v>
      </c>
      <c r="P89" s="24" t="str">
        <f t="shared" si="24"/>
        <v>0</v>
      </c>
      <c r="Q89" s="24" t="str">
        <f t="shared" si="25"/>
        <v>00000000,00</v>
      </c>
      <c r="R89" s="36" t="str">
        <f t="shared" si="13"/>
        <v/>
      </c>
      <c r="S89" t="str">
        <f t="shared" si="14"/>
        <v/>
      </c>
      <c r="T89" t="str">
        <f t="shared" si="15"/>
        <v/>
      </c>
    </row>
    <row r="90" spans="1:20" x14ac:dyDescent="0.2">
      <c r="A90" s="28"/>
      <c r="B90" s="24"/>
      <c r="C90" s="35"/>
      <c r="D90" s="26"/>
      <c r="E90" s="25"/>
      <c r="F90" s="25"/>
      <c r="G90" s="23"/>
      <c r="H90" s="23" t="str">
        <f t="shared" si="16"/>
        <v>0000000000000</v>
      </c>
      <c r="I90" s="23" t="str">
        <f t="shared" si="17"/>
        <v>000</v>
      </c>
      <c r="J90" s="23">
        <f t="shared" si="18"/>
        <v>1</v>
      </c>
      <c r="K90" s="23" t="str">
        <f t="shared" si="19"/>
        <v>01</v>
      </c>
      <c r="L90" s="23">
        <f t="shared" si="20"/>
        <v>1900</v>
      </c>
      <c r="M90" s="23" t="str">
        <f t="shared" si="21"/>
        <v>1900</v>
      </c>
      <c r="N90" s="23" t="str">
        <f t="shared" si="22"/>
        <v>1900/01</v>
      </c>
      <c r="O90" s="24" t="str">
        <f t="shared" si="23"/>
        <v>00</v>
      </c>
      <c r="P90" s="24" t="str">
        <f t="shared" si="24"/>
        <v>0</v>
      </c>
      <c r="Q90" s="24" t="str">
        <f t="shared" si="25"/>
        <v>00000000,00</v>
      </c>
      <c r="R90" s="36" t="str">
        <f t="shared" si="13"/>
        <v/>
      </c>
      <c r="S90" t="str">
        <f t="shared" si="14"/>
        <v/>
      </c>
      <c r="T90" t="str">
        <f t="shared" si="15"/>
        <v/>
      </c>
    </row>
    <row r="91" spans="1:20" x14ac:dyDescent="0.2">
      <c r="A91" s="28"/>
      <c r="B91" s="24"/>
      <c r="C91" s="35"/>
      <c r="D91" s="26"/>
      <c r="E91" s="25"/>
      <c r="F91" s="25"/>
      <c r="G91" s="23"/>
      <c r="H91" s="23" t="str">
        <f t="shared" si="16"/>
        <v>0000000000000</v>
      </c>
      <c r="I91" s="23" t="str">
        <f t="shared" si="17"/>
        <v>000</v>
      </c>
      <c r="J91" s="23">
        <f t="shared" si="18"/>
        <v>1</v>
      </c>
      <c r="K91" s="23" t="str">
        <f t="shared" si="19"/>
        <v>01</v>
      </c>
      <c r="L91" s="23">
        <f t="shared" si="20"/>
        <v>1900</v>
      </c>
      <c r="M91" s="23" t="str">
        <f t="shared" si="21"/>
        <v>1900</v>
      </c>
      <c r="N91" s="23" t="str">
        <f t="shared" si="22"/>
        <v>1900/01</v>
      </c>
      <c r="O91" s="24" t="str">
        <f t="shared" si="23"/>
        <v>00</v>
      </c>
      <c r="P91" s="24" t="str">
        <f t="shared" si="24"/>
        <v>0</v>
      </c>
      <c r="Q91" s="24" t="str">
        <f t="shared" si="25"/>
        <v>00000000,00</v>
      </c>
      <c r="R91" s="36" t="str">
        <f t="shared" si="13"/>
        <v/>
      </c>
      <c r="S91" t="str">
        <f t="shared" si="14"/>
        <v/>
      </c>
      <c r="T91" t="str">
        <f t="shared" si="15"/>
        <v/>
      </c>
    </row>
    <row r="92" spans="1:20" x14ac:dyDescent="0.2">
      <c r="A92" s="28"/>
      <c r="B92" s="24"/>
      <c r="C92" s="35"/>
      <c r="D92" s="26"/>
      <c r="E92" s="25"/>
      <c r="F92" s="25"/>
      <c r="G92" s="23"/>
      <c r="H92" s="23" t="str">
        <f t="shared" si="16"/>
        <v>0000000000000</v>
      </c>
      <c r="I92" s="23" t="str">
        <f t="shared" si="17"/>
        <v>000</v>
      </c>
      <c r="J92" s="23">
        <f t="shared" si="18"/>
        <v>1</v>
      </c>
      <c r="K92" s="23" t="str">
        <f t="shared" si="19"/>
        <v>01</v>
      </c>
      <c r="L92" s="23">
        <f t="shared" si="20"/>
        <v>1900</v>
      </c>
      <c r="M92" s="23" t="str">
        <f t="shared" si="21"/>
        <v>1900</v>
      </c>
      <c r="N92" s="23" t="str">
        <f t="shared" si="22"/>
        <v>1900/01</v>
      </c>
      <c r="O92" s="24" t="str">
        <f t="shared" si="23"/>
        <v>00</v>
      </c>
      <c r="P92" s="24" t="str">
        <f t="shared" si="24"/>
        <v>0</v>
      </c>
      <c r="Q92" s="24" t="str">
        <f t="shared" si="25"/>
        <v>00000000,00</v>
      </c>
      <c r="R92" s="36" t="str">
        <f t="shared" si="13"/>
        <v/>
      </c>
      <c r="S92" t="str">
        <f t="shared" si="14"/>
        <v/>
      </c>
      <c r="T92" t="str">
        <f t="shared" si="15"/>
        <v/>
      </c>
    </row>
    <row r="93" spans="1:20" x14ac:dyDescent="0.2">
      <c r="A93" s="28"/>
      <c r="B93" s="24"/>
      <c r="C93" s="35"/>
      <c r="D93" s="26"/>
      <c r="E93" s="25"/>
      <c r="F93" s="25"/>
      <c r="G93" s="23"/>
      <c r="H93" s="23" t="str">
        <f t="shared" si="16"/>
        <v>0000000000000</v>
      </c>
      <c r="I93" s="23" t="str">
        <f t="shared" si="17"/>
        <v>000</v>
      </c>
      <c r="J93" s="23">
        <f t="shared" si="18"/>
        <v>1</v>
      </c>
      <c r="K93" s="23" t="str">
        <f t="shared" si="19"/>
        <v>01</v>
      </c>
      <c r="L93" s="23">
        <f t="shared" si="20"/>
        <v>1900</v>
      </c>
      <c r="M93" s="23" t="str">
        <f t="shared" si="21"/>
        <v>1900</v>
      </c>
      <c r="N93" s="23" t="str">
        <f t="shared" si="22"/>
        <v>1900/01</v>
      </c>
      <c r="O93" s="24" t="str">
        <f t="shared" si="23"/>
        <v>00</v>
      </c>
      <c r="P93" s="24" t="str">
        <f t="shared" si="24"/>
        <v>0</v>
      </c>
      <c r="Q93" s="24" t="str">
        <f t="shared" si="25"/>
        <v>00000000,00</v>
      </c>
      <c r="R93" s="36" t="str">
        <f t="shared" si="13"/>
        <v/>
      </c>
      <c r="S93" t="str">
        <f t="shared" si="14"/>
        <v/>
      </c>
      <c r="T93" t="str">
        <f t="shared" si="15"/>
        <v/>
      </c>
    </row>
    <row r="94" spans="1:20" x14ac:dyDescent="0.2">
      <c r="A94" s="28"/>
      <c r="B94" s="24"/>
      <c r="C94" s="35"/>
      <c r="D94" s="26"/>
      <c r="E94" s="25"/>
      <c r="F94" s="25"/>
      <c r="G94" s="23"/>
      <c r="H94" s="23" t="str">
        <f t="shared" si="16"/>
        <v>0000000000000</v>
      </c>
      <c r="I94" s="23" t="str">
        <f t="shared" si="17"/>
        <v>000</v>
      </c>
      <c r="J94" s="23">
        <f t="shared" si="18"/>
        <v>1</v>
      </c>
      <c r="K94" s="23" t="str">
        <f t="shared" si="19"/>
        <v>01</v>
      </c>
      <c r="L94" s="23">
        <f t="shared" si="20"/>
        <v>1900</v>
      </c>
      <c r="M94" s="23" t="str">
        <f t="shared" si="21"/>
        <v>1900</v>
      </c>
      <c r="N94" s="23" t="str">
        <f t="shared" si="22"/>
        <v>1900/01</v>
      </c>
      <c r="O94" s="24" t="str">
        <f t="shared" si="23"/>
        <v>00</v>
      </c>
      <c r="P94" s="24" t="str">
        <f t="shared" si="24"/>
        <v>0</v>
      </c>
      <c r="Q94" s="24" t="str">
        <f t="shared" si="25"/>
        <v>00000000,00</v>
      </c>
      <c r="R94" s="36" t="str">
        <f t="shared" si="13"/>
        <v/>
      </c>
      <c r="S94" t="str">
        <f t="shared" si="14"/>
        <v/>
      </c>
      <c r="T94" t="str">
        <f t="shared" si="15"/>
        <v/>
      </c>
    </row>
    <row r="95" spans="1:20" x14ac:dyDescent="0.2">
      <c r="A95" s="28"/>
      <c r="B95" s="24"/>
      <c r="C95" s="35"/>
      <c r="D95" s="26"/>
      <c r="E95" s="25"/>
      <c r="F95" s="25"/>
      <c r="G95" s="23"/>
      <c r="H95" s="23" t="str">
        <f t="shared" si="16"/>
        <v>0000000000000</v>
      </c>
      <c r="I95" s="23" t="str">
        <f t="shared" si="17"/>
        <v>000</v>
      </c>
      <c r="J95" s="23">
        <f t="shared" si="18"/>
        <v>1</v>
      </c>
      <c r="K95" s="23" t="str">
        <f t="shared" si="19"/>
        <v>01</v>
      </c>
      <c r="L95" s="23">
        <f t="shared" si="20"/>
        <v>1900</v>
      </c>
      <c r="M95" s="23" t="str">
        <f t="shared" si="21"/>
        <v>1900</v>
      </c>
      <c r="N95" s="23" t="str">
        <f t="shared" si="22"/>
        <v>1900/01</v>
      </c>
      <c r="O95" s="24" t="str">
        <f t="shared" si="23"/>
        <v>00</v>
      </c>
      <c r="P95" s="24" t="str">
        <f t="shared" si="24"/>
        <v>0</v>
      </c>
      <c r="Q95" s="24" t="str">
        <f t="shared" si="25"/>
        <v>00000000,00</v>
      </c>
      <c r="R95" s="36" t="str">
        <f t="shared" si="13"/>
        <v/>
      </c>
      <c r="S95" t="str">
        <f t="shared" si="14"/>
        <v/>
      </c>
      <c r="T95" t="str">
        <f t="shared" si="15"/>
        <v/>
      </c>
    </row>
    <row r="96" spans="1:20" x14ac:dyDescent="0.2">
      <c r="A96" s="28"/>
      <c r="B96" s="24"/>
      <c r="C96" s="35"/>
      <c r="D96" s="26"/>
      <c r="E96" s="25"/>
      <c r="F96" s="25"/>
      <c r="G96" s="23"/>
      <c r="H96" s="23" t="str">
        <f t="shared" si="16"/>
        <v>0000000000000</v>
      </c>
      <c r="I96" s="23" t="str">
        <f t="shared" si="17"/>
        <v>000</v>
      </c>
      <c r="J96" s="23">
        <f t="shared" si="18"/>
        <v>1</v>
      </c>
      <c r="K96" s="23" t="str">
        <f t="shared" si="19"/>
        <v>01</v>
      </c>
      <c r="L96" s="23">
        <f t="shared" si="20"/>
        <v>1900</v>
      </c>
      <c r="M96" s="23" t="str">
        <f t="shared" si="21"/>
        <v>1900</v>
      </c>
      <c r="N96" s="23" t="str">
        <f t="shared" si="22"/>
        <v>1900/01</v>
      </c>
      <c r="O96" s="24" t="str">
        <f t="shared" si="23"/>
        <v>00</v>
      </c>
      <c r="P96" s="24" t="str">
        <f t="shared" si="24"/>
        <v>0</v>
      </c>
      <c r="Q96" s="24" t="str">
        <f t="shared" si="25"/>
        <v>00000000,00</v>
      </c>
      <c r="R96" s="36" t="str">
        <f t="shared" si="13"/>
        <v/>
      </c>
      <c r="S96" t="str">
        <f t="shared" si="14"/>
        <v/>
      </c>
      <c r="T96" t="str">
        <f t="shared" si="15"/>
        <v/>
      </c>
    </row>
    <row r="97" spans="1:20" x14ac:dyDescent="0.2">
      <c r="A97" s="28"/>
      <c r="B97" s="24"/>
      <c r="C97" s="35"/>
      <c r="D97" s="26"/>
      <c r="E97" s="25"/>
      <c r="F97" s="25"/>
      <c r="G97" s="23"/>
      <c r="H97" s="23" t="str">
        <f t="shared" si="16"/>
        <v>0000000000000</v>
      </c>
      <c r="I97" s="23" t="str">
        <f t="shared" si="17"/>
        <v>000</v>
      </c>
      <c r="J97" s="23">
        <f t="shared" si="18"/>
        <v>1</v>
      </c>
      <c r="K97" s="23" t="str">
        <f t="shared" si="19"/>
        <v>01</v>
      </c>
      <c r="L97" s="23">
        <f t="shared" si="20"/>
        <v>1900</v>
      </c>
      <c r="M97" s="23" t="str">
        <f t="shared" si="21"/>
        <v>1900</v>
      </c>
      <c r="N97" s="23" t="str">
        <f t="shared" si="22"/>
        <v>1900/01</v>
      </c>
      <c r="O97" s="24" t="str">
        <f t="shared" si="23"/>
        <v>00</v>
      </c>
      <c r="P97" s="24" t="str">
        <f t="shared" si="24"/>
        <v>0</v>
      </c>
      <c r="Q97" s="24" t="str">
        <f t="shared" si="25"/>
        <v>00000000,00</v>
      </c>
      <c r="R97" s="36" t="str">
        <f t="shared" si="13"/>
        <v/>
      </c>
      <c r="S97" t="str">
        <f t="shared" si="14"/>
        <v/>
      </c>
      <c r="T97" t="str">
        <f t="shared" si="15"/>
        <v/>
      </c>
    </row>
    <row r="98" spans="1:20" x14ac:dyDescent="0.2">
      <c r="A98" s="28"/>
      <c r="B98" s="24"/>
      <c r="C98" s="35"/>
      <c r="D98" s="26"/>
      <c r="E98" s="25"/>
      <c r="F98" s="25"/>
      <c r="G98" s="23"/>
      <c r="H98" s="23" t="str">
        <f t="shared" si="16"/>
        <v>0000000000000</v>
      </c>
      <c r="I98" s="23" t="str">
        <f t="shared" si="17"/>
        <v>000</v>
      </c>
      <c r="J98" s="23">
        <f t="shared" si="18"/>
        <v>1</v>
      </c>
      <c r="K98" s="23" t="str">
        <f t="shared" si="19"/>
        <v>01</v>
      </c>
      <c r="L98" s="23">
        <f t="shared" si="20"/>
        <v>1900</v>
      </c>
      <c r="M98" s="23" t="str">
        <f t="shared" si="21"/>
        <v>1900</v>
      </c>
      <c r="N98" s="23" t="str">
        <f t="shared" si="22"/>
        <v>1900/01</v>
      </c>
      <c r="O98" s="24" t="str">
        <f t="shared" si="23"/>
        <v>00</v>
      </c>
      <c r="P98" s="24" t="str">
        <f t="shared" si="24"/>
        <v>0</v>
      </c>
      <c r="Q98" s="24" t="str">
        <f t="shared" si="25"/>
        <v>00000000,00</v>
      </c>
      <c r="R98" s="36" t="str">
        <f t="shared" si="13"/>
        <v/>
      </c>
      <c r="S98" t="str">
        <f t="shared" si="14"/>
        <v/>
      </c>
      <c r="T98" t="str">
        <f t="shared" si="15"/>
        <v/>
      </c>
    </row>
    <row r="99" spans="1:20" x14ac:dyDescent="0.2">
      <c r="A99" s="28"/>
      <c r="B99" s="24"/>
      <c r="C99" s="35"/>
      <c r="D99" s="26"/>
      <c r="E99" s="25"/>
      <c r="F99" s="25"/>
      <c r="G99" s="23"/>
      <c r="H99" s="23" t="str">
        <f t="shared" si="16"/>
        <v>0000000000000</v>
      </c>
      <c r="I99" s="23" t="str">
        <f t="shared" si="17"/>
        <v>000</v>
      </c>
      <c r="J99" s="23">
        <f t="shared" si="18"/>
        <v>1</v>
      </c>
      <c r="K99" s="23" t="str">
        <f t="shared" si="19"/>
        <v>01</v>
      </c>
      <c r="L99" s="23">
        <f t="shared" si="20"/>
        <v>1900</v>
      </c>
      <c r="M99" s="23" t="str">
        <f t="shared" si="21"/>
        <v>1900</v>
      </c>
      <c r="N99" s="23" t="str">
        <f t="shared" si="22"/>
        <v>1900/01</v>
      </c>
      <c r="O99" s="24" t="str">
        <f t="shared" si="23"/>
        <v>00</v>
      </c>
      <c r="P99" s="24" t="str">
        <f t="shared" si="24"/>
        <v>0</v>
      </c>
      <c r="Q99" s="24" t="str">
        <f t="shared" si="25"/>
        <v>00000000,00</v>
      </c>
      <c r="R99" s="36" t="str">
        <f t="shared" si="13"/>
        <v/>
      </c>
      <c r="S99" t="str">
        <f t="shared" si="14"/>
        <v/>
      </c>
      <c r="T99" t="str">
        <f t="shared" si="15"/>
        <v/>
      </c>
    </row>
    <row r="100" spans="1:20" x14ac:dyDescent="0.2">
      <c r="A100" s="28"/>
      <c r="B100" s="24"/>
      <c r="C100" s="35"/>
      <c r="D100" s="26"/>
      <c r="E100" s="25"/>
      <c r="F100" s="25"/>
      <c r="G100" s="23"/>
      <c r="H100" s="23" t="str">
        <f t="shared" si="16"/>
        <v>0000000000000</v>
      </c>
      <c r="I100" s="23" t="str">
        <f t="shared" si="17"/>
        <v>000</v>
      </c>
      <c r="J100" s="23">
        <f t="shared" si="18"/>
        <v>1</v>
      </c>
      <c r="K100" s="23" t="str">
        <f t="shared" si="19"/>
        <v>01</v>
      </c>
      <c r="L100" s="23">
        <f t="shared" si="20"/>
        <v>1900</v>
      </c>
      <c r="M100" s="23" t="str">
        <f t="shared" si="21"/>
        <v>1900</v>
      </c>
      <c r="N100" s="23" t="str">
        <f t="shared" si="22"/>
        <v>1900/01</v>
      </c>
      <c r="O100" s="24" t="str">
        <f t="shared" si="23"/>
        <v>00</v>
      </c>
      <c r="P100" s="24" t="str">
        <f t="shared" si="24"/>
        <v>0</v>
      </c>
      <c r="Q100" s="24" t="str">
        <f t="shared" si="25"/>
        <v>00000000,00</v>
      </c>
      <c r="R100" s="36" t="str">
        <f t="shared" si="13"/>
        <v/>
      </c>
      <c r="S100" t="str">
        <f t="shared" si="14"/>
        <v/>
      </c>
      <c r="T100" t="str">
        <f t="shared" si="15"/>
        <v/>
      </c>
    </row>
    <row r="101" spans="1:20" x14ac:dyDescent="0.2">
      <c r="A101" s="28"/>
      <c r="B101" s="24"/>
      <c r="C101" s="35"/>
      <c r="D101" s="26"/>
      <c r="E101" s="25"/>
      <c r="F101" s="25"/>
      <c r="G101" s="23"/>
      <c r="H101" s="23" t="str">
        <f t="shared" si="16"/>
        <v>0000000000000</v>
      </c>
      <c r="I101" s="23" t="str">
        <f t="shared" si="17"/>
        <v>000</v>
      </c>
      <c r="J101" s="23">
        <f t="shared" si="18"/>
        <v>1</v>
      </c>
      <c r="K101" s="23" t="str">
        <f t="shared" si="19"/>
        <v>01</v>
      </c>
      <c r="L101" s="23">
        <f t="shared" si="20"/>
        <v>1900</v>
      </c>
      <c r="M101" s="23" t="str">
        <f t="shared" si="21"/>
        <v>1900</v>
      </c>
      <c r="N101" s="23" t="str">
        <f t="shared" si="22"/>
        <v>1900/01</v>
      </c>
      <c r="O101" s="24" t="str">
        <f t="shared" si="23"/>
        <v>00</v>
      </c>
      <c r="P101" s="24" t="str">
        <f t="shared" si="24"/>
        <v>0</v>
      </c>
      <c r="Q101" s="24" t="str">
        <f t="shared" si="25"/>
        <v>00000000,00</v>
      </c>
      <c r="R101" s="36" t="str">
        <f t="shared" si="13"/>
        <v/>
      </c>
      <c r="S101" t="str">
        <f t="shared" si="14"/>
        <v/>
      </c>
      <c r="T101" t="str">
        <f t="shared" si="15"/>
        <v/>
      </c>
    </row>
    <row r="102" spans="1:20" x14ac:dyDescent="0.2">
      <c r="A102" s="28"/>
      <c r="B102" s="24"/>
      <c r="C102" s="35"/>
      <c r="D102" s="26"/>
      <c r="E102" s="25"/>
      <c r="F102" s="25"/>
      <c r="G102" s="23"/>
      <c r="H102" s="23" t="str">
        <f t="shared" si="16"/>
        <v>0000000000000</v>
      </c>
      <c r="I102" s="23" t="str">
        <f t="shared" si="17"/>
        <v>000</v>
      </c>
      <c r="J102" s="23">
        <f t="shared" si="18"/>
        <v>1</v>
      </c>
      <c r="K102" s="23" t="str">
        <f t="shared" si="19"/>
        <v>01</v>
      </c>
      <c r="L102" s="23">
        <f t="shared" si="20"/>
        <v>1900</v>
      </c>
      <c r="M102" s="23" t="str">
        <f t="shared" si="21"/>
        <v>1900</v>
      </c>
      <c r="N102" s="23" t="str">
        <f t="shared" si="22"/>
        <v>1900/01</v>
      </c>
      <c r="O102" s="24" t="str">
        <f t="shared" si="23"/>
        <v>00</v>
      </c>
      <c r="P102" s="24" t="str">
        <f t="shared" si="24"/>
        <v>0</v>
      </c>
      <c r="Q102" s="24" t="str">
        <f t="shared" si="25"/>
        <v>00000000,00</v>
      </c>
      <c r="R102" s="36" t="str">
        <f t="shared" si="13"/>
        <v/>
      </c>
      <c r="S102" t="str">
        <f t="shared" si="14"/>
        <v/>
      </c>
      <c r="T102" t="str">
        <f t="shared" si="15"/>
        <v/>
      </c>
    </row>
    <row r="103" spans="1:20" x14ac:dyDescent="0.2">
      <c r="A103" s="28"/>
      <c r="B103" s="24"/>
      <c r="C103" s="35"/>
      <c r="D103" s="26"/>
      <c r="E103" s="25"/>
      <c r="F103" s="25"/>
      <c r="G103" s="23"/>
      <c r="H103" s="23" t="str">
        <f t="shared" si="16"/>
        <v>0000000000000</v>
      </c>
      <c r="I103" s="23" t="str">
        <f t="shared" si="17"/>
        <v>000</v>
      </c>
      <c r="J103" s="23">
        <f t="shared" si="18"/>
        <v>1</v>
      </c>
      <c r="K103" s="23" t="str">
        <f t="shared" si="19"/>
        <v>01</v>
      </c>
      <c r="L103" s="23">
        <f t="shared" si="20"/>
        <v>1900</v>
      </c>
      <c r="M103" s="23" t="str">
        <f t="shared" si="21"/>
        <v>1900</v>
      </c>
      <c r="N103" s="23" t="str">
        <f t="shared" si="22"/>
        <v>1900/01</v>
      </c>
      <c r="O103" s="24" t="str">
        <f t="shared" si="23"/>
        <v>00</v>
      </c>
      <c r="P103" s="24" t="str">
        <f t="shared" si="24"/>
        <v>0</v>
      </c>
      <c r="Q103" s="24" t="str">
        <f t="shared" si="25"/>
        <v>00000000,00</v>
      </c>
      <c r="R103" s="36" t="str">
        <f t="shared" si="13"/>
        <v/>
      </c>
      <c r="S103" t="str">
        <f t="shared" si="14"/>
        <v/>
      </c>
      <c r="T103" t="str">
        <f t="shared" si="15"/>
        <v/>
      </c>
    </row>
    <row r="104" spans="1:20" x14ac:dyDescent="0.2">
      <c r="A104" s="28"/>
      <c r="B104" s="24"/>
      <c r="C104" s="35"/>
      <c r="D104" s="26"/>
      <c r="E104" s="25"/>
      <c r="F104" s="25"/>
      <c r="G104" s="23"/>
      <c r="H104" s="23" t="str">
        <f t="shared" si="16"/>
        <v>0000000000000</v>
      </c>
      <c r="I104" s="23" t="str">
        <f t="shared" si="17"/>
        <v>000</v>
      </c>
      <c r="J104" s="23">
        <f t="shared" si="18"/>
        <v>1</v>
      </c>
      <c r="K104" s="23" t="str">
        <f t="shared" si="19"/>
        <v>01</v>
      </c>
      <c r="L104" s="23">
        <f t="shared" si="20"/>
        <v>1900</v>
      </c>
      <c r="M104" s="23" t="str">
        <f t="shared" si="21"/>
        <v>1900</v>
      </c>
      <c r="N104" s="23" t="str">
        <f t="shared" si="22"/>
        <v>1900/01</v>
      </c>
      <c r="O104" s="24" t="str">
        <f t="shared" si="23"/>
        <v>00</v>
      </c>
      <c r="P104" s="24" t="str">
        <f t="shared" si="24"/>
        <v>0</v>
      </c>
      <c r="Q104" s="24" t="str">
        <f t="shared" si="25"/>
        <v>00000000,00</v>
      </c>
      <c r="R104" s="36" t="str">
        <f t="shared" si="13"/>
        <v/>
      </c>
      <c r="S104" t="str">
        <f t="shared" si="14"/>
        <v/>
      </c>
      <c r="T104" t="str">
        <f t="shared" si="15"/>
        <v/>
      </c>
    </row>
    <row r="105" spans="1:20" x14ac:dyDescent="0.2">
      <c r="A105" s="28"/>
      <c r="B105" s="24"/>
      <c r="C105" s="35"/>
      <c r="D105" s="26"/>
      <c r="E105" s="25"/>
      <c r="F105" s="25"/>
      <c r="G105" s="23"/>
      <c r="H105" s="23" t="str">
        <f t="shared" si="16"/>
        <v>0000000000000</v>
      </c>
      <c r="I105" s="23" t="str">
        <f t="shared" si="17"/>
        <v>000</v>
      </c>
      <c r="J105" s="23">
        <f t="shared" si="18"/>
        <v>1</v>
      </c>
      <c r="K105" s="23" t="str">
        <f t="shared" si="19"/>
        <v>01</v>
      </c>
      <c r="L105" s="23">
        <f t="shared" si="20"/>
        <v>1900</v>
      </c>
      <c r="M105" s="23" t="str">
        <f t="shared" si="21"/>
        <v>1900</v>
      </c>
      <c r="N105" s="23" t="str">
        <f t="shared" si="22"/>
        <v>1900/01</v>
      </c>
      <c r="O105" s="24" t="str">
        <f t="shared" si="23"/>
        <v>00</v>
      </c>
      <c r="P105" s="24" t="str">
        <f t="shared" si="24"/>
        <v>0</v>
      </c>
      <c r="Q105" s="24" t="str">
        <f t="shared" si="25"/>
        <v>00000000,00</v>
      </c>
      <c r="R105" s="36" t="str">
        <f t="shared" si="13"/>
        <v/>
      </c>
      <c r="S105" t="str">
        <f t="shared" si="14"/>
        <v/>
      </c>
      <c r="T105" t="str">
        <f t="shared" si="15"/>
        <v/>
      </c>
    </row>
    <row r="106" spans="1:20" x14ac:dyDescent="0.2">
      <c r="A106" s="28"/>
      <c r="B106" s="24"/>
      <c r="C106" s="35"/>
      <c r="D106" s="26"/>
      <c r="E106" s="25"/>
      <c r="F106" s="25"/>
      <c r="G106" s="23"/>
      <c r="H106" s="23" t="str">
        <f t="shared" si="16"/>
        <v>0000000000000</v>
      </c>
      <c r="I106" s="23" t="str">
        <f t="shared" si="17"/>
        <v>000</v>
      </c>
      <c r="J106" s="23">
        <f t="shared" si="18"/>
        <v>1</v>
      </c>
      <c r="K106" s="23" t="str">
        <f t="shared" si="19"/>
        <v>01</v>
      </c>
      <c r="L106" s="23">
        <f t="shared" si="20"/>
        <v>1900</v>
      </c>
      <c r="M106" s="23" t="str">
        <f t="shared" si="21"/>
        <v>1900</v>
      </c>
      <c r="N106" s="23" t="str">
        <f t="shared" si="22"/>
        <v>1900/01</v>
      </c>
      <c r="O106" s="24" t="str">
        <f t="shared" si="23"/>
        <v>00</v>
      </c>
      <c r="P106" s="24" t="str">
        <f t="shared" si="24"/>
        <v>0</v>
      </c>
      <c r="Q106" s="24" t="str">
        <f t="shared" si="25"/>
        <v>00000000,00</v>
      </c>
      <c r="R106" s="36" t="str">
        <f t="shared" si="13"/>
        <v/>
      </c>
      <c r="S106" t="str">
        <f t="shared" si="14"/>
        <v/>
      </c>
      <c r="T106" t="str">
        <f t="shared" si="15"/>
        <v/>
      </c>
    </row>
    <row r="107" spans="1:20" x14ac:dyDescent="0.2">
      <c r="A107" s="28"/>
      <c r="B107" s="24"/>
      <c r="C107" s="35"/>
      <c r="D107" s="26"/>
      <c r="E107" s="25"/>
      <c r="F107" s="25"/>
      <c r="G107" s="23"/>
      <c r="H107" s="23" t="str">
        <f t="shared" si="16"/>
        <v>0000000000000</v>
      </c>
      <c r="I107" s="23" t="str">
        <f t="shared" si="17"/>
        <v>000</v>
      </c>
      <c r="J107" s="23">
        <f t="shared" si="18"/>
        <v>1</v>
      </c>
      <c r="K107" s="23" t="str">
        <f t="shared" si="19"/>
        <v>01</v>
      </c>
      <c r="L107" s="23">
        <f t="shared" si="20"/>
        <v>1900</v>
      </c>
      <c r="M107" s="23" t="str">
        <f t="shared" si="21"/>
        <v>1900</v>
      </c>
      <c r="N107" s="23" t="str">
        <f t="shared" si="22"/>
        <v>1900/01</v>
      </c>
      <c r="O107" s="24" t="str">
        <f t="shared" si="23"/>
        <v>00</v>
      </c>
      <c r="P107" s="24" t="str">
        <f t="shared" si="24"/>
        <v>0</v>
      </c>
      <c r="Q107" s="24" t="str">
        <f t="shared" si="25"/>
        <v>00000000,00</v>
      </c>
      <c r="R107" s="36" t="str">
        <f t="shared" si="13"/>
        <v/>
      </c>
      <c r="S107" t="str">
        <f t="shared" si="14"/>
        <v/>
      </c>
      <c r="T107" t="str">
        <f t="shared" si="15"/>
        <v/>
      </c>
    </row>
    <row r="108" spans="1:20" x14ac:dyDescent="0.2">
      <c r="A108" s="28"/>
      <c r="B108" s="24"/>
      <c r="C108" s="35"/>
      <c r="D108" s="26"/>
      <c r="E108" s="25"/>
      <c r="F108" s="25"/>
      <c r="G108" s="23"/>
      <c r="H108" s="23" t="str">
        <f t="shared" si="16"/>
        <v>0000000000000</v>
      </c>
      <c r="I108" s="23" t="str">
        <f t="shared" si="17"/>
        <v>000</v>
      </c>
      <c r="J108" s="23">
        <f t="shared" si="18"/>
        <v>1</v>
      </c>
      <c r="K108" s="23" t="str">
        <f t="shared" si="19"/>
        <v>01</v>
      </c>
      <c r="L108" s="23">
        <f t="shared" si="20"/>
        <v>1900</v>
      </c>
      <c r="M108" s="23" t="str">
        <f t="shared" si="21"/>
        <v>1900</v>
      </c>
      <c r="N108" s="23" t="str">
        <f t="shared" si="22"/>
        <v>1900/01</v>
      </c>
      <c r="O108" s="24" t="str">
        <f t="shared" si="23"/>
        <v>00</v>
      </c>
      <c r="P108" s="24" t="str">
        <f t="shared" si="24"/>
        <v>0</v>
      </c>
      <c r="Q108" s="24" t="str">
        <f t="shared" si="25"/>
        <v>00000000,00</v>
      </c>
      <c r="R108" s="36" t="str">
        <f t="shared" si="13"/>
        <v/>
      </c>
      <c r="S108" t="str">
        <f t="shared" si="14"/>
        <v/>
      </c>
      <c r="T108" t="str">
        <f t="shared" si="15"/>
        <v/>
      </c>
    </row>
    <row r="109" spans="1:20" x14ac:dyDescent="0.2">
      <c r="A109" s="28"/>
      <c r="B109" s="24"/>
      <c r="C109" s="35"/>
      <c r="D109" s="26"/>
      <c r="E109" s="25"/>
      <c r="F109" s="25"/>
      <c r="G109" s="23"/>
      <c r="H109" s="23" t="str">
        <f t="shared" si="16"/>
        <v>0000000000000</v>
      </c>
      <c r="I109" s="23" t="str">
        <f t="shared" si="17"/>
        <v>000</v>
      </c>
      <c r="J109" s="23">
        <f t="shared" si="18"/>
        <v>1</v>
      </c>
      <c r="K109" s="23" t="str">
        <f t="shared" si="19"/>
        <v>01</v>
      </c>
      <c r="L109" s="23">
        <f t="shared" si="20"/>
        <v>1900</v>
      </c>
      <c r="M109" s="23" t="str">
        <f t="shared" si="21"/>
        <v>1900</v>
      </c>
      <c r="N109" s="23" t="str">
        <f t="shared" si="22"/>
        <v>1900/01</v>
      </c>
      <c r="O109" s="24" t="str">
        <f t="shared" si="23"/>
        <v>00</v>
      </c>
      <c r="P109" s="24" t="str">
        <f t="shared" si="24"/>
        <v>0</v>
      </c>
      <c r="Q109" s="24" t="str">
        <f t="shared" si="25"/>
        <v>00000000,00</v>
      </c>
      <c r="R109" s="36" t="str">
        <f t="shared" si="13"/>
        <v/>
      </c>
      <c r="S109" t="str">
        <f t="shared" si="14"/>
        <v/>
      </c>
      <c r="T109" t="str">
        <f t="shared" si="15"/>
        <v/>
      </c>
    </row>
    <row r="110" spans="1:20" x14ac:dyDescent="0.2">
      <c r="A110" s="28"/>
      <c r="B110" s="24"/>
      <c r="C110" s="35"/>
      <c r="D110" s="26"/>
      <c r="E110" s="25"/>
      <c r="F110" s="25"/>
      <c r="G110" s="23"/>
      <c r="H110" s="23" t="str">
        <f t="shared" si="16"/>
        <v>0000000000000</v>
      </c>
      <c r="I110" s="23" t="str">
        <f t="shared" si="17"/>
        <v>000</v>
      </c>
      <c r="J110" s="23">
        <f t="shared" si="18"/>
        <v>1</v>
      </c>
      <c r="K110" s="23" t="str">
        <f t="shared" si="19"/>
        <v>01</v>
      </c>
      <c r="L110" s="23">
        <f t="shared" si="20"/>
        <v>1900</v>
      </c>
      <c r="M110" s="23" t="str">
        <f t="shared" si="21"/>
        <v>1900</v>
      </c>
      <c r="N110" s="23" t="str">
        <f t="shared" si="22"/>
        <v>1900/01</v>
      </c>
      <c r="O110" s="24" t="str">
        <f t="shared" si="23"/>
        <v>00</v>
      </c>
      <c r="P110" s="24" t="str">
        <f t="shared" si="24"/>
        <v>0</v>
      </c>
      <c r="Q110" s="24" t="str">
        <f t="shared" si="25"/>
        <v>00000000,00</v>
      </c>
      <c r="R110" s="36" t="str">
        <f t="shared" si="13"/>
        <v/>
      </c>
      <c r="S110" t="str">
        <f t="shared" si="14"/>
        <v/>
      </c>
      <c r="T110" t="str">
        <f t="shared" si="15"/>
        <v/>
      </c>
    </row>
  </sheetData>
  <mergeCells count="2">
    <mergeCell ref="E1:F1"/>
    <mergeCell ref="A1:A2"/>
  </mergeCells>
  <phoneticPr fontId="2" type="noConversion"/>
  <dataValidations count="4">
    <dataValidation type="list" allowBlank="1" showInputMessage="1" showErrorMessage="1" sqref="A6">
      <formula1>JUR</formula1>
    </dataValidation>
    <dataValidation type="textLength" allowBlank="1" showInputMessage="1" showErrorMessage="1" sqref="D6">
      <formula1>22</formula1>
      <formula2>22</formula2>
    </dataValidation>
    <dataValidation type="list" allowBlank="1" showInputMessage="1" showErrorMessage="1" sqref="E6">
      <formula1>"CA,CC,OO"</formula1>
    </dataValidation>
    <dataValidation type="list" allowBlank="1" showInputMessage="1" showErrorMessage="1" sqref="F6">
      <formula1>"P,D,E,O"</formula1>
    </dataValidation>
  </dataValidations>
  <pageMargins left="0.75" right="0.75" top="1" bottom="1" header="0" footer="0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opLeftCell="B1" workbookViewId="0">
      <selection activeCell="B1" sqref="B1:B24"/>
    </sheetView>
  </sheetViews>
  <sheetFormatPr baseColWidth="10" defaultRowHeight="12.75" x14ac:dyDescent="0.2"/>
  <cols>
    <col min="1" max="1" width="0" hidden="1" customWidth="1"/>
    <col min="2" max="2" width="11.42578125" style="12"/>
    <col min="3" max="3" width="21.28515625" bestFit="1" customWidth="1"/>
  </cols>
  <sheetData>
    <row r="1" spans="1:3" x14ac:dyDescent="0.2">
      <c r="A1" t="s">
        <v>26</v>
      </c>
      <c r="B1" s="12" t="str">
        <f>MID(A1,1,3)</f>
        <v>901</v>
      </c>
      <c r="C1" t="str">
        <f>MID(A1,7,30)</f>
        <v>Ciudad de Buenos Aires</v>
      </c>
    </row>
    <row r="2" spans="1:3" x14ac:dyDescent="0.2">
      <c r="A2" t="s">
        <v>27</v>
      </c>
      <c r="B2" s="12" t="str">
        <f t="shared" ref="B2:B24" si="0">MID(A2,1,3)</f>
        <v>902</v>
      </c>
      <c r="C2" t="str">
        <f t="shared" ref="C2:C24" si="1">MID(A2,7,30)</f>
        <v>Provincia de Buenos Aires</v>
      </c>
    </row>
    <row r="3" spans="1:3" x14ac:dyDescent="0.2">
      <c r="A3" s="11" t="s">
        <v>48</v>
      </c>
      <c r="B3" s="12" t="str">
        <f t="shared" si="0"/>
        <v>903</v>
      </c>
      <c r="C3" t="str">
        <f t="shared" si="1"/>
        <v>Catamarca</v>
      </c>
    </row>
    <row r="4" spans="1:3" x14ac:dyDescent="0.2">
      <c r="A4" t="s">
        <v>28</v>
      </c>
      <c r="B4" s="12" t="str">
        <f t="shared" si="0"/>
        <v>904</v>
      </c>
      <c r="C4" t="str">
        <f t="shared" si="1"/>
        <v>Córdoba</v>
      </c>
    </row>
    <row r="5" spans="1:3" x14ac:dyDescent="0.2">
      <c r="A5" t="s">
        <v>29</v>
      </c>
      <c r="B5" s="12" t="str">
        <f t="shared" si="0"/>
        <v>905</v>
      </c>
      <c r="C5" t="str">
        <f t="shared" si="1"/>
        <v>Corrientes</v>
      </c>
    </row>
    <row r="6" spans="1:3" x14ac:dyDescent="0.2">
      <c r="A6" t="s">
        <v>30</v>
      </c>
      <c r="B6" s="12" t="str">
        <f t="shared" si="0"/>
        <v>906</v>
      </c>
      <c r="C6" t="str">
        <f t="shared" si="1"/>
        <v>Chaco</v>
      </c>
    </row>
    <row r="7" spans="1:3" x14ac:dyDescent="0.2">
      <c r="A7" t="s">
        <v>31</v>
      </c>
      <c r="B7" s="12" t="str">
        <f t="shared" si="0"/>
        <v>907</v>
      </c>
      <c r="C7" t="str">
        <f t="shared" si="1"/>
        <v>Chubut</v>
      </c>
    </row>
    <row r="8" spans="1:3" x14ac:dyDescent="0.2">
      <c r="A8" t="s">
        <v>32</v>
      </c>
      <c r="B8" s="12" t="str">
        <f t="shared" si="0"/>
        <v>908</v>
      </c>
      <c r="C8" t="str">
        <f t="shared" si="1"/>
        <v>Entre Ríos</v>
      </c>
    </row>
    <row r="9" spans="1:3" x14ac:dyDescent="0.2">
      <c r="A9" t="s">
        <v>33</v>
      </c>
      <c r="B9" s="12" t="str">
        <f t="shared" si="0"/>
        <v>909</v>
      </c>
      <c r="C9" t="str">
        <f t="shared" si="1"/>
        <v>Formosa</v>
      </c>
    </row>
    <row r="10" spans="1:3" x14ac:dyDescent="0.2">
      <c r="A10" t="s">
        <v>34</v>
      </c>
      <c r="B10" s="12" t="str">
        <f t="shared" si="0"/>
        <v>910</v>
      </c>
      <c r="C10" t="str">
        <f t="shared" si="1"/>
        <v>Jujuy</v>
      </c>
    </row>
    <row r="11" spans="1:3" x14ac:dyDescent="0.2">
      <c r="A11" t="s">
        <v>35</v>
      </c>
      <c r="B11" s="12" t="str">
        <f t="shared" si="0"/>
        <v>911</v>
      </c>
      <c r="C11" t="str">
        <f t="shared" si="1"/>
        <v>La Pampa</v>
      </c>
    </row>
    <row r="12" spans="1:3" x14ac:dyDescent="0.2">
      <c r="A12" t="s">
        <v>36</v>
      </c>
      <c r="B12" s="12" t="str">
        <f t="shared" si="0"/>
        <v>912</v>
      </c>
      <c r="C12" t="str">
        <f t="shared" si="1"/>
        <v>La Rioja</v>
      </c>
    </row>
    <row r="13" spans="1:3" x14ac:dyDescent="0.2">
      <c r="A13" t="s">
        <v>37</v>
      </c>
      <c r="B13" s="12" t="str">
        <f t="shared" si="0"/>
        <v>913</v>
      </c>
      <c r="C13" t="str">
        <f t="shared" si="1"/>
        <v>Mendoza</v>
      </c>
    </row>
    <row r="14" spans="1:3" x14ac:dyDescent="0.2">
      <c r="A14" t="s">
        <v>38</v>
      </c>
      <c r="B14" s="12" t="str">
        <f t="shared" si="0"/>
        <v>914</v>
      </c>
      <c r="C14" t="str">
        <f t="shared" si="1"/>
        <v>Misiones</v>
      </c>
    </row>
    <row r="15" spans="1:3" x14ac:dyDescent="0.2">
      <c r="A15" t="s">
        <v>39</v>
      </c>
      <c r="B15" s="12" t="str">
        <f t="shared" si="0"/>
        <v>915</v>
      </c>
      <c r="C15" t="str">
        <f t="shared" si="1"/>
        <v>Neuquén</v>
      </c>
    </row>
    <row r="16" spans="1:3" x14ac:dyDescent="0.2">
      <c r="A16" t="s">
        <v>40</v>
      </c>
      <c r="B16" s="12" t="str">
        <f t="shared" si="0"/>
        <v>916</v>
      </c>
      <c r="C16" t="str">
        <f t="shared" si="1"/>
        <v>Rí­o Negro</v>
      </c>
    </row>
    <row r="17" spans="1:3" x14ac:dyDescent="0.2">
      <c r="A17" t="s">
        <v>41</v>
      </c>
      <c r="B17" s="12" t="str">
        <f t="shared" si="0"/>
        <v>917</v>
      </c>
      <c r="C17" t="str">
        <f t="shared" si="1"/>
        <v>Salta</v>
      </c>
    </row>
    <row r="18" spans="1:3" x14ac:dyDescent="0.2">
      <c r="A18" t="s">
        <v>42</v>
      </c>
      <c r="B18" s="12" t="str">
        <f t="shared" si="0"/>
        <v>918</v>
      </c>
      <c r="C18" t="str">
        <f t="shared" si="1"/>
        <v>San Juan</v>
      </c>
    </row>
    <row r="19" spans="1:3" x14ac:dyDescent="0.2">
      <c r="A19" t="s">
        <v>43</v>
      </c>
      <c r="B19" s="12" t="str">
        <f t="shared" si="0"/>
        <v>919</v>
      </c>
      <c r="C19" t="str">
        <f t="shared" si="1"/>
        <v>San Luis</v>
      </c>
    </row>
    <row r="20" spans="1:3" x14ac:dyDescent="0.2">
      <c r="A20" t="s">
        <v>44</v>
      </c>
      <c r="B20" s="12" t="str">
        <f t="shared" si="0"/>
        <v>920</v>
      </c>
      <c r="C20" t="str">
        <f t="shared" si="1"/>
        <v>Santa Cruz</v>
      </c>
    </row>
    <row r="21" spans="1:3" x14ac:dyDescent="0.2">
      <c r="A21" t="s">
        <v>45</v>
      </c>
      <c r="B21" s="12" t="str">
        <f t="shared" si="0"/>
        <v>921</v>
      </c>
      <c r="C21" t="str">
        <f t="shared" si="1"/>
        <v>Santa Fe</v>
      </c>
    </row>
    <row r="22" spans="1:3" x14ac:dyDescent="0.2">
      <c r="A22" t="s">
        <v>46</v>
      </c>
      <c r="B22" s="12" t="str">
        <f t="shared" si="0"/>
        <v>922</v>
      </c>
      <c r="C22" t="str">
        <f t="shared" si="1"/>
        <v>Santiago del Estero</v>
      </c>
    </row>
    <row r="23" spans="1:3" x14ac:dyDescent="0.2">
      <c r="A23" t="s">
        <v>47</v>
      </c>
      <c r="B23" s="12" t="str">
        <f t="shared" si="0"/>
        <v>923</v>
      </c>
      <c r="C23" t="str">
        <f t="shared" si="1"/>
        <v>Tierra del Fuego</v>
      </c>
    </row>
    <row r="24" spans="1:3" x14ac:dyDescent="0.2">
      <c r="A24" s="11" t="s">
        <v>49</v>
      </c>
      <c r="B24" s="12" t="str">
        <f t="shared" si="0"/>
        <v>924</v>
      </c>
      <c r="C24" t="str">
        <f t="shared" si="1"/>
        <v>Tucumán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ret</vt:lpstr>
      <vt:lpstr>perc</vt:lpstr>
      <vt:lpstr>ana</vt:lpstr>
      <vt:lpstr>banco</vt:lpstr>
      <vt:lpstr>TABLAS</vt:lpstr>
      <vt:lpstr>JUR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Belén Pelayo</dc:creator>
  <cp:lastModifiedBy>GABI-PC</cp:lastModifiedBy>
  <dcterms:created xsi:type="dcterms:W3CDTF">2006-01-12T13:16:13Z</dcterms:created>
  <dcterms:modified xsi:type="dcterms:W3CDTF">2020-02-18T15:47:23Z</dcterms:modified>
</cp:coreProperties>
</file>