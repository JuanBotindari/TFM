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/>
  </bookViews>
  <sheets>
    <sheet name="Marzo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6" i="1" l="1"/>
  <c r="H75" i="1"/>
  <c r="H77" i="1" s="1"/>
  <c r="F75" i="1"/>
  <c r="F76" i="1"/>
  <c r="F77" i="1" s="1"/>
  <c r="C75" i="1" l="1"/>
  <c r="C76" i="1" s="1"/>
  <c r="C77" i="1" l="1"/>
</calcChain>
</file>

<file path=xl/sharedStrings.xml><?xml version="1.0" encoding="utf-8"?>
<sst xmlns="http://schemas.openxmlformats.org/spreadsheetml/2006/main" count="167" uniqueCount="152">
  <si>
    <t>Factura A N°</t>
  </si>
  <si>
    <t>Firma</t>
  </si>
  <si>
    <t>Importe Neto</t>
  </si>
  <si>
    <t>Factura B N°</t>
  </si>
  <si>
    <t>GALENO ARGENTINA S.A</t>
  </si>
  <si>
    <t>MAJUL ALEJANDRO</t>
  </si>
  <si>
    <t>ALDAZABAL MARTIN CLAUDIO</t>
  </si>
  <si>
    <t>Login Door S.A</t>
  </si>
  <si>
    <t>Creciendo Juntos S.A.</t>
  </si>
  <si>
    <t>ROSALEZ GUILLERMO OSVALDO</t>
  </si>
  <si>
    <t>Pallero, Victor Raul</t>
  </si>
  <si>
    <t>STAFF MEDICO SA</t>
  </si>
  <si>
    <t>Torregrosa Pedro</t>
  </si>
  <si>
    <t>Medicus Sociedad Anonima De Asistencia Medica Y Cientifica</t>
  </si>
  <si>
    <t>Carames Jorge</t>
  </si>
  <si>
    <t>Brescia Zavala Carla Mercedes</t>
  </si>
  <si>
    <t>BELTRAN ALEJANDRA</t>
  </si>
  <si>
    <t xml:space="preserve">LOPEZ MANUEL </t>
  </si>
  <si>
    <t>Centro Medico Amenabar Srl</t>
  </si>
  <si>
    <t>SAVIOLI AIDA ELSA</t>
  </si>
  <si>
    <t>Alexander Fleming S A</t>
  </si>
  <si>
    <t>INSTITUTO CARDIOVASCULAR DE BUENOS AIRES SA</t>
  </si>
  <si>
    <t>Fontenla Nuñez Silvina</t>
  </si>
  <si>
    <t>Fundacion Empresaria Maderera</t>
  </si>
  <si>
    <t>QUINTANA OMAR</t>
  </si>
  <si>
    <t>GUTIERREZ MARTINA</t>
  </si>
  <si>
    <t>Vega Ernesto</t>
  </si>
  <si>
    <t>FONT NINE LUIS EDUARDO</t>
  </si>
  <si>
    <t>Gonzalez Dorila</t>
  </si>
  <si>
    <t>BUCCIERI AGUSTIN DARIO</t>
  </si>
  <si>
    <t>Blotto Silvana</t>
  </si>
  <si>
    <t>Zuloaga Angelica</t>
  </si>
  <si>
    <t>Gonzalez Jose Alberto</t>
  </si>
  <si>
    <t>Ochoa Garcia Dora Elena</t>
  </si>
  <si>
    <t>Mammana Mario Prospero</t>
  </si>
  <si>
    <t>Irigoyen Virginia</t>
  </si>
  <si>
    <t>FERRARO ELSA</t>
  </si>
  <si>
    <t>Asociacion Mutual Sancor Salud</t>
  </si>
  <si>
    <t>FALK SZEVA CYPA</t>
  </si>
  <si>
    <t>Obra Social De Los Trabajadores De La Industria Del Gas</t>
  </si>
  <si>
    <t>Obra Social Superco</t>
  </si>
  <si>
    <t>Olstein Carlos</t>
  </si>
  <si>
    <t>Dccion. Adm. De La Subs. De Salud Pcia. De Neuquen</t>
  </si>
  <si>
    <t>Subtotal</t>
  </si>
  <si>
    <t>IVA 21%</t>
  </si>
  <si>
    <t>Total</t>
  </si>
  <si>
    <t>Alquiler Facturado - Marzo 20</t>
  </si>
  <si>
    <t>FA-A 0006-00000029</t>
  </si>
  <si>
    <t>FA-A 0007-00000121</t>
  </si>
  <si>
    <t>FA-A 0006-00000030</t>
  </si>
  <si>
    <t>MGR IMPLANTES SA</t>
  </si>
  <si>
    <t>FA-A 0007-00000126</t>
  </si>
  <si>
    <t>FA-A 0007-00000127</t>
  </si>
  <si>
    <t>FA-A 0007-00000128</t>
  </si>
  <si>
    <t>FA-A 0007-00000129</t>
  </si>
  <si>
    <t>FA-A 0007-00000130</t>
  </si>
  <si>
    <t>FA-A 0007-00000131</t>
  </si>
  <si>
    <t>FA-A 0007-00000132</t>
  </si>
  <si>
    <t>FA-A 0007-00000133</t>
  </si>
  <si>
    <t>FA-A 0007-00000134</t>
  </si>
  <si>
    <t>Zc Diabetes Srl</t>
  </si>
  <si>
    <t>FA-A 0007-00000135</t>
  </si>
  <si>
    <t>FA-B 0007-00000273</t>
  </si>
  <si>
    <t>Capriotti, Maria Alejandra</t>
  </si>
  <si>
    <t>FA-B 0007-00000274</t>
  </si>
  <si>
    <t>FA-B 0007-00000275</t>
  </si>
  <si>
    <t>Palomo Juan Carlos</t>
  </si>
  <si>
    <t>FA-B 0007-00000276</t>
  </si>
  <si>
    <t>FA-B 0007-00000277</t>
  </si>
  <si>
    <t>FA-B 0007-00000278</t>
  </si>
  <si>
    <t>FA-B 0007-00000279</t>
  </si>
  <si>
    <t>Luna Mariela</t>
  </si>
  <si>
    <t>FA-B 0007-00000280</t>
  </si>
  <si>
    <t>OROZ ALEJANDRA EDITH</t>
  </si>
  <si>
    <t>FA-B 0007-00000281</t>
  </si>
  <si>
    <t>FA-B 0007-00000282</t>
  </si>
  <si>
    <t>Maya Liliana</t>
  </si>
  <si>
    <t>FA-B 0007-00000283</t>
  </si>
  <si>
    <t>FA-B 0007-00000284</t>
  </si>
  <si>
    <t>FA-B 0007-00000285</t>
  </si>
  <si>
    <t>FA-B 0007-00000286</t>
  </si>
  <si>
    <t>FA-B 0007-00000287</t>
  </si>
  <si>
    <t>Rosselli Cristian Mario</t>
  </si>
  <si>
    <t>FA-B 0007-00000288</t>
  </si>
  <si>
    <t>FA-B 0007-00000289</t>
  </si>
  <si>
    <t>FA-B 0007-00000290</t>
  </si>
  <si>
    <t>FA-B 0007-00000291</t>
  </si>
  <si>
    <t>Perez Delia</t>
  </si>
  <si>
    <t>FA-B 0007-00000292</t>
  </si>
  <si>
    <t>FA-B 0007-00000293</t>
  </si>
  <si>
    <t>LORENZO CARLOS ALBERTO</t>
  </si>
  <si>
    <t>FA-B 0007-00000294</t>
  </si>
  <si>
    <t>FA-B 0007-00000295</t>
  </si>
  <si>
    <t>Falco Matilde Teresa</t>
  </si>
  <si>
    <t>FA-B 0007-00000296</t>
  </si>
  <si>
    <t>FA-B 0007-00000297</t>
  </si>
  <si>
    <t>Lorenzo Olivia</t>
  </si>
  <si>
    <t>FA-B 0007-00000298</t>
  </si>
  <si>
    <t>MORA NILDA BEATRIZ</t>
  </si>
  <si>
    <t>FA-B 0007-00000299</t>
  </si>
  <si>
    <t>Vazquez Daniel Martin</t>
  </si>
  <si>
    <t>FA-B 0007-00000300</t>
  </si>
  <si>
    <t>Naiman Carlos</t>
  </si>
  <si>
    <t>FA-B 0007-00000301</t>
  </si>
  <si>
    <t>FA-B 0007-00000302</t>
  </si>
  <si>
    <t>FA-B 0007-00000303</t>
  </si>
  <si>
    <t>Trotti Ana</t>
  </si>
  <si>
    <t>FA-B 0007-00000304</t>
  </si>
  <si>
    <t>Geniso Patricia</t>
  </si>
  <si>
    <t>FA-B 0007-00000305</t>
  </si>
  <si>
    <t>FA-B 0007-00000306</t>
  </si>
  <si>
    <t>FA-B 0007-00000307</t>
  </si>
  <si>
    <t>FA-B 0007-00000308</t>
  </si>
  <si>
    <t>Kozlowski Susana</t>
  </si>
  <si>
    <t>FA-B 0007-00000309</t>
  </si>
  <si>
    <t>FA-B 0007-00000310</t>
  </si>
  <si>
    <t>Pujol Alberto Joaquin</t>
  </si>
  <si>
    <t>FA-B 0007-00000311</t>
  </si>
  <si>
    <t>Roldan Silvia</t>
  </si>
  <si>
    <t>FA-B 0007-00000312</t>
  </si>
  <si>
    <t>LANDONI LAURA CAROLINA</t>
  </si>
  <si>
    <t>FA-B 0007-00000313</t>
  </si>
  <si>
    <t>FA-B 0007-00000318</t>
  </si>
  <si>
    <t>FA-B 0007-00000319</t>
  </si>
  <si>
    <t>FA-B 0007-00000321</t>
  </si>
  <si>
    <t>FA-B 0007-00000322</t>
  </si>
  <si>
    <t>Russo Fanny</t>
  </si>
  <si>
    <t>FA-B 0007-00000323</t>
  </si>
  <si>
    <t>FA-B 0007-00000324</t>
  </si>
  <si>
    <t>FRICHER MARIA ALEJANDRA</t>
  </si>
  <si>
    <t>FA-B 0007-00000325</t>
  </si>
  <si>
    <t>FA-B 0007-00000326</t>
  </si>
  <si>
    <t>Groppa Sara</t>
  </si>
  <si>
    <t>FA-B 0007-00000327</t>
  </si>
  <si>
    <t>FA-B 0007-00000328</t>
  </si>
  <si>
    <t>FA-B 0007-00000329</t>
  </si>
  <si>
    <t>Menendez Enrique</t>
  </si>
  <si>
    <t>FA-B 0007-00000330</t>
  </si>
  <si>
    <t>Borkowski Alicia</t>
  </si>
  <si>
    <t>FA-B 0007-00000331</t>
  </si>
  <si>
    <t>Romero Miguel Ariel</t>
  </si>
  <si>
    <t>FA-B 0007-00000332</t>
  </si>
  <si>
    <t>FA-B 0007-00000333</t>
  </si>
  <si>
    <t>FA-B 0007-00000334</t>
  </si>
  <si>
    <t>FA-B 0007-00000336</t>
  </si>
  <si>
    <t>SOFO JOSE</t>
  </si>
  <si>
    <t>FA-B 0007-00000337</t>
  </si>
  <si>
    <t>FA-B 0007-00000338</t>
  </si>
  <si>
    <t>Rivero Graciela Analia</t>
  </si>
  <si>
    <t>FA-B 0007-00000339</t>
  </si>
  <si>
    <t>Factura B - PV05 (Salón)</t>
  </si>
  <si>
    <t>Total Facturado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</si>
</sst>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$&quot;\ * #,##0.00_-;\-&quot;$&quot;\ * #,##0.00_-;_-&quot;$&quot;\ * &quot;-&quot;??_-;_-@_-"/>
    <numFmt numFmtId="165" formatCode="_-[$$-2C0A]\ * #,##0.00_-;\-[$$-2C0A]\ * #,##0.00_-;_-[$$-2C0A]\ * &quot;-&quot;??_-;_-@_-"/>
    <numFmt numFmtId="166" formatCode="_-[$$-2C0A]* #,##0.00_-;\-[$$-2C0A]* #,##0.00_-;_-[$$-2C0A]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8" fillId="0" borderId="0"/>
  </cellStyleXfs>
  <cellXfs count="21">
    <xf numFmtId="0" fontId="0" fillId="0" borderId="0" xfId="0"/>
    <xf numFmtId="49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/>
    <xf numFmtId="2" fontId="4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/>
    </xf>
    <xf numFmtId="165" fontId="6" fillId="0" borderId="1" xfId="1" applyNumberFormat="1" applyFont="1" applyFill="1" applyBorder="1"/>
    <xf numFmtId="166" fontId="6" fillId="0" borderId="1" xfId="0" applyNumberFormat="1" applyFont="1" applyFill="1" applyBorder="1"/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/>
    <xf numFmtId="166" fontId="7" fillId="0" borderId="1" xfId="0" applyNumberFormat="1" applyFont="1" applyFill="1" applyBorder="1"/>
    <xf numFmtId="0" fontId="3" fillId="0" borderId="1" xfId="0" applyNumberFormat="1" applyFont="1" applyFill="1" applyBorder="1"/>
    <xf numFmtId="166" fontId="3" fillId="0" borderId="1" xfId="0" applyNumberFormat="1" applyFont="1" applyFill="1" applyBorder="1"/>
    <xf numFmtId="0" fontId="3" fillId="2" borderId="3" xfId="3" applyFont="1" applyFill="1" applyBorder="1" applyAlignment="1">
      <alignment horizontal="center"/>
    </xf>
    <xf numFmtId="166" fontId="7" fillId="0" borderId="2" xfId="3" applyNumberFormat="1" applyFont="1" applyBorder="1"/>
    <xf numFmtId="0" fontId="3" fillId="2" borderId="4" xfId="3" applyFont="1" applyFill="1" applyBorder="1" applyAlignment="1">
      <alignment horizontal="center"/>
    </xf>
    <xf numFmtId="166" fontId="7" fillId="0" borderId="1" xfId="3" applyNumberFormat="1" applyFont="1" applyBorder="1"/>
    <xf numFmtId="166" fontId="7" fillId="3" borderId="1" xfId="3" applyNumberFormat="1" applyFont="1" applyFill="1" applyBorder="1"/>
    <xf numFmtId="0" fontId="3" fillId="2" borderId="1" xfId="0" applyFont="1" applyFill="1" applyBorder="1" applyAlignment="1">
      <alignment wrapText="1"/>
    </xf>
    <xf numFmtId="0" fontId="0" fillId="0" borderId="1" xfId="0" applyFill="1" applyBorder="1"/>
    <xf numFmtId="2" fontId="0" fillId="0" borderId="1" xfId="0" applyNumberFormat="1" applyFill="1" applyBorder="1"/>
    <xf numFmtId="0" fontId="2" fillId="0" borderId="1" xfId="0" applyFont="1" applyBorder="1" applyAlignment="1">
      <alignment horizontal="center"/>
    </xf>
  </cellXfs>
  <cellStyles count="4">
    <cellStyle name="Moneda" xfId="1" builtinId="4"/>
    <cellStyle name="Normal" xfId="0" builtinId="0"/>
    <cellStyle name="Normal 2" xfId="3"/>
    <cellStyle name="Normal 3_Compras-Ventas 2011_Compras y Ventas 2014_Compras-Ventas 2018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topLeftCell="A61" workbookViewId="0">
      <selection activeCell="E81" sqref="E81"/>
    </sheetView>
  </sheetViews>
  <sheetFormatPr baseColWidth="10" defaultRowHeight="15" x14ac:dyDescent="0.25"/>
  <cols>
    <col min="1" max="1" width="17.5703125" customWidth="1"/>
    <col min="2" max="2" width="26.7109375" customWidth="1"/>
    <col min="3" max="3" width="18" customWidth="1"/>
    <col min="4" max="4" width="17.7109375" customWidth="1"/>
    <col min="5" max="5" width="23.140625" customWidth="1"/>
    <col min="6" max="6" width="18.7109375" customWidth="1"/>
    <col min="7" max="7" width="22" customWidth="1"/>
    <col min="8" max="8" width="15.85546875" customWidth="1"/>
  </cols>
  <sheetData>
    <row r="1" spans="1:8" x14ac:dyDescent="0.25">
      <c r="A1" s="20" t="s">
        <v>46</v>
      </c>
      <c r="B1" s="20"/>
      <c r="C1" s="20"/>
      <c r="D1" s="20"/>
      <c r="E1" s="20"/>
      <c r="F1" s="20"/>
    </row>
    <row r="2" spans="1:8" ht="31.5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1</v>
      </c>
      <c r="F2" s="17" t="s">
        <v>2</v>
      </c>
      <c r="G2" s="17" t="s">
        <v>150</v>
      </c>
      <c r="H2" s="17" t="s">
        <v>2</v>
      </c>
    </row>
    <row r="3" spans="1:8" x14ac:dyDescent="0.25">
      <c r="A3" s="1" t="s">
        <v>47</v>
      </c>
      <c r="B3" s="2" t="s">
        <v>4</v>
      </c>
      <c r="C3" s="3">
        <v>162633.58000000002</v>
      </c>
      <c r="D3" s="1" t="s">
        <v>62</v>
      </c>
      <c r="E3" s="2" t="s">
        <v>63</v>
      </c>
      <c r="F3" s="3">
        <v>2644.63</v>
      </c>
      <c r="G3" s="18" t="s">
        <v>151</v>
      </c>
      <c r="H3" s="19">
        <v>43786.735537190085</v>
      </c>
    </row>
    <row r="4" spans="1:8" x14ac:dyDescent="0.25">
      <c r="A4" s="1" t="s">
        <v>48</v>
      </c>
      <c r="B4" s="2" t="s">
        <v>13</v>
      </c>
      <c r="C4" s="3">
        <v>10743.8</v>
      </c>
      <c r="D4" s="1" t="s">
        <v>64</v>
      </c>
      <c r="E4" s="2" t="s">
        <v>32</v>
      </c>
      <c r="F4" s="3">
        <v>404.96</v>
      </c>
      <c r="G4" s="18"/>
      <c r="H4" s="18"/>
    </row>
    <row r="5" spans="1:8" x14ac:dyDescent="0.25">
      <c r="A5" s="1" t="s">
        <v>49</v>
      </c>
      <c r="B5" s="2" t="s">
        <v>4</v>
      </c>
      <c r="C5" s="3">
        <v>1044436.64</v>
      </c>
      <c r="D5" s="1" t="s">
        <v>65</v>
      </c>
      <c r="E5" s="2" t="s">
        <v>66</v>
      </c>
      <c r="F5" s="3">
        <v>537.19000000000005</v>
      </c>
      <c r="G5" s="18"/>
      <c r="H5" s="18"/>
    </row>
    <row r="6" spans="1:8" x14ac:dyDescent="0.25">
      <c r="A6" s="1" t="s">
        <v>51</v>
      </c>
      <c r="B6" s="2" t="s">
        <v>50</v>
      </c>
      <c r="C6" s="3">
        <v>3280.99</v>
      </c>
      <c r="D6" s="1" t="s">
        <v>67</v>
      </c>
      <c r="E6" s="2" t="s">
        <v>15</v>
      </c>
      <c r="F6" s="3">
        <v>371.9</v>
      </c>
      <c r="G6" s="18"/>
      <c r="H6" s="18"/>
    </row>
    <row r="7" spans="1:8" x14ac:dyDescent="0.25">
      <c r="A7" s="1" t="s">
        <v>52</v>
      </c>
      <c r="B7" s="2" t="s">
        <v>8</v>
      </c>
      <c r="C7" s="3">
        <v>413.22</v>
      </c>
      <c r="D7" s="1" t="s">
        <v>68</v>
      </c>
      <c r="E7" s="2" t="s">
        <v>16</v>
      </c>
      <c r="F7" s="3">
        <v>1314.04</v>
      </c>
      <c r="G7" s="18"/>
      <c r="H7" s="18"/>
    </row>
    <row r="8" spans="1:8" x14ac:dyDescent="0.25">
      <c r="A8" s="1" t="s">
        <v>53</v>
      </c>
      <c r="B8" s="2" t="s">
        <v>18</v>
      </c>
      <c r="C8" s="3">
        <v>2148.7600000000002</v>
      </c>
      <c r="D8" s="1" t="s">
        <v>69</v>
      </c>
      <c r="E8" s="2" t="s">
        <v>28</v>
      </c>
      <c r="F8" s="3">
        <v>1983.47</v>
      </c>
      <c r="G8" s="18"/>
      <c r="H8" s="18"/>
    </row>
    <row r="9" spans="1:8" x14ac:dyDescent="0.25">
      <c r="A9" s="1" t="s">
        <v>54</v>
      </c>
      <c r="B9" s="2" t="s">
        <v>20</v>
      </c>
      <c r="C9" s="3">
        <v>3305.78</v>
      </c>
      <c r="D9" s="1" t="s">
        <v>70</v>
      </c>
      <c r="E9" s="2" t="s">
        <v>71</v>
      </c>
      <c r="F9" s="3">
        <v>578.51</v>
      </c>
      <c r="G9" s="18"/>
      <c r="H9" s="18"/>
    </row>
    <row r="10" spans="1:8" x14ac:dyDescent="0.25">
      <c r="A10" s="1" t="s">
        <v>55</v>
      </c>
      <c r="B10" s="2" t="s">
        <v>10</v>
      </c>
      <c r="C10" s="3">
        <v>7396.69</v>
      </c>
      <c r="D10" s="1" t="s">
        <v>72</v>
      </c>
      <c r="E10" s="2" t="s">
        <v>73</v>
      </c>
      <c r="F10" s="3">
        <v>1157.02</v>
      </c>
      <c r="G10" s="18"/>
      <c r="H10" s="18"/>
    </row>
    <row r="11" spans="1:8" x14ac:dyDescent="0.25">
      <c r="A11" s="1" t="s">
        <v>56</v>
      </c>
      <c r="B11" s="2" t="s">
        <v>21</v>
      </c>
      <c r="C11" s="3">
        <v>1700</v>
      </c>
      <c r="D11" s="1" t="s">
        <v>74</v>
      </c>
      <c r="E11" s="2" t="s">
        <v>30</v>
      </c>
      <c r="F11" s="3">
        <v>2644.63</v>
      </c>
      <c r="G11" s="18"/>
      <c r="H11" s="18"/>
    </row>
    <row r="12" spans="1:8" x14ac:dyDescent="0.25">
      <c r="A12" s="1" t="s">
        <v>57</v>
      </c>
      <c r="B12" s="2" t="s">
        <v>23</v>
      </c>
      <c r="C12" s="3">
        <v>909.09</v>
      </c>
      <c r="D12" s="1" t="s">
        <v>75</v>
      </c>
      <c r="E12" s="2" t="s">
        <v>76</v>
      </c>
      <c r="F12" s="3">
        <v>1818.18</v>
      </c>
      <c r="G12" s="18"/>
      <c r="H12" s="18"/>
    </row>
    <row r="13" spans="1:8" x14ac:dyDescent="0.25">
      <c r="A13" s="1" t="s">
        <v>58</v>
      </c>
      <c r="B13" s="2" t="s">
        <v>7</v>
      </c>
      <c r="C13" s="3">
        <v>2314.0500000000002</v>
      </c>
      <c r="D13" s="1" t="s">
        <v>77</v>
      </c>
      <c r="E13" s="2" t="s">
        <v>34</v>
      </c>
      <c r="F13" s="3">
        <v>743.8</v>
      </c>
      <c r="G13" s="18"/>
      <c r="H13" s="18"/>
    </row>
    <row r="14" spans="1:8" x14ac:dyDescent="0.25">
      <c r="A14" s="1" t="s">
        <v>59</v>
      </c>
      <c r="B14" s="2" t="s">
        <v>60</v>
      </c>
      <c r="C14" s="3">
        <v>4049.58</v>
      </c>
      <c r="D14" s="1" t="s">
        <v>78</v>
      </c>
      <c r="E14" s="2" t="s">
        <v>14</v>
      </c>
      <c r="F14" s="3">
        <v>2066.12</v>
      </c>
      <c r="G14" s="18"/>
      <c r="H14" s="18"/>
    </row>
    <row r="15" spans="1:8" x14ac:dyDescent="0.25">
      <c r="A15" s="1" t="s">
        <v>61</v>
      </c>
      <c r="B15" s="2" t="s">
        <v>11</v>
      </c>
      <c r="C15" s="3">
        <v>1851.24</v>
      </c>
      <c r="D15" s="1" t="s">
        <v>79</v>
      </c>
      <c r="E15" s="2" t="s">
        <v>6</v>
      </c>
      <c r="F15" s="3">
        <v>826.45</v>
      </c>
      <c r="G15" s="18"/>
      <c r="H15" s="18"/>
    </row>
    <row r="16" spans="1:8" x14ac:dyDescent="0.25">
      <c r="A16" s="1"/>
      <c r="B16" s="2"/>
      <c r="C16" s="3"/>
      <c r="D16" s="1" t="s">
        <v>80</v>
      </c>
      <c r="E16" s="2" t="s">
        <v>17</v>
      </c>
      <c r="F16" s="3">
        <v>537.19000000000005</v>
      </c>
      <c r="G16" s="18"/>
      <c r="H16" s="18"/>
    </row>
    <row r="17" spans="1:8" ht="28.5" customHeight="1" x14ac:dyDescent="0.25">
      <c r="A17" s="1"/>
      <c r="B17" s="2"/>
      <c r="C17" s="3"/>
      <c r="D17" s="1" t="s">
        <v>81</v>
      </c>
      <c r="E17" s="2" t="s">
        <v>82</v>
      </c>
      <c r="F17" s="3">
        <v>1404.96</v>
      </c>
      <c r="G17" s="18"/>
      <c r="H17" s="18"/>
    </row>
    <row r="18" spans="1:8" x14ac:dyDescent="0.25">
      <c r="A18" s="1"/>
      <c r="B18" s="2"/>
      <c r="C18" s="3"/>
      <c r="D18" s="1" t="s">
        <v>83</v>
      </c>
      <c r="E18" s="2" t="s">
        <v>24</v>
      </c>
      <c r="F18" s="3">
        <v>3801.65</v>
      </c>
      <c r="G18" s="18"/>
      <c r="H18" s="18"/>
    </row>
    <row r="19" spans="1:8" x14ac:dyDescent="0.25">
      <c r="A19" s="1"/>
      <c r="B19" s="2"/>
      <c r="C19" s="3"/>
      <c r="D19" s="1" t="s">
        <v>84</v>
      </c>
      <c r="E19" s="2" t="s">
        <v>9</v>
      </c>
      <c r="F19" s="3">
        <v>991.74</v>
      </c>
      <c r="G19" s="18"/>
      <c r="H19" s="18"/>
    </row>
    <row r="20" spans="1:8" x14ac:dyDescent="0.25">
      <c r="A20" s="1"/>
      <c r="B20" s="2"/>
      <c r="C20" s="3"/>
      <c r="D20" s="1" t="s">
        <v>85</v>
      </c>
      <c r="E20" s="2" t="s">
        <v>26</v>
      </c>
      <c r="F20" s="3">
        <v>537.19000000000005</v>
      </c>
      <c r="G20" s="18"/>
      <c r="H20" s="18"/>
    </row>
    <row r="21" spans="1:8" x14ac:dyDescent="0.25">
      <c r="A21" s="1"/>
      <c r="B21" s="2"/>
      <c r="C21" s="3"/>
      <c r="D21" s="1" t="s">
        <v>86</v>
      </c>
      <c r="E21" s="2" t="s">
        <v>87</v>
      </c>
      <c r="F21" s="3">
        <v>1735.53</v>
      </c>
      <c r="G21" s="18"/>
      <c r="H21" s="18"/>
    </row>
    <row r="22" spans="1:8" x14ac:dyDescent="0.25">
      <c r="A22" s="1"/>
      <c r="B22" s="2"/>
      <c r="C22" s="3"/>
      <c r="D22" s="1" t="s">
        <v>88</v>
      </c>
      <c r="E22" s="2" t="s">
        <v>19</v>
      </c>
      <c r="F22" s="3">
        <v>983.46</v>
      </c>
      <c r="G22" s="18"/>
      <c r="H22" s="18"/>
    </row>
    <row r="23" spans="1:8" x14ac:dyDescent="0.25">
      <c r="A23" s="1"/>
      <c r="B23" s="2"/>
      <c r="C23" s="3"/>
      <c r="D23" s="1" t="s">
        <v>89</v>
      </c>
      <c r="E23" s="2" t="s">
        <v>90</v>
      </c>
      <c r="F23" s="3">
        <v>495.87</v>
      </c>
      <c r="G23" s="18"/>
      <c r="H23" s="18"/>
    </row>
    <row r="24" spans="1:8" x14ac:dyDescent="0.25">
      <c r="A24" s="1"/>
      <c r="B24" s="2"/>
      <c r="C24" s="3"/>
      <c r="D24" s="1" t="s">
        <v>91</v>
      </c>
      <c r="E24" s="2" t="s">
        <v>25</v>
      </c>
      <c r="F24" s="3">
        <v>578.51</v>
      </c>
      <c r="G24" s="18"/>
      <c r="H24" s="18"/>
    </row>
    <row r="25" spans="1:8" x14ac:dyDescent="0.25">
      <c r="A25" s="1"/>
      <c r="B25" s="2"/>
      <c r="C25" s="3"/>
      <c r="D25" s="1" t="s">
        <v>92</v>
      </c>
      <c r="E25" s="2" t="s">
        <v>93</v>
      </c>
      <c r="F25" s="3">
        <v>2396.69</v>
      </c>
      <c r="G25" s="18"/>
      <c r="H25" s="18"/>
    </row>
    <row r="26" spans="1:8" x14ac:dyDescent="0.25">
      <c r="A26" s="1"/>
      <c r="B26" s="2"/>
      <c r="C26" s="3"/>
      <c r="D26" s="1" t="s">
        <v>94</v>
      </c>
      <c r="E26" s="2" t="s">
        <v>33</v>
      </c>
      <c r="F26" s="3">
        <v>1570.25</v>
      </c>
      <c r="G26" s="18"/>
      <c r="H26" s="18"/>
    </row>
    <row r="27" spans="1:8" x14ac:dyDescent="0.25">
      <c r="A27" s="1"/>
      <c r="B27" s="2"/>
      <c r="C27" s="3"/>
      <c r="D27" s="1" t="s">
        <v>95</v>
      </c>
      <c r="E27" s="2" t="s">
        <v>96</v>
      </c>
      <c r="F27" s="3">
        <v>2396.69</v>
      </c>
      <c r="G27" s="18"/>
      <c r="H27" s="18"/>
    </row>
    <row r="28" spans="1:8" x14ac:dyDescent="0.25">
      <c r="A28" s="1"/>
      <c r="B28" s="2"/>
      <c r="C28" s="3"/>
      <c r="D28" s="1" t="s">
        <v>97</v>
      </c>
      <c r="E28" s="2" t="s">
        <v>98</v>
      </c>
      <c r="F28" s="3">
        <v>578.51</v>
      </c>
      <c r="G28" s="18"/>
      <c r="H28" s="18"/>
    </row>
    <row r="29" spans="1:8" x14ac:dyDescent="0.25">
      <c r="A29" s="1"/>
      <c r="B29" s="2"/>
      <c r="C29" s="3"/>
      <c r="D29" s="1" t="s">
        <v>99</v>
      </c>
      <c r="E29" s="2" t="s">
        <v>100</v>
      </c>
      <c r="F29" s="3">
        <v>3363.64</v>
      </c>
      <c r="G29" s="18"/>
      <c r="H29" s="18"/>
    </row>
    <row r="30" spans="1:8" x14ac:dyDescent="0.25">
      <c r="A30" s="1"/>
      <c r="B30" s="2"/>
      <c r="C30" s="3"/>
      <c r="D30" s="1" t="s">
        <v>101</v>
      </c>
      <c r="E30" s="2" t="s">
        <v>102</v>
      </c>
      <c r="F30" s="3">
        <v>3264.46</v>
      </c>
      <c r="G30" s="18"/>
      <c r="H30" s="18"/>
    </row>
    <row r="31" spans="1:8" x14ac:dyDescent="0.25">
      <c r="A31" s="1"/>
      <c r="B31" s="2"/>
      <c r="C31" s="3"/>
      <c r="D31" s="1" t="s">
        <v>103</v>
      </c>
      <c r="E31" s="2" t="s">
        <v>102</v>
      </c>
      <c r="F31" s="3">
        <v>3264.46</v>
      </c>
      <c r="G31" s="18"/>
      <c r="H31" s="18"/>
    </row>
    <row r="32" spans="1:8" x14ac:dyDescent="0.25">
      <c r="A32" s="1"/>
      <c r="B32" s="2"/>
      <c r="C32" s="3"/>
      <c r="D32" s="1" t="s">
        <v>104</v>
      </c>
      <c r="E32" s="2" t="s">
        <v>22</v>
      </c>
      <c r="F32" s="3">
        <v>413.22</v>
      </c>
      <c r="G32" s="18"/>
      <c r="H32" s="18"/>
    </row>
    <row r="33" spans="1:8" x14ac:dyDescent="0.25">
      <c r="A33" s="1"/>
      <c r="B33" s="2"/>
      <c r="C33" s="3"/>
      <c r="D33" s="1" t="s">
        <v>105</v>
      </c>
      <c r="E33" s="2" t="s">
        <v>106</v>
      </c>
      <c r="F33" s="3">
        <v>2231.41</v>
      </c>
      <c r="G33" s="18"/>
      <c r="H33" s="18"/>
    </row>
    <row r="34" spans="1:8" x14ac:dyDescent="0.25">
      <c r="A34" s="1"/>
      <c r="B34" s="2"/>
      <c r="C34" s="3"/>
      <c r="D34" s="1" t="s">
        <v>107</v>
      </c>
      <c r="E34" s="2" t="s">
        <v>108</v>
      </c>
      <c r="F34" s="3">
        <v>454.55</v>
      </c>
      <c r="G34" s="18"/>
      <c r="H34" s="18"/>
    </row>
    <row r="35" spans="1:8" x14ac:dyDescent="0.25">
      <c r="A35" s="1"/>
      <c r="B35" s="2"/>
      <c r="C35" s="3"/>
      <c r="D35" s="1" t="s">
        <v>109</v>
      </c>
      <c r="E35" s="2" t="s">
        <v>5</v>
      </c>
      <c r="F35" s="3">
        <v>2809.92</v>
      </c>
      <c r="G35" s="18"/>
      <c r="H35" s="18"/>
    </row>
    <row r="36" spans="1:8" x14ac:dyDescent="0.25">
      <c r="A36" s="1"/>
      <c r="B36" s="2"/>
      <c r="C36" s="3"/>
      <c r="D36" s="1" t="s">
        <v>110</v>
      </c>
      <c r="E36" s="2" t="s">
        <v>90</v>
      </c>
      <c r="F36" s="3">
        <v>495.87</v>
      </c>
      <c r="G36" s="18"/>
      <c r="H36" s="18"/>
    </row>
    <row r="37" spans="1:8" x14ac:dyDescent="0.25">
      <c r="A37" s="1"/>
      <c r="B37" s="2"/>
      <c r="C37" s="3"/>
      <c r="D37" s="1" t="s">
        <v>111</v>
      </c>
      <c r="E37" s="2" t="s">
        <v>90</v>
      </c>
      <c r="F37" s="3">
        <v>495.87</v>
      </c>
      <c r="G37" s="18"/>
      <c r="H37" s="18"/>
    </row>
    <row r="38" spans="1:8" x14ac:dyDescent="0.25">
      <c r="A38" s="1"/>
      <c r="B38" s="2"/>
      <c r="C38" s="3"/>
      <c r="D38" s="1" t="s">
        <v>112</v>
      </c>
      <c r="E38" s="2" t="s">
        <v>113</v>
      </c>
      <c r="F38" s="3">
        <v>371.9</v>
      </c>
      <c r="G38" s="18"/>
      <c r="H38" s="18"/>
    </row>
    <row r="39" spans="1:8" x14ac:dyDescent="0.25">
      <c r="A39" s="1"/>
      <c r="B39" s="2"/>
      <c r="C39" s="3"/>
      <c r="D39" s="1" t="s">
        <v>114</v>
      </c>
      <c r="E39" s="2" t="s">
        <v>12</v>
      </c>
      <c r="F39" s="3">
        <v>578.51</v>
      </c>
      <c r="G39" s="18"/>
      <c r="H39" s="18"/>
    </row>
    <row r="40" spans="1:8" x14ac:dyDescent="0.25">
      <c r="A40" s="1"/>
      <c r="B40" s="2"/>
      <c r="C40" s="3"/>
      <c r="D40" s="1" t="s">
        <v>115</v>
      </c>
      <c r="E40" s="2" t="s">
        <v>116</v>
      </c>
      <c r="F40" s="3">
        <v>743.8</v>
      </c>
      <c r="G40" s="18"/>
      <c r="H40" s="18"/>
    </row>
    <row r="41" spans="1:8" x14ac:dyDescent="0.25">
      <c r="A41" s="4"/>
      <c r="B41" s="4"/>
      <c r="C41" s="5"/>
      <c r="D41" s="1" t="s">
        <v>117</v>
      </c>
      <c r="E41" s="2" t="s">
        <v>118</v>
      </c>
      <c r="F41" s="3">
        <v>2809.92</v>
      </c>
      <c r="G41" s="18"/>
      <c r="H41" s="18"/>
    </row>
    <row r="42" spans="1:8" x14ac:dyDescent="0.25">
      <c r="A42" s="4"/>
      <c r="B42" s="4"/>
      <c r="C42" s="5"/>
      <c r="D42" s="1" t="s">
        <v>119</v>
      </c>
      <c r="E42" s="2" t="s">
        <v>120</v>
      </c>
      <c r="F42" s="3">
        <v>7438.02</v>
      </c>
      <c r="G42" s="18"/>
      <c r="H42" s="18"/>
    </row>
    <row r="43" spans="1:8" x14ac:dyDescent="0.25">
      <c r="A43" s="4"/>
      <c r="B43" s="4"/>
      <c r="C43" s="5"/>
      <c r="D43" s="1" t="s">
        <v>121</v>
      </c>
      <c r="E43" s="2" t="s">
        <v>37</v>
      </c>
      <c r="F43" s="3">
        <v>55250.93</v>
      </c>
      <c r="G43" s="18"/>
      <c r="H43" s="18"/>
    </row>
    <row r="44" spans="1:8" x14ac:dyDescent="0.25">
      <c r="A44" s="4"/>
      <c r="B44" s="4"/>
      <c r="C44" s="5"/>
      <c r="D44" s="1" t="s">
        <v>122</v>
      </c>
      <c r="E44" s="2" t="s">
        <v>35</v>
      </c>
      <c r="F44" s="3">
        <v>1818.18</v>
      </c>
      <c r="G44" s="18"/>
      <c r="H44" s="18"/>
    </row>
    <row r="45" spans="1:8" x14ac:dyDescent="0.25">
      <c r="A45" s="4"/>
      <c r="B45" s="4"/>
      <c r="C45" s="5"/>
      <c r="D45" s="1" t="s">
        <v>123</v>
      </c>
      <c r="E45" s="2" t="s">
        <v>41</v>
      </c>
      <c r="F45" s="3">
        <v>7892.5700000000006</v>
      </c>
      <c r="G45" s="18"/>
      <c r="H45" s="18"/>
    </row>
    <row r="46" spans="1:8" x14ac:dyDescent="0.25">
      <c r="A46" s="4"/>
      <c r="B46" s="4"/>
      <c r="C46" s="6"/>
      <c r="D46" s="1" t="s">
        <v>124</v>
      </c>
      <c r="E46" s="2" t="s">
        <v>39</v>
      </c>
      <c r="F46" s="3">
        <v>12624.79</v>
      </c>
      <c r="G46" s="18"/>
      <c r="H46" s="18"/>
    </row>
    <row r="47" spans="1:8" x14ac:dyDescent="0.25">
      <c r="A47" s="7"/>
      <c r="B47" s="7"/>
      <c r="C47" s="6"/>
      <c r="D47" s="1" t="s">
        <v>125</v>
      </c>
      <c r="E47" s="2" t="s">
        <v>126</v>
      </c>
      <c r="F47" s="3">
        <v>2148.75</v>
      </c>
      <c r="G47" s="18"/>
      <c r="H47" s="18"/>
    </row>
    <row r="48" spans="1:8" x14ac:dyDescent="0.25">
      <c r="A48" s="7"/>
      <c r="B48" s="7"/>
      <c r="C48" s="6"/>
      <c r="D48" s="1" t="s">
        <v>127</v>
      </c>
      <c r="E48" s="2" t="s">
        <v>36</v>
      </c>
      <c r="F48" s="3">
        <v>363.64</v>
      </c>
      <c r="G48" s="18"/>
      <c r="H48" s="18"/>
    </row>
    <row r="49" spans="1:8" ht="15.75" x14ac:dyDescent="0.25">
      <c r="A49" s="8"/>
      <c r="B49" s="8"/>
      <c r="C49" s="9"/>
      <c r="D49" s="1" t="s">
        <v>128</v>
      </c>
      <c r="E49" s="2" t="s">
        <v>129</v>
      </c>
      <c r="F49" s="3">
        <v>991.74</v>
      </c>
      <c r="G49" s="18"/>
      <c r="H49" s="18"/>
    </row>
    <row r="50" spans="1:8" ht="15.75" x14ac:dyDescent="0.25">
      <c r="A50" s="8"/>
      <c r="B50" s="8"/>
      <c r="C50" s="9"/>
      <c r="D50" s="1" t="s">
        <v>130</v>
      </c>
      <c r="E50" s="2" t="s">
        <v>42</v>
      </c>
      <c r="F50" s="3">
        <v>578.51</v>
      </c>
      <c r="G50" s="18"/>
      <c r="H50" s="18"/>
    </row>
    <row r="51" spans="1:8" ht="15.75" x14ac:dyDescent="0.25">
      <c r="A51" s="8"/>
      <c r="B51" s="8"/>
      <c r="C51" s="9"/>
      <c r="D51" s="1" t="s">
        <v>131</v>
      </c>
      <c r="E51" s="2" t="s">
        <v>132</v>
      </c>
      <c r="F51" s="3">
        <v>371.9</v>
      </c>
      <c r="G51" s="18"/>
      <c r="H51" s="18"/>
    </row>
    <row r="52" spans="1:8" ht="15.75" x14ac:dyDescent="0.25">
      <c r="A52" s="8"/>
      <c r="B52" s="8"/>
      <c r="C52" s="9"/>
      <c r="D52" s="1" t="s">
        <v>133</v>
      </c>
      <c r="E52" s="2" t="s">
        <v>38</v>
      </c>
      <c r="F52" s="3">
        <v>1735.53</v>
      </c>
      <c r="G52" s="18"/>
      <c r="H52" s="18"/>
    </row>
    <row r="53" spans="1:8" ht="15.75" x14ac:dyDescent="0.25">
      <c r="A53" s="8"/>
      <c r="B53" s="8"/>
      <c r="C53" s="9"/>
      <c r="D53" s="1" t="s">
        <v>134</v>
      </c>
      <c r="E53" s="2" t="s">
        <v>40</v>
      </c>
      <c r="F53" s="3">
        <v>1487.6</v>
      </c>
      <c r="G53" s="18"/>
      <c r="H53" s="18"/>
    </row>
    <row r="54" spans="1:8" ht="15.75" x14ac:dyDescent="0.25">
      <c r="A54" s="8"/>
      <c r="B54" s="8"/>
      <c r="C54" s="9"/>
      <c r="D54" s="1" t="s">
        <v>135</v>
      </c>
      <c r="E54" s="2" t="s">
        <v>136</v>
      </c>
      <c r="F54" s="3">
        <v>743.8</v>
      </c>
      <c r="G54" s="18"/>
      <c r="H54" s="18"/>
    </row>
    <row r="55" spans="1:8" ht="15.75" x14ac:dyDescent="0.25">
      <c r="A55" s="8"/>
      <c r="B55" s="8"/>
      <c r="C55" s="9"/>
      <c r="D55" s="1" t="s">
        <v>137</v>
      </c>
      <c r="E55" s="2" t="s">
        <v>138</v>
      </c>
      <c r="F55" s="3">
        <v>826.45</v>
      </c>
      <c r="G55" s="18"/>
      <c r="H55" s="18"/>
    </row>
    <row r="56" spans="1:8" ht="15.75" x14ac:dyDescent="0.25">
      <c r="A56" s="8"/>
      <c r="B56" s="8"/>
      <c r="C56" s="9"/>
      <c r="D56" s="1" t="s">
        <v>139</v>
      </c>
      <c r="E56" s="2" t="s">
        <v>140</v>
      </c>
      <c r="F56" s="3">
        <v>297.52</v>
      </c>
      <c r="G56" s="18"/>
      <c r="H56" s="18"/>
    </row>
    <row r="57" spans="1:8" ht="15.75" x14ac:dyDescent="0.25">
      <c r="A57" s="8"/>
      <c r="B57" s="8"/>
      <c r="C57" s="9"/>
      <c r="D57" s="1" t="s">
        <v>141</v>
      </c>
      <c r="E57" s="2" t="s">
        <v>31</v>
      </c>
      <c r="F57" s="3">
        <v>1652.89</v>
      </c>
      <c r="G57" s="18"/>
      <c r="H57" s="18"/>
    </row>
    <row r="58" spans="1:8" ht="15.75" x14ac:dyDescent="0.25">
      <c r="A58" s="10"/>
      <c r="B58" s="10"/>
      <c r="C58" s="11"/>
      <c r="D58" s="1" t="s">
        <v>142</v>
      </c>
      <c r="E58" s="2" t="s">
        <v>29</v>
      </c>
      <c r="F58" s="3">
        <v>413.22</v>
      </c>
      <c r="G58" s="18"/>
      <c r="H58" s="18"/>
    </row>
    <row r="59" spans="1:8" ht="15.75" x14ac:dyDescent="0.25">
      <c r="A59" s="10"/>
      <c r="B59" s="10"/>
      <c r="C59" s="9"/>
      <c r="D59" s="1" t="s">
        <v>143</v>
      </c>
      <c r="E59" s="2" t="s">
        <v>93</v>
      </c>
      <c r="F59" s="3">
        <v>2396.69</v>
      </c>
      <c r="G59" s="18"/>
      <c r="H59" s="18"/>
    </row>
    <row r="60" spans="1:8" ht="15.75" x14ac:dyDescent="0.25">
      <c r="A60" s="8"/>
      <c r="B60" s="8"/>
      <c r="C60" s="9"/>
      <c r="D60" s="1" t="s">
        <v>144</v>
      </c>
      <c r="E60" s="2" t="s">
        <v>145</v>
      </c>
      <c r="F60" s="3">
        <v>933.88</v>
      </c>
      <c r="G60" s="18"/>
      <c r="H60" s="18"/>
    </row>
    <row r="61" spans="1:8" ht="15.75" x14ac:dyDescent="0.25">
      <c r="A61" s="8"/>
      <c r="B61" s="8"/>
      <c r="C61" s="9"/>
      <c r="D61" s="1" t="s">
        <v>146</v>
      </c>
      <c r="E61" s="2" t="s">
        <v>27</v>
      </c>
      <c r="F61" s="3">
        <v>280.99</v>
      </c>
      <c r="G61" s="18"/>
      <c r="H61" s="18"/>
    </row>
    <row r="62" spans="1:8" ht="15.75" x14ac:dyDescent="0.25">
      <c r="A62" s="8"/>
      <c r="B62" s="8"/>
      <c r="C62" s="9"/>
      <c r="D62" s="1" t="s">
        <v>147</v>
      </c>
      <c r="E62" s="2" t="s">
        <v>148</v>
      </c>
      <c r="F62" s="3">
        <v>578.51</v>
      </c>
      <c r="G62" s="18"/>
      <c r="H62" s="18"/>
    </row>
    <row r="63" spans="1:8" ht="15.75" x14ac:dyDescent="0.25">
      <c r="A63" s="8"/>
      <c r="B63" s="8"/>
      <c r="C63" s="9"/>
      <c r="D63" s="1" t="s">
        <v>149</v>
      </c>
      <c r="E63" s="2" t="s">
        <v>73</v>
      </c>
      <c r="F63" s="3">
        <v>1157.02</v>
      </c>
      <c r="G63" s="18"/>
      <c r="H63" s="18"/>
    </row>
    <row r="64" spans="1:8" ht="15.75" x14ac:dyDescent="0.25">
      <c r="A64" s="8"/>
      <c r="B64" s="8"/>
      <c r="C64" s="9"/>
      <c r="D64" s="1"/>
      <c r="E64" s="2"/>
      <c r="F64" s="3"/>
      <c r="G64" s="18"/>
      <c r="H64" s="18"/>
    </row>
    <row r="65" spans="1:8" ht="15.75" x14ac:dyDescent="0.25">
      <c r="A65" s="8"/>
      <c r="B65" s="8"/>
      <c r="C65" s="9"/>
      <c r="D65" s="1"/>
      <c r="E65" s="2"/>
      <c r="F65" s="3"/>
      <c r="G65" s="18"/>
      <c r="H65" s="18"/>
    </row>
    <row r="66" spans="1:8" ht="15.75" x14ac:dyDescent="0.25">
      <c r="A66" s="8"/>
      <c r="B66" s="8"/>
      <c r="C66" s="9"/>
      <c r="D66" s="1"/>
      <c r="E66" s="2"/>
      <c r="F66" s="3"/>
      <c r="G66" s="18"/>
      <c r="H66" s="18"/>
    </row>
    <row r="67" spans="1:8" ht="15.75" x14ac:dyDescent="0.25">
      <c r="A67" s="8"/>
      <c r="B67" s="8"/>
      <c r="C67" s="9"/>
      <c r="D67" s="1"/>
      <c r="E67" s="2"/>
      <c r="F67" s="3"/>
      <c r="G67" s="18"/>
      <c r="H67" s="18"/>
    </row>
    <row r="68" spans="1:8" ht="15.75" x14ac:dyDescent="0.25">
      <c r="A68" s="8"/>
      <c r="B68" s="8"/>
      <c r="C68" s="9"/>
      <c r="D68" s="1"/>
      <c r="E68" s="2"/>
      <c r="F68" s="3"/>
      <c r="G68" s="18"/>
      <c r="H68" s="18"/>
    </row>
    <row r="69" spans="1:8" ht="15.75" x14ac:dyDescent="0.25">
      <c r="A69" s="8"/>
      <c r="B69" s="8"/>
      <c r="C69" s="9"/>
      <c r="D69" s="1"/>
      <c r="E69" s="2"/>
      <c r="F69" s="3"/>
      <c r="G69" s="18"/>
      <c r="H69" s="18"/>
    </row>
    <row r="70" spans="1:8" ht="15.75" x14ac:dyDescent="0.25">
      <c r="A70" s="8"/>
      <c r="B70" s="8"/>
      <c r="C70" s="9"/>
      <c r="D70" s="1"/>
      <c r="E70" s="2"/>
      <c r="F70" s="3"/>
      <c r="G70" s="18"/>
      <c r="H70" s="18"/>
    </row>
    <row r="71" spans="1:8" ht="15.75" x14ac:dyDescent="0.25">
      <c r="A71" s="8"/>
      <c r="B71" s="8"/>
      <c r="C71" s="9"/>
      <c r="D71" s="1"/>
      <c r="E71" s="2"/>
      <c r="F71" s="3"/>
      <c r="G71" s="18"/>
      <c r="H71" s="18"/>
    </row>
    <row r="72" spans="1:8" ht="15.75" x14ac:dyDescent="0.25">
      <c r="A72" s="8"/>
      <c r="B72" s="8"/>
      <c r="C72" s="9"/>
      <c r="D72" s="1"/>
      <c r="E72" s="2"/>
      <c r="F72" s="3"/>
      <c r="G72" s="18"/>
      <c r="H72" s="18"/>
    </row>
    <row r="73" spans="1:8" ht="15.75" x14ac:dyDescent="0.25">
      <c r="A73" s="8"/>
      <c r="B73" s="8"/>
      <c r="C73" s="9"/>
      <c r="D73" s="1"/>
      <c r="E73" s="2"/>
      <c r="F73" s="3"/>
      <c r="G73" s="18"/>
      <c r="H73" s="18"/>
    </row>
    <row r="74" spans="1:8" ht="15.75" x14ac:dyDescent="0.25">
      <c r="A74" s="8"/>
      <c r="B74" s="8"/>
      <c r="C74" s="9"/>
      <c r="D74" s="1"/>
      <c r="E74" s="2"/>
      <c r="F74" s="3"/>
      <c r="G74" s="18"/>
      <c r="H74" s="18"/>
    </row>
    <row r="75" spans="1:8" ht="15.75" x14ac:dyDescent="0.25">
      <c r="A75" s="12" t="s">
        <v>43</v>
      </c>
      <c r="B75" s="12"/>
      <c r="C75" s="13">
        <f>SUM(C3:C74)</f>
        <v>1245183.4200000002</v>
      </c>
      <c r="D75" s="12" t="s">
        <v>43</v>
      </c>
      <c r="E75" s="12"/>
      <c r="F75" s="13">
        <f>SUM(F3:F74)</f>
        <v>158379.80000000005</v>
      </c>
      <c r="G75" s="12" t="s">
        <v>43</v>
      </c>
      <c r="H75" s="13">
        <f>SUM(H3:H74)</f>
        <v>43786.735537190085</v>
      </c>
    </row>
    <row r="76" spans="1:8" ht="15.75" x14ac:dyDescent="0.25">
      <c r="A76" s="14" t="s">
        <v>44</v>
      </c>
      <c r="B76" s="14"/>
      <c r="C76" s="15">
        <f>(C75*0.21)</f>
        <v>261488.51820000002</v>
      </c>
      <c r="D76" s="14" t="s">
        <v>44</v>
      </c>
      <c r="E76" s="14"/>
      <c r="F76" s="15">
        <f>(F75*0.21)</f>
        <v>33259.758000000009</v>
      </c>
      <c r="G76" s="14" t="s">
        <v>44</v>
      </c>
      <c r="H76" s="15">
        <f>(H75*0.21)</f>
        <v>9195.2144628099177</v>
      </c>
    </row>
    <row r="77" spans="1:8" ht="15.75" x14ac:dyDescent="0.25">
      <c r="A77" s="14" t="s">
        <v>45</v>
      </c>
      <c r="B77" s="14"/>
      <c r="C77" s="16">
        <f>SUM(C75:C76)</f>
        <v>1506671.9382000002</v>
      </c>
      <c r="D77" s="14" t="s">
        <v>45</v>
      </c>
      <c r="E77" s="14"/>
      <c r="F77" s="16">
        <f>SUM(F75:F76)</f>
        <v>191639.55800000005</v>
      </c>
      <c r="G77" s="14" t="s">
        <v>45</v>
      </c>
      <c r="H77" s="16">
        <f>SUM(H75:H76)</f>
        <v>52981.950000000004</v>
      </c>
    </row>
  </sheetData>
  <mergeCells count="1">
    <mergeCell ref="A1:F1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2021-04-06T18:37:09Z</dcterms:modified>
</cp:coreProperties>
</file>