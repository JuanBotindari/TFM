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Septiembre" sheetId="30" r:id="rId1"/>
  </sheets>
  <calcPr calcId="125725"/>
</workbook>
</file>

<file path=xl/calcChain.xml><?xml version="1.0" encoding="utf-8"?>
<calcChain xmlns="http://schemas.openxmlformats.org/spreadsheetml/2006/main">
  <c r="C49" i="30"/>
  <c r="F49"/>
  <c r="F50"/>
  <c r="C50"/>
  <c r="F51" l="1"/>
  <c r="C51"/>
</calcChain>
</file>

<file path=xl/sharedStrings.xml><?xml version="1.0" encoding="utf-8"?>
<sst xmlns="http://schemas.openxmlformats.org/spreadsheetml/2006/main" count="173" uniqueCount="142">
  <si>
    <t>Factura A N°</t>
  </si>
  <si>
    <t>Cliente</t>
  </si>
  <si>
    <t>Importe Neto</t>
  </si>
  <si>
    <t>Factura B N°</t>
  </si>
  <si>
    <t>Subtotal</t>
  </si>
  <si>
    <t>IVA 21%</t>
  </si>
  <si>
    <t>Total</t>
  </si>
  <si>
    <t>Hc Homecare Internacion Domiciliaria S.A.</t>
  </si>
  <si>
    <t>Obra Social Union Personal De La Union  Del Personal Civil De La Nacion</t>
  </si>
  <si>
    <t>Amparo Salud S.R.L.</t>
  </si>
  <si>
    <t>Login Door S.A</t>
  </si>
  <si>
    <t>Asociacion Mutual Sancor Salud</t>
  </si>
  <si>
    <t>Obra Social Del Personal De La Industria Del Plastico</t>
  </si>
  <si>
    <t>Obra Social De Los Trabajadores De La Industria Del Gas</t>
  </si>
  <si>
    <t>MGR IMPLANTES SA</t>
  </si>
  <si>
    <t>Centro Medico Amenabar Srl</t>
  </si>
  <si>
    <t>SCHELGEL, LUIS ALBERTO</t>
  </si>
  <si>
    <t>AGOSTINO MIRIAM</t>
  </si>
  <si>
    <t>BUNCHICOFF, MARIA</t>
  </si>
  <si>
    <t>MINERVINI, MARIA DEL CARMEN LILIANA</t>
  </si>
  <si>
    <t>SALLES, ANA MARIA</t>
  </si>
  <si>
    <t>TRISTAN SARA ADELA</t>
  </si>
  <si>
    <t>MONTI, MARIA PAULA</t>
  </si>
  <si>
    <t>PINO, ANA PAULA</t>
  </si>
  <si>
    <t>Obra Social Del Personal De Las Telecomunicaciones De La Republica Argentina</t>
  </si>
  <si>
    <t>LOCOCO, CARMEN</t>
  </si>
  <si>
    <t>Piaggio, Paula Andrea</t>
  </si>
  <si>
    <t xml:space="preserve">IZZO, ADRIANA </t>
  </si>
  <si>
    <t>Herman Patricia</t>
  </si>
  <si>
    <t>Galeno Argentina SA</t>
  </si>
  <si>
    <t>RSC S.A.</t>
  </si>
  <si>
    <t>Aca Salud Cooperativa De Prestacion De Servicios Medico Asistenciales Limitada</t>
  </si>
  <si>
    <t>SORIANO, EDGARDO TOMAS</t>
  </si>
  <si>
    <t>BIANCHI TERESA GERMANA</t>
  </si>
  <si>
    <t>MATSUO, MARGARITA NOEMI</t>
  </si>
  <si>
    <t>RAQUEL DURAÑONA</t>
  </si>
  <si>
    <t>GABRIELA VANINA GALLO</t>
  </si>
  <si>
    <t>ROBERTO, FIDALGO</t>
  </si>
  <si>
    <t>MIGUEL, EDUARDO ADRIAN</t>
  </si>
  <si>
    <t>EGESAC S.A.</t>
  </si>
  <si>
    <t>Sc Pilar S.A.</t>
  </si>
  <si>
    <t>CRISTIAN GOLDENHORN</t>
  </si>
  <si>
    <t>SALVATIERRA, LUCIANA</t>
  </si>
  <si>
    <t>Alquiler Facturado - Septiembre 24</t>
  </si>
  <si>
    <t>FA-A 0006-00000528</t>
  </si>
  <si>
    <t>FA-A 0006-00000529</t>
  </si>
  <si>
    <t>FA-A 0007-00002131</t>
  </si>
  <si>
    <t>FA-A 0007-00002132</t>
  </si>
  <si>
    <t>FA-B 0007-00005330</t>
  </si>
  <si>
    <t>FA-B 0007-00005331</t>
  </si>
  <si>
    <t>FA-A 0006-00000530</t>
  </si>
  <si>
    <t>FA-B 0007-00005332</t>
  </si>
  <si>
    <t>FA-B 0007-00005333</t>
  </si>
  <si>
    <t>SERRANO, CARLOS ARMANDO</t>
  </si>
  <si>
    <t>FA-A 0006-00000531</t>
  </si>
  <si>
    <t>FA-B 0007-00005334</t>
  </si>
  <si>
    <t>FA-B 0007-00005335</t>
  </si>
  <si>
    <t>FA-B 0007-00005336</t>
  </si>
  <si>
    <t>Najus Anibal Ruben</t>
  </si>
  <si>
    <t>FA-B 0007-00005338</t>
  </si>
  <si>
    <t>FA-A 0007-00002135</t>
  </si>
  <si>
    <t>FA-A 0007-00002136</t>
  </si>
  <si>
    <t>FA-B 0007-00005339</t>
  </si>
  <si>
    <t>Alexander Fleming S. A.</t>
  </si>
  <si>
    <t>ADRIANA SAN PEDRO</t>
  </si>
  <si>
    <t>NC-A 0007-00000155</t>
  </si>
  <si>
    <t>FA-A 0007-00002137</t>
  </si>
  <si>
    <t>FA-A 0007-00002138</t>
  </si>
  <si>
    <t>FA-A 0007-00002140</t>
  </si>
  <si>
    <t>FA-A 0007-00002141</t>
  </si>
  <si>
    <t>NC-A 0007-00000156</t>
  </si>
  <si>
    <t>FA-A 0007-00002143</t>
  </si>
  <si>
    <t>FA-A 0007-00002144</t>
  </si>
  <si>
    <t>FA-A 0007-00002145</t>
  </si>
  <si>
    <t>FA-A 0007-00002146</t>
  </si>
  <si>
    <t>FA-A 0007-00002147</t>
  </si>
  <si>
    <t>FA-A 0007-00002148</t>
  </si>
  <si>
    <t>FA-A 0007-00002149</t>
  </si>
  <si>
    <t>FA-A 0007-00002150</t>
  </si>
  <si>
    <t>FA-A 0007-00002151</t>
  </si>
  <si>
    <t>FA-A 0007-00002152</t>
  </si>
  <si>
    <t>FA-A 0007-00002153</t>
  </si>
  <si>
    <t>FA-A 0007-00002154</t>
  </si>
  <si>
    <t>FA-A 0007-00002158</t>
  </si>
  <si>
    <t>FA-A 0007-00002159</t>
  </si>
  <si>
    <t>FA-A 0007-00002160</t>
  </si>
  <si>
    <t>FA-B 0007-00005346</t>
  </si>
  <si>
    <t>FA-B 0007-00005347</t>
  </si>
  <si>
    <t>FA-B 0007-00005348</t>
  </si>
  <si>
    <t>VOLPI, ALBERTO JAVIER</t>
  </si>
  <si>
    <t>FA-B 0007-00005349</t>
  </si>
  <si>
    <t>FA-B 0007-00005350</t>
  </si>
  <si>
    <t>FA-B 0007-00005351</t>
  </si>
  <si>
    <t>FA-B 0007-00005352</t>
  </si>
  <si>
    <t>FA-B 0007-00005355</t>
  </si>
  <si>
    <t>YANNADUONI, GRACIELA LIDIA</t>
  </si>
  <si>
    <t>FA-B 0007-00005356</t>
  </si>
  <si>
    <t>FA-B 0007-00005357</t>
  </si>
  <si>
    <t>FA-B 0007-00005358</t>
  </si>
  <si>
    <t>FA-B 0007-00005359</t>
  </si>
  <si>
    <t>FA-B 0007-00005360</t>
  </si>
  <si>
    <t xml:space="preserve">ARANA, MARCELLA OFELIA </t>
  </si>
  <si>
    <t>PEDROZO, PAULA GABRIELA</t>
  </si>
  <si>
    <t>FA-B 0005-00011773</t>
  </si>
  <si>
    <t>MARGARITA FERRO</t>
  </si>
  <si>
    <t>FA-B 0005-00011777</t>
  </si>
  <si>
    <t>GIMENEZ RAUL ALFREDO</t>
  </si>
  <si>
    <t>FA-A 0007-00002163</t>
  </si>
  <si>
    <t>FA-A 0007-00002164</t>
  </si>
  <si>
    <t>FA-B 0007-00005361</t>
  </si>
  <si>
    <t>FA-B 0007-00005362</t>
  </si>
  <si>
    <t>FA-B 0007-00005363</t>
  </si>
  <si>
    <t xml:space="preserve">SARA STRASBERG </t>
  </si>
  <si>
    <t>BRANDONI LUDMILA</t>
  </si>
  <si>
    <t>FA-A 0007-00002165</t>
  </si>
  <si>
    <t>FA-B 0007-00005364</t>
  </si>
  <si>
    <t>FA-B 0007-00005365</t>
  </si>
  <si>
    <t>MARTIN, RODOLFO ALBERTO</t>
  </si>
  <si>
    <t>FA-B 0005-00011800</t>
  </si>
  <si>
    <t>NUÑEZ LETICIA</t>
  </si>
  <si>
    <t>FA-B 0005-00011805</t>
  </si>
  <si>
    <t>CRUZ CLAUDIA</t>
  </si>
  <si>
    <t>FA-B 0007-00005368</t>
  </si>
  <si>
    <t>FA-B 0007-00005369</t>
  </si>
  <si>
    <t>MODOLO, CRISTIAN ARIEL</t>
  </si>
  <si>
    <t>FA-B 0007-00005370</t>
  </si>
  <si>
    <t>FA-B 0007-00005371</t>
  </si>
  <si>
    <t>FA-B 0007-00005374</t>
  </si>
  <si>
    <t>FA-B 0007-00005375</t>
  </si>
  <si>
    <t>FA-B 0007-00005376</t>
  </si>
  <si>
    <t>FA-B 0007-00005377</t>
  </si>
  <si>
    <t>FA-B 0007-00005378</t>
  </si>
  <si>
    <t>FA-B 0007-00005379</t>
  </si>
  <si>
    <t>FA-B 0007-00005380</t>
  </si>
  <si>
    <t>FA-B 0007-00005381</t>
  </si>
  <si>
    <t>CARINGI, ROSA MARIA</t>
  </si>
  <si>
    <t>NC-A 0006-00000081</t>
  </si>
  <si>
    <t>NC-A 0006-00000082</t>
  </si>
  <si>
    <t>NC-A 0006-00000084</t>
  </si>
  <si>
    <t>NC-A 0006-00000085</t>
  </si>
  <si>
    <t>FA-B 0007-00005382</t>
  </si>
  <si>
    <t>MARIA ISABEL CALDERER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</si>
</sst>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164" fontId="5" fillId="0" borderId="1" xfId="1" applyNumberFormat="1" applyFont="1" applyBorder="1"/>
    <xf numFmtId="0" fontId="2" fillId="2" borderId="2" xfId="1" applyFont="1" applyFill="1" applyBorder="1" applyAlignment="1">
      <alignment horizontal="center"/>
    </xf>
    <xf numFmtId="164" fontId="5" fillId="3" borderId="2" xfId="1" applyNumberFormat="1" applyFont="1" applyFill="1" applyBorder="1"/>
    <xf numFmtId="164" fontId="5" fillId="0" borderId="3" xfId="1" applyNumberFormat="1" applyFont="1" applyBorder="1"/>
    <xf numFmtId="0" fontId="2" fillId="2" borderId="1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0" fillId="0" borderId="1" xfId="0" applyBorder="1"/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0" fontId="1" fillId="0" borderId="1" xfId="0" applyFont="1" applyBorder="1" applyAlignment="1">
      <alignment horizontal="center"/>
    </xf>
    <xf numFmtId="2" fontId="3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/>
  </cellXfs>
  <cellStyles count="3">
    <cellStyle name="Normal" xfId="0" builtinId="0"/>
    <cellStyle name="Normal 2" xfId="1"/>
    <cellStyle name="Normal 3_Compras-Ventas 2011_Compras y Ventas 2014_Compras-Ventas 201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topLeftCell="A16" workbookViewId="0">
      <selection activeCell="C50" sqref="C50"/>
    </sheetView>
  </sheetViews>
  <sheetFormatPr baseColWidth="10" defaultRowHeight="15"/>
  <cols>
    <col min="1" max="1" width="22.140625" customWidth="1"/>
    <col min="2" max="2" width="31.5703125" customWidth="1"/>
    <col min="3" max="3" width="19.28515625" customWidth="1"/>
    <col min="4" max="4" width="21.140625" customWidth="1"/>
    <col min="5" max="5" width="26.140625" customWidth="1"/>
    <col min="6" max="6" width="19.7109375" customWidth="1"/>
  </cols>
  <sheetData>
    <row r="1" spans="1:6">
      <c r="A1" s="11" t="s">
        <v>43</v>
      </c>
      <c r="B1" s="11"/>
      <c r="C1" s="11"/>
      <c r="D1" s="11"/>
      <c r="E1" s="11"/>
      <c r="F1" s="11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9" t="s">
        <v>44</v>
      </c>
      <c r="B3" s="10" t="s">
        <v>29</v>
      </c>
      <c r="C3" s="12">
        <v>1392413.41</v>
      </c>
      <c r="D3" s="9" t="s">
        <v>48</v>
      </c>
      <c r="E3" s="10" t="s">
        <v>11</v>
      </c>
      <c r="F3" s="12">
        <v>1371313.84</v>
      </c>
    </row>
    <row r="4" spans="1:6">
      <c r="A4" s="9" t="s">
        <v>45</v>
      </c>
      <c r="B4" s="10" t="s">
        <v>29</v>
      </c>
      <c r="C4" s="12">
        <v>9369073.8200000003</v>
      </c>
      <c r="D4" s="9" t="s">
        <v>49</v>
      </c>
      <c r="E4" s="10" t="s">
        <v>12</v>
      </c>
      <c r="F4" s="12">
        <v>154553.72</v>
      </c>
    </row>
    <row r="5" spans="1:6">
      <c r="A5" s="9" t="s">
        <v>46</v>
      </c>
      <c r="B5" s="10" t="s">
        <v>9</v>
      </c>
      <c r="C5" s="12">
        <v>470719.01</v>
      </c>
      <c r="D5" s="9" t="s">
        <v>51</v>
      </c>
      <c r="E5" s="10" t="s">
        <v>53</v>
      </c>
      <c r="F5" s="12">
        <v>26859.5</v>
      </c>
    </row>
    <row r="6" spans="1:6">
      <c r="A6" s="9" t="s">
        <v>47</v>
      </c>
      <c r="B6" s="10" t="s">
        <v>7</v>
      </c>
      <c r="C6" s="12">
        <v>402297.52</v>
      </c>
      <c r="D6" s="9" t="s">
        <v>52</v>
      </c>
      <c r="E6" s="10" t="s">
        <v>25</v>
      </c>
      <c r="F6" s="12">
        <v>19834.71</v>
      </c>
    </row>
    <row r="7" spans="1:6">
      <c r="A7" s="9" t="s">
        <v>50</v>
      </c>
      <c r="B7" s="10" t="s">
        <v>29</v>
      </c>
      <c r="C7" s="12">
        <v>1214425.5</v>
      </c>
      <c r="D7" s="9" t="s">
        <v>55</v>
      </c>
      <c r="E7" s="10" t="s">
        <v>58</v>
      </c>
      <c r="F7" s="12">
        <v>49586.78</v>
      </c>
    </row>
    <row r="8" spans="1:6">
      <c r="A8" s="9" t="s">
        <v>54</v>
      </c>
      <c r="B8" s="10" t="s">
        <v>8</v>
      </c>
      <c r="C8" s="12">
        <v>3253703.02</v>
      </c>
      <c r="D8" s="9" t="s">
        <v>56</v>
      </c>
      <c r="E8" s="10" t="s">
        <v>28</v>
      </c>
      <c r="F8" s="12">
        <v>28925.62</v>
      </c>
    </row>
    <row r="9" spans="1:6">
      <c r="A9" s="9" t="s">
        <v>60</v>
      </c>
      <c r="B9" s="10" t="s">
        <v>10</v>
      </c>
      <c r="C9" s="12">
        <v>96431.74</v>
      </c>
      <c r="D9" s="9" t="s">
        <v>57</v>
      </c>
      <c r="E9" s="10" t="s">
        <v>35</v>
      </c>
      <c r="F9" s="12">
        <v>20661.16</v>
      </c>
    </row>
    <row r="10" spans="1:6">
      <c r="A10" s="9" t="s">
        <v>61</v>
      </c>
      <c r="B10" s="10" t="s">
        <v>63</v>
      </c>
      <c r="C10" s="12">
        <v>121245.78</v>
      </c>
      <c r="D10" s="9" t="s">
        <v>59</v>
      </c>
      <c r="E10" s="10" t="s">
        <v>13</v>
      </c>
      <c r="F10" s="12">
        <v>471760.33</v>
      </c>
    </row>
    <row r="11" spans="1:6">
      <c r="A11" s="9" t="s">
        <v>66</v>
      </c>
      <c r="B11" s="10" t="s">
        <v>26</v>
      </c>
      <c r="C11" s="12">
        <v>19834.71</v>
      </c>
      <c r="D11" s="9" t="s">
        <v>62</v>
      </c>
      <c r="E11" s="10" t="s">
        <v>64</v>
      </c>
      <c r="F11" s="12">
        <v>44628.1</v>
      </c>
    </row>
    <row r="12" spans="1:6">
      <c r="A12" s="9" t="s">
        <v>67</v>
      </c>
      <c r="B12" s="10" t="s">
        <v>31</v>
      </c>
      <c r="C12" s="12">
        <v>370734.07</v>
      </c>
      <c r="D12" s="9" t="s">
        <v>86</v>
      </c>
      <c r="E12" s="10" t="s">
        <v>18</v>
      </c>
      <c r="F12" s="12">
        <v>15289.26</v>
      </c>
    </row>
    <row r="13" spans="1:6">
      <c r="A13" s="9" t="s">
        <v>68</v>
      </c>
      <c r="B13" s="10" t="s">
        <v>31</v>
      </c>
      <c r="C13" s="12">
        <v>370734.07</v>
      </c>
      <c r="D13" s="9" t="s">
        <v>87</v>
      </c>
      <c r="E13" s="10" t="s">
        <v>89</v>
      </c>
      <c r="F13" s="12">
        <v>37190.080000000002</v>
      </c>
    </row>
    <row r="14" spans="1:6">
      <c r="A14" s="9" t="s">
        <v>69</v>
      </c>
      <c r="B14" s="10" t="s">
        <v>14</v>
      </c>
      <c r="C14" s="12">
        <v>150420.39000000001</v>
      </c>
      <c r="D14" s="9" t="s">
        <v>88</v>
      </c>
      <c r="E14" s="10" t="s">
        <v>19</v>
      </c>
      <c r="F14" s="12">
        <v>19834.71</v>
      </c>
    </row>
    <row r="15" spans="1:6">
      <c r="A15" s="9" t="s">
        <v>71</v>
      </c>
      <c r="B15" s="10" t="s">
        <v>24</v>
      </c>
      <c r="C15" s="12">
        <v>14388.43</v>
      </c>
      <c r="D15" s="9" t="s">
        <v>90</v>
      </c>
      <c r="E15" s="10" t="s">
        <v>17</v>
      </c>
      <c r="F15" s="12">
        <v>28925.62</v>
      </c>
    </row>
    <row r="16" spans="1:6">
      <c r="A16" s="9" t="s">
        <v>72</v>
      </c>
      <c r="B16" s="10" t="s">
        <v>24</v>
      </c>
      <c r="C16" s="12">
        <v>35165.29</v>
      </c>
      <c r="D16" s="9" t="s">
        <v>91</v>
      </c>
      <c r="E16" s="10" t="s">
        <v>23</v>
      </c>
      <c r="F16" s="12">
        <v>19834.71</v>
      </c>
    </row>
    <row r="17" spans="1:6">
      <c r="A17" s="9" t="s">
        <v>73</v>
      </c>
      <c r="B17" s="10" t="s">
        <v>24</v>
      </c>
      <c r="C17" s="12">
        <v>48148.76</v>
      </c>
      <c r="D17" s="9" t="s">
        <v>92</v>
      </c>
      <c r="E17" s="10" t="s">
        <v>21</v>
      </c>
      <c r="F17" s="12">
        <v>6123.97</v>
      </c>
    </row>
    <row r="18" spans="1:6">
      <c r="A18" s="9" t="s">
        <v>74</v>
      </c>
      <c r="B18" s="10" t="s">
        <v>24</v>
      </c>
      <c r="C18" s="12">
        <v>14388.43</v>
      </c>
      <c r="D18" s="9" t="s">
        <v>93</v>
      </c>
      <c r="E18" s="10" t="s">
        <v>37</v>
      </c>
      <c r="F18" s="12">
        <v>17355.37</v>
      </c>
    </row>
    <row r="19" spans="1:6">
      <c r="A19" s="9" t="s">
        <v>75</v>
      </c>
      <c r="B19" s="10" t="s">
        <v>24</v>
      </c>
      <c r="C19" s="12">
        <v>17314.05</v>
      </c>
      <c r="D19" s="9" t="s">
        <v>94</v>
      </c>
      <c r="E19" s="10" t="s">
        <v>95</v>
      </c>
      <c r="F19" s="12">
        <v>6611.57</v>
      </c>
    </row>
    <row r="20" spans="1:6">
      <c r="A20" s="9" t="s">
        <v>76</v>
      </c>
      <c r="B20" s="10" t="s">
        <v>24</v>
      </c>
      <c r="C20" s="12">
        <v>47413.22</v>
      </c>
      <c r="D20" s="9" t="s">
        <v>96</v>
      </c>
      <c r="E20" s="10" t="s">
        <v>16</v>
      </c>
      <c r="F20" s="12">
        <v>35041.32</v>
      </c>
    </row>
    <row r="21" spans="1:6">
      <c r="A21" s="9" t="s">
        <v>77</v>
      </c>
      <c r="B21" s="10" t="s">
        <v>24</v>
      </c>
      <c r="C21" s="12">
        <v>12247.93</v>
      </c>
      <c r="D21" s="9" t="s">
        <v>97</v>
      </c>
      <c r="E21" s="10" t="s">
        <v>27</v>
      </c>
      <c r="F21" s="12">
        <v>16528.93</v>
      </c>
    </row>
    <row r="22" spans="1:6">
      <c r="A22" s="9" t="s">
        <v>78</v>
      </c>
      <c r="B22" s="10" t="s">
        <v>24</v>
      </c>
      <c r="C22" s="12">
        <v>14388.43</v>
      </c>
      <c r="D22" s="9" t="s">
        <v>98</v>
      </c>
      <c r="E22" s="10" t="s">
        <v>101</v>
      </c>
      <c r="F22" s="12">
        <v>15289.26</v>
      </c>
    </row>
    <row r="23" spans="1:6">
      <c r="A23" s="9" t="s">
        <v>79</v>
      </c>
      <c r="B23" s="10" t="s">
        <v>24</v>
      </c>
      <c r="C23" s="12">
        <v>14388.43</v>
      </c>
      <c r="D23" s="9" t="s">
        <v>99</v>
      </c>
      <c r="E23" s="10" t="s">
        <v>22</v>
      </c>
      <c r="F23" s="12">
        <v>19834.71</v>
      </c>
    </row>
    <row r="24" spans="1:6">
      <c r="A24" s="9" t="s">
        <v>80</v>
      </c>
      <c r="B24" s="10" t="s">
        <v>24</v>
      </c>
      <c r="C24" s="12">
        <v>14388.43</v>
      </c>
      <c r="D24" s="9" t="s">
        <v>100</v>
      </c>
      <c r="E24" s="10" t="s">
        <v>102</v>
      </c>
      <c r="F24" s="12">
        <v>71074.38</v>
      </c>
    </row>
    <row r="25" spans="1:6">
      <c r="A25" s="9" t="s">
        <v>81</v>
      </c>
      <c r="B25" s="10" t="s">
        <v>24</v>
      </c>
      <c r="C25" s="12">
        <v>20776.86</v>
      </c>
      <c r="D25" s="9" t="s">
        <v>103</v>
      </c>
      <c r="E25" s="10" t="s">
        <v>104</v>
      </c>
      <c r="F25" s="12">
        <v>33057.85</v>
      </c>
    </row>
    <row r="26" spans="1:6">
      <c r="A26" s="9" t="s">
        <v>82</v>
      </c>
      <c r="B26" s="10" t="s">
        <v>24</v>
      </c>
      <c r="C26" s="12">
        <v>7194.22</v>
      </c>
      <c r="D26" s="9" t="s">
        <v>105</v>
      </c>
      <c r="E26" s="10" t="s">
        <v>106</v>
      </c>
      <c r="F26" s="12">
        <v>53719.01</v>
      </c>
    </row>
    <row r="27" spans="1:6">
      <c r="A27" s="9" t="s">
        <v>83</v>
      </c>
      <c r="B27" s="10" t="s">
        <v>39</v>
      </c>
      <c r="C27" s="12">
        <v>278123.97000000003</v>
      </c>
      <c r="D27" s="9" t="s">
        <v>109</v>
      </c>
      <c r="E27" s="10" t="s">
        <v>38</v>
      </c>
      <c r="F27" s="12">
        <v>14876.03</v>
      </c>
    </row>
    <row r="28" spans="1:6">
      <c r="A28" s="9" t="s">
        <v>84</v>
      </c>
      <c r="B28" s="10" t="s">
        <v>40</v>
      </c>
      <c r="C28" s="12">
        <v>44347.11</v>
      </c>
      <c r="D28" s="9" t="s">
        <v>110</v>
      </c>
      <c r="E28" s="10" t="s">
        <v>112</v>
      </c>
      <c r="F28" s="12">
        <v>15289.26</v>
      </c>
    </row>
    <row r="29" spans="1:6">
      <c r="A29" s="9" t="s">
        <v>85</v>
      </c>
      <c r="B29" s="10" t="s">
        <v>30</v>
      </c>
      <c r="C29" s="12">
        <v>89509.64</v>
      </c>
      <c r="D29" s="9" t="s">
        <v>111</v>
      </c>
      <c r="E29" s="10" t="s">
        <v>113</v>
      </c>
      <c r="F29" s="12">
        <v>14669.42</v>
      </c>
    </row>
    <row r="30" spans="1:6">
      <c r="A30" s="9" t="s">
        <v>107</v>
      </c>
      <c r="B30" s="10" t="s">
        <v>24</v>
      </c>
      <c r="C30" s="12">
        <v>7194.22</v>
      </c>
      <c r="D30" s="9" t="s">
        <v>115</v>
      </c>
      <c r="E30" s="10" t="s">
        <v>58</v>
      </c>
      <c r="F30" s="12">
        <v>47107.44</v>
      </c>
    </row>
    <row r="31" spans="1:6">
      <c r="A31" s="9" t="s">
        <v>108</v>
      </c>
      <c r="B31" s="10" t="s">
        <v>24</v>
      </c>
      <c r="C31" s="12">
        <v>6123.97</v>
      </c>
      <c r="D31" s="9" t="s">
        <v>116</v>
      </c>
      <c r="E31" s="10" t="s">
        <v>117</v>
      </c>
      <c r="F31" s="12">
        <v>19834.71</v>
      </c>
    </row>
    <row r="32" spans="1:6">
      <c r="A32" s="9" t="s">
        <v>114</v>
      </c>
      <c r="B32" s="10" t="s">
        <v>15</v>
      </c>
      <c r="C32" s="12">
        <v>49371.9</v>
      </c>
      <c r="D32" s="9" t="s">
        <v>118</v>
      </c>
      <c r="E32" s="10" t="s">
        <v>119</v>
      </c>
      <c r="F32" s="12">
        <v>10330.58</v>
      </c>
    </row>
    <row r="33" spans="1:6">
      <c r="A33" s="9" t="s">
        <v>65</v>
      </c>
      <c r="B33" s="10" t="s">
        <v>31</v>
      </c>
      <c r="C33" s="12">
        <v>-370734.07</v>
      </c>
      <c r="D33" s="9" t="s">
        <v>120</v>
      </c>
      <c r="E33" s="10" t="s">
        <v>121</v>
      </c>
      <c r="F33" s="12">
        <v>29338.84</v>
      </c>
    </row>
    <row r="34" spans="1:6">
      <c r="A34" s="9" t="s">
        <v>70</v>
      </c>
      <c r="B34" s="10" t="s">
        <v>24</v>
      </c>
      <c r="C34" s="12">
        <v>-14388.43</v>
      </c>
      <c r="D34" s="9" t="s">
        <v>122</v>
      </c>
      <c r="E34" s="10" t="s">
        <v>124</v>
      </c>
      <c r="F34" s="12">
        <v>44628.1</v>
      </c>
    </row>
    <row r="35" spans="1:6">
      <c r="A35" s="9" t="s">
        <v>136</v>
      </c>
      <c r="B35" s="10" t="s">
        <v>29</v>
      </c>
      <c r="C35" s="12">
        <v>-97578.07</v>
      </c>
      <c r="D35" s="9" t="s">
        <v>123</v>
      </c>
      <c r="E35" s="10" t="s">
        <v>41</v>
      </c>
      <c r="F35" s="12">
        <v>14876.03</v>
      </c>
    </row>
    <row r="36" spans="1:6">
      <c r="A36" s="9" t="s">
        <v>137</v>
      </c>
      <c r="B36" s="10" t="s">
        <v>29</v>
      </c>
      <c r="C36" s="12">
        <v>-2783.55</v>
      </c>
      <c r="D36" s="9" t="s">
        <v>125</v>
      </c>
      <c r="E36" s="10" t="s">
        <v>53</v>
      </c>
      <c r="F36" s="12">
        <v>13429.75</v>
      </c>
    </row>
    <row r="37" spans="1:6">
      <c r="A37" s="9" t="s">
        <v>138</v>
      </c>
      <c r="B37" s="10" t="s">
        <v>29</v>
      </c>
      <c r="C37" s="12">
        <v>-15873.53</v>
      </c>
      <c r="D37" s="9" t="s">
        <v>126</v>
      </c>
      <c r="E37" s="10" t="s">
        <v>53</v>
      </c>
      <c r="F37" s="12">
        <v>33057.85</v>
      </c>
    </row>
    <row r="38" spans="1:6">
      <c r="A38" s="9" t="s">
        <v>139</v>
      </c>
      <c r="B38" s="10" t="s">
        <v>29</v>
      </c>
      <c r="C38" s="12">
        <v>-102275.32</v>
      </c>
      <c r="D38" s="9" t="s">
        <v>127</v>
      </c>
      <c r="E38" s="10" t="s">
        <v>20</v>
      </c>
      <c r="F38" s="12">
        <v>17355.37</v>
      </c>
    </row>
    <row r="39" spans="1:6">
      <c r="A39" s="13"/>
      <c r="B39" s="13"/>
      <c r="C39" s="13"/>
      <c r="D39" s="9" t="s">
        <v>128</v>
      </c>
      <c r="E39" s="10" t="s">
        <v>36</v>
      </c>
      <c r="F39" s="12">
        <v>71074.38</v>
      </c>
    </row>
    <row r="40" spans="1:6">
      <c r="A40" s="13"/>
      <c r="B40" s="13"/>
      <c r="C40" s="13"/>
      <c r="D40" s="9" t="s">
        <v>129</v>
      </c>
      <c r="E40" s="10" t="s">
        <v>16</v>
      </c>
      <c r="F40" s="12">
        <v>20661.150000000001</v>
      </c>
    </row>
    <row r="41" spans="1:6">
      <c r="A41" s="13"/>
      <c r="B41" s="13"/>
      <c r="C41" s="13"/>
      <c r="D41" s="9" t="s">
        <v>130</v>
      </c>
      <c r="E41" s="10" t="s">
        <v>33</v>
      </c>
      <c r="F41" s="12">
        <v>7194.22</v>
      </c>
    </row>
    <row r="42" spans="1:6">
      <c r="A42" s="13"/>
      <c r="B42" s="13"/>
      <c r="C42" s="13"/>
      <c r="D42" s="9" t="s">
        <v>131</v>
      </c>
      <c r="E42" s="10" t="s">
        <v>34</v>
      </c>
      <c r="F42" s="12">
        <v>19834.71</v>
      </c>
    </row>
    <row r="43" spans="1:6">
      <c r="A43" s="13"/>
      <c r="B43" s="13"/>
      <c r="C43" s="13"/>
      <c r="D43" s="9" t="s">
        <v>132</v>
      </c>
      <c r="E43" s="10" t="s">
        <v>32</v>
      </c>
      <c r="F43" s="12">
        <v>19834.71</v>
      </c>
    </row>
    <row r="44" spans="1:6">
      <c r="A44" s="13"/>
      <c r="B44" s="13"/>
      <c r="C44" s="13"/>
      <c r="D44" s="9" t="s">
        <v>133</v>
      </c>
      <c r="E44" s="10" t="s">
        <v>42</v>
      </c>
      <c r="F44" s="12">
        <v>19834.71</v>
      </c>
    </row>
    <row r="45" spans="1:6">
      <c r="A45" s="13"/>
      <c r="B45" s="13"/>
      <c r="C45" s="13"/>
      <c r="D45" s="9" t="s">
        <v>134</v>
      </c>
      <c r="E45" s="10" t="s">
        <v>135</v>
      </c>
      <c r="F45" s="12">
        <v>7500</v>
      </c>
    </row>
    <row r="46" spans="1:6">
      <c r="A46" s="13"/>
      <c r="B46" s="13"/>
      <c r="C46" s="13"/>
      <c r="D46" s="9" t="s">
        <v>140</v>
      </c>
      <c r="E46" s="10" t="s">
        <v>141</v>
      </c>
      <c r="F46" s="12">
        <v>17355.37</v>
      </c>
    </row>
    <row r="47" spans="1:6">
      <c r="A47" s="13"/>
      <c r="B47" s="13"/>
      <c r="C47" s="13"/>
      <c r="D47" s="13"/>
      <c r="E47" s="13"/>
      <c r="F47" s="13"/>
    </row>
    <row r="48" spans="1:6">
      <c r="A48" s="8"/>
      <c r="B48" s="8"/>
      <c r="C48" s="8"/>
      <c r="D48" s="8"/>
      <c r="E48" s="8"/>
      <c r="F48" s="8"/>
    </row>
    <row r="49" spans="1:6" ht="15.75">
      <c r="A49" s="7" t="s">
        <v>4</v>
      </c>
      <c r="B49" s="7"/>
      <c r="C49" s="5">
        <f>SUM(C3:C48)</f>
        <v>17363273.359999988</v>
      </c>
      <c r="D49" s="7" t="s">
        <v>4</v>
      </c>
      <c r="E49" s="7"/>
      <c r="F49" s="5">
        <f>SUM(F3:F48)</f>
        <v>3041917.1399999992</v>
      </c>
    </row>
    <row r="50" spans="1:6" ht="15.75">
      <c r="A50" s="6" t="s">
        <v>5</v>
      </c>
      <c r="B50" s="6"/>
      <c r="C50" s="2">
        <f>(C49*0.21)</f>
        <v>3646287.4055999974</v>
      </c>
      <c r="D50" s="6" t="s">
        <v>5</v>
      </c>
      <c r="E50" s="6"/>
      <c r="F50" s="2">
        <f>(F49*0.21)</f>
        <v>638802.59939999983</v>
      </c>
    </row>
    <row r="51" spans="1:6" ht="15.75">
      <c r="A51" s="3" t="s">
        <v>6</v>
      </c>
      <c r="B51" s="3"/>
      <c r="C51" s="4">
        <f>SUM(C49:C50)</f>
        <v>21009560.765599985</v>
      </c>
      <c r="D51" s="3" t="s">
        <v>6</v>
      </c>
      <c r="E51" s="3"/>
      <c r="F51" s="4">
        <f>SUM(F49:F50)</f>
        <v>3680719.7393999989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2024-10-08T15:45:44Z</dcterms:modified>
</cp:coreProperties>
</file>