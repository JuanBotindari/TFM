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20" yWindow="-120" windowWidth="19440" windowHeight="11160" firstSheet="3" activeTab="4"/>
  </bookViews>
  <sheets>
    <sheet name="Configuracion" sheetId="23" r:id="rId1"/>
    <sheet name="Julio 2024" sheetId="22" r:id="rId2"/>
    <sheet name="Calculo IVA" sheetId="24" r:id="rId3"/>
    <sheet name="Ventas 07" sheetId="25" r:id="rId4"/>
    <sheet name="Compras 07 " sheetId="30" r:id="rId5"/>
  </sheets>
  <definedNames>
    <definedName name="_xlnm._FilterDatabase" localSheetId="4" hidden="1">'Compras 07 '!$A$5:$N$131</definedName>
    <definedName name="_xlnm._FilterDatabase" localSheetId="0" hidden="1">Configuracion!$A$3:$C$540</definedName>
    <definedName name="_xlnm._FilterDatabase" localSheetId="1" hidden="1">'Julio 2024'!$A$7:$P$25</definedName>
    <definedName name="_xlnm.Print_Area" localSheetId="1">'Julio 2024'!$A$1:$N$16</definedName>
    <definedName name="partner_id" localSheetId="0">Configuracion!$B$332</definedName>
  </definedNames>
  <calcPr calcId="144525"/>
</workbook>
</file>

<file path=xl/calcChain.xml><?xml version="1.0" encoding="utf-8"?>
<calcChain xmlns="http://schemas.openxmlformats.org/spreadsheetml/2006/main">
  <c r="F428" i="25" l="1"/>
  <c r="G428" i="25" s="1"/>
  <c r="G427" i="25"/>
  <c r="F427" i="25"/>
  <c r="C19" i="24"/>
  <c r="H428" i="25" l="1"/>
  <c r="G429" i="25"/>
  <c r="F429" i="25"/>
  <c r="H427" i="25"/>
  <c r="D172" i="30"/>
  <c r="H429" i="25" l="1"/>
  <c r="L155" i="30"/>
  <c r="N130" i="30"/>
  <c r="M130" i="30"/>
  <c r="L130" i="30"/>
  <c r="K130" i="30"/>
  <c r="J130" i="30"/>
  <c r="G130" i="30"/>
  <c r="F130" i="30"/>
  <c r="Q155" i="30"/>
  <c r="P155" i="30"/>
  <c r="O155" i="30"/>
  <c r="N155" i="30"/>
  <c r="M155" i="30"/>
  <c r="I130" i="30"/>
  <c r="H130" i="30"/>
  <c r="H131" i="30" l="1"/>
  <c r="F70" i="22"/>
  <c r="H59" i="22"/>
  <c r="H70" i="22" s="1"/>
  <c r="E67" i="22"/>
  <c r="E66" i="22"/>
  <c r="E65" i="22"/>
  <c r="E64" i="22"/>
  <c r="E63" i="22"/>
  <c r="E62" i="22"/>
  <c r="E61" i="22"/>
  <c r="E60" i="22"/>
  <c r="E59" i="22"/>
  <c r="E58" i="22"/>
  <c r="E57" i="22"/>
  <c r="E56" i="22"/>
  <c r="K424" i="25"/>
  <c r="N424" i="25"/>
  <c r="F424" i="25"/>
  <c r="M424" i="25"/>
  <c r="L424" i="25"/>
  <c r="J424" i="25"/>
  <c r="I424" i="25"/>
  <c r="H424" i="25"/>
  <c r="G424" i="25"/>
  <c r="E121" i="22"/>
  <c r="F96" i="22"/>
  <c r="G82" i="22" l="1"/>
  <c r="I82" i="22" s="1"/>
  <c r="E82" i="22"/>
  <c r="I81" i="22"/>
  <c r="G81" i="22"/>
  <c r="E81" i="22"/>
  <c r="G70" i="22"/>
  <c r="G10" i="22"/>
  <c r="O10" i="22" s="1"/>
  <c r="E10" i="22"/>
  <c r="G9" i="22"/>
  <c r="O9" i="22" s="1"/>
  <c r="E9" i="22"/>
  <c r="G8" i="22"/>
  <c r="O8" i="22" s="1"/>
  <c r="E8" i="22"/>
  <c r="E49" i="22"/>
  <c r="E48" i="22"/>
  <c r="E47" i="22"/>
  <c r="E46" i="22"/>
  <c r="E45" i="22"/>
  <c r="E44" i="22"/>
  <c r="E43" i="22"/>
  <c r="E42" i="22"/>
  <c r="E41" i="22"/>
  <c r="E40" i="22"/>
  <c r="E39" i="22"/>
  <c r="E38" i="22"/>
  <c r="E37" i="22"/>
  <c r="E36" i="22"/>
  <c r="E35" i="22"/>
  <c r="E34" i="22"/>
  <c r="E33" i="22"/>
  <c r="E32" i="22"/>
  <c r="E31" i="22"/>
  <c r="E30" i="22"/>
  <c r="E29" i="22"/>
  <c r="G83" i="22"/>
  <c r="I83" i="22" s="1"/>
  <c r="G84" i="22"/>
  <c r="I84" i="22" s="1"/>
  <c r="G85" i="22"/>
  <c r="I85" i="22" s="1"/>
  <c r="G86" i="22"/>
  <c r="I86" i="22" s="1"/>
  <c r="G87" i="22"/>
  <c r="I87" i="22" s="1"/>
  <c r="G88" i="22"/>
  <c r="I88" i="22" s="1"/>
  <c r="G89" i="22"/>
  <c r="I89" i="22" s="1"/>
  <c r="G90" i="22"/>
  <c r="I90" i="22" s="1"/>
  <c r="G91" i="22"/>
  <c r="I91" i="22" s="1"/>
  <c r="G92" i="22"/>
  <c r="I92" i="22" s="1"/>
  <c r="G93" i="22"/>
  <c r="I93" i="22" s="1"/>
  <c r="G94" i="22"/>
  <c r="I94" i="22" s="1"/>
  <c r="G95" i="22"/>
  <c r="E83" i="22"/>
  <c r="E84" i="22"/>
  <c r="E85" i="22"/>
  <c r="E86" i="22"/>
  <c r="E87" i="22"/>
  <c r="E88" i="22"/>
  <c r="E89" i="22"/>
  <c r="E90" i="22"/>
  <c r="E91" i="22"/>
  <c r="E92" i="22"/>
  <c r="E93" i="22"/>
  <c r="E94" i="22"/>
  <c r="E55" i="22" l="1"/>
  <c r="E54" i="22"/>
  <c r="E53" i="22"/>
  <c r="E52" i="22"/>
  <c r="E51" i="22"/>
  <c r="E50" i="22"/>
  <c r="I70" i="22"/>
  <c r="E69" i="22" l="1"/>
  <c r="E68" i="22"/>
  <c r="C121" i="22" l="1"/>
  <c r="P11" i="22" l="1"/>
  <c r="G11" i="22"/>
  <c r="O11" i="22" s="1"/>
  <c r="E11" i="22"/>
  <c r="P10" i="22"/>
  <c r="P9" i="22"/>
  <c r="P8" i="22"/>
  <c r="G17" i="22"/>
  <c r="E17" i="22"/>
  <c r="F25" i="22" l="1"/>
  <c r="F12" i="22" l="1"/>
  <c r="B121" i="22" l="1"/>
  <c r="G18" i="22" l="1"/>
  <c r="E18" i="22"/>
  <c r="I12" i="22" l="1"/>
  <c r="H12" i="22"/>
  <c r="G19" i="22" l="1"/>
  <c r="E19" i="22"/>
  <c r="G79" i="22" l="1"/>
  <c r="I79" i="22" s="1"/>
  <c r="E79" i="22"/>
  <c r="G78" i="22"/>
  <c r="I78" i="22" s="1"/>
  <c r="E78" i="22"/>
  <c r="E20" i="22"/>
  <c r="G20" i="22"/>
  <c r="E21" i="22"/>
  <c r="G21" i="22"/>
  <c r="E22" i="22"/>
  <c r="G22" i="22"/>
  <c r="E23" i="22"/>
  <c r="G23" i="22"/>
  <c r="E24" i="22"/>
  <c r="G24" i="22"/>
  <c r="N12" i="22" l="1"/>
  <c r="M12" i="22"/>
  <c r="L12" i="22"/>
  <c r="K12" i="22"/>
  <c r="J12" i="22"/>
  <c r="B8" i="24" l="1"/>
  <c r="E102" i="22" l="1"/>
  <c r="E101" i="22"/>
  <c r="G80" i="22"/>
  <c r="I80" i="22" s="1"/>
  <c r="E80" i="22"/>
  <c r="B6" i="24" l="1"/>
  <c r="C8" i="24" l="1"/>
  <c r="D8" i="24" s="1"/>
  <c r="B9" i="24" l="1"/>
  <c r="C38" i="24" l="1"/>
  <c r="G12" i="22" l="1"/>
  <c r="G13" i="22" s="1"/>
  <c r="O12" i="22" l="1"/>
  <c r="B19" i="24" l="1"/>
  <c r="C9" i="24" l="1"/>
  <c r="D9" i="24" s="1"/>
  <c r="E103" i="22" l="1"/>
  <c r="C44" i="24" l="1"/>
  <c r="C58" i="24" s="1"/>
  <c r="C62" i="24" s="1"/>
  <c r="C46" i="24" l="1"/>
  <c r="E104" i="22" l="1"/>
  <c r="E105" i="22"/>
  <c r="E95" i="22"/>
  <c r="C6" i="24" l="1"/>
  <c r="I95" i="22"/>
  <c r="I96" i="22" s="1"/>
  <c r="G96" i="22"/>
  <c r="D6" i="24" l="1"/>
  <c r="D19" i="24" l="1"/>
  <c r="F101" i="22" l="1"/>
  <c r="G101" i="22" l="1"/>
  <c r="H106" i="22"/>
  <c r="F105" i="22"/>
  <c r="G105" i="22" s="1"/>
  <c r="F103" i="22"/>
  <c r="G103" i="22" s="1"/>
  <c r="F104" i="22"/>
  <c r="G104" i="22" s="1"/>
  <c r="F102" i="22"/>
  <c r="F106" i="22" l="1"/>
  <c r="G102" i="22"/>
  <c r="G106" i="22" s="1"/>
  <c r="B7" i="24" l="1"/>
  <c r="C7" i="24" s="1"/>
  <c r="C10" i="24" s="1"/>
  <c r="B10" i="24" l="1"/>
  <c r="C50" i="24"/>
  <c r="D7" i="24"/>
  <c r="D10" i="24" s="1"/>
  <c r="C54" i="24" l="1"/>
  <c r="C65" i="24" s="1"/>
</calcChain>
</file>

<file path=xl/sharedStrings.xml><?xml version="1.0" encoding="utf-8"?>
<sst xmlns="http://schemas.openxmlformats.org/spreadsheetml/2006/main" count="3689" uniqueCount="1411">
  <si>
    <t>LIBRO IVA VENTAS</t>
  </si>
  <si>
    <t>FECHA</t>
  </si>
  <si>
    <t>DETALLE</t>
  </si>
  <si>
    <t>IVA</t>
  </si>
  <si>
    <t>TOTAL</t>
  </si>
  <si>
    <t>FAC A</t>
  </si>
  <si>
    <t xml:space="preserve">LIBRO IVA COMPRAS     </t>
  </si>
  <si>
    <t>CUIT</t>
  </si>
  <si>
    <t>NETO</t>
  </si>
  <si>
    <t>IVA 21%</t>
  </si>
  <si>
    <t>IVA 27%</t>
  </si>
  <si>
    <t>IVA 10,5%</t>
  </si>
  <si>
    <t>P IVA</t>
  </si>
  <si>
    <t>IIBB CF</t>
  </si>
  <si>
    <t xml:space="preserve">IIBB BS </t>
  </si>
  <si>
    <t>OTROS</t>
  </si>
  <si>
    <t>FAC C</t>
  </si>
  <si>
    <t>PTO VTA</t>
  </si>
  <si>
    <t>NRO FC</t>
  </si>
  <si>
    <t>RAZON SOCIAL</t>
  </si>
  <si>
    <t>FACTURAS A</t>
  </si>
  <si>
    <t>IIBB</t>
  </si>
  <si>
    <t>RETENCIONES</t>
  </si>
  <si>
    <t>SUSS</t>
  </si>
  <si>
    <t>COMPROBANTE NRO</t>
  </si>
  <si>
    <t>GANANCIAS</t>
  </si>
  <si>
    <t>FACTURA A</t>
  </si>
  <si>
    <t>FACTURA B</t>
  </si>
  <si>
    <t>ORTOPEDIA GEMINIS S.A.</t>
  </si>
  <si>
    <t>FACTURAS B/C</t>
  </si>
  <si>
    <t>NO GRAV</t>
  </si>
  <si>
    <t>NO GRAV.</t>
  </si>
  <si>
    <t>Maximo 30 caracteres</t>
  </si>
  <si>
    <t>Cargar tipo de gasto</t>
  </si>
  <si>
    <t>Cargar sin guiones</t>
  </si>
  <si>
    <t>NARVAEZ RODRIGUEZ DAMIAN</t>
  </si>
  <si>
    <t>FLETE</t>
  </si>
  <si>
    <t>BOTINDARI JUAN CARLOS</t>
  </si>
  <si>
    <t>HONORARIOS</t>
  </si>
  <si>
    <t>SERVICIO</t>
  </si>
  <si>
    <t>GELFORM SRL</t>
  </si>
  <si>
    <t>PROVEEDOR</t>
  </si>
  <si>
    <t>DI FEO HUGO PASCUAL GUILLERMO</t>
  </si>
  <si>
    <t>INSUMOS</t>
  </si>
  <si>
    <t>REHAVITA SA</t>
  </si>
  <si>
    <t>VENTO HUGO GABRIEL</t>
  </si>
  <si>
    <t>MELICASLAT SRL</t>
  </si>
  <si>
    <t>AYUDAS TECNICAS SRL</t>
  </si>
  <si>
    <t>CONSORCIO</t>
  </si>
  <si>
    <t>CONSORCIO BARTOLME MITRE 2466</t>
  </si>
  <si>
    <t>GALE GABRIELA</t>
  </si>
  <si>
    <t>LIBRERÍA</t>
  </si>
  <si>
    <t>FABORT SRL</t>
  </si>
  <si>
    <t>DIEGO MARTIN RIOS</t>
  </si>
  <si>
    <t>VARIOS</t>
  </si>
  <si>
    <t>ROLLS Y EMPANADAS SA</t>
  </si>
  <si>
    <t>NESTOR LUIS VINAGRE</t>
  </si>
  <si>
    <t>ALO FER SA</t>
  </si>
  <si>
    <t>AZIBI SA</t>
  </si>
  <si>
    <t>GITMED INSUMOS MEDICOS SRL</t>
  </si>
  <si>
    <t>BIOMAX INSUMOS MEDICOS SA</t>
  </si>
  <si>
    <t>HOSPIMED SA</t>
  </si>
  <si>
    <t>ORTOPEDICOS ALFOLATEX SA</t>
  </si>
  <si>
    <t>ASIAL SRL</t>
  </si>
  <si>
    <t>GONZALEZ SAGASETA GABRIEL</t>
  </si>
  <si>
    <t>SUTIL SILVIA EDITH</t>
  </si>
  <si>
    <t>OTTO BOCK ARG SA</t>
  </si>
  <si>
    <t>SILVESTRIN FABRIS SRL</t>
  </si>
  <si>
    <t>ITALOMED PRODUCTOS SRL</t>
  </si>
  <si>
    <t>RENT AR SRL</t>
  </si>
  <si>
    <t>30-56864959-8</t>
  </si>
  <si>
    <t>EXPRESO BISONTE SRL</t>
  </si>
  <si>
    <t>OBRA SOCIAL DE LA ACTIVIDAD DE SEGUROS, REASEGUROS, CAPITALIZACION Y AHORRO Y PRESTAMO  PARA LA VIVIENDA</t>
  </si>
  <si>
    <t>GALENO ARGENTINA SA</t>
  </si>
  <si>
    <t>PIAGGIO PAULA ANDREA</t>
  </si>
  <si>
    <t>CENTRO MEDICO AMENABAR SRL</t>
  </si>
  <si>
    <t>INTENSE LIFE SA</t>
  </si>
  <si>
    <t>MGR IMPLANTES SA</t>
  </si>
  <si>
    <t>MALDONADO LIDIA ESTELA</t>
  </si>
  <si>
    <t>MEDICUS SA</t>
  </si>
  <si>
    <t>CLIENTE</t>
  </si>
  <si>
    <t>ASOCIACION MUTUAL SANCOR SALUD</t>
  </si>
  <si>
    <t>FUNDACION EMPRESARIA MADERERA</t>
  </si>
  <si>
    <t>OSMATA</t>
  </si>
  <si>
    <t>INST. CARDIOVASCULAR BSAS SA</t>
  </si>
  <si>
    <t>OSPLAD</t>
  </si>
  <si>
    <t>UTEDYC</t>
  </si>
  <si>
    <t>OSTIG</t>
  </si>
  <si>
    <t>GALENO ART SA</t>
  </si>
  <si>
    <t>IPROSS</t>
  </si>
  <si>
    <t>ORTOPEDIA GEMINIS</t>
  </si>
  <si>
    <t>Calculo    Iva</t>
  </si>
  <si>
    <t xml:space="preserve">VENTAS </t>
  </si>
  <si>
    <t>Neto</t>
  </si>
  <si>
    <t>Iva</t>
  </si>
  <si>
    <t>Total</t>
  </si>
  <si>
    <t>FAC.  "A"</t>
  </si>
  <si>
    <t>FAC.  "B"</t>
  </si>
  <si>
    <t>COMPRAS</t>
  </si>
  <si>
    <t>N° Cuit</t>
  </si>
  <si>
    <t>Importe</t>
  </si>
  <si>
    <t>Nro. Retencion</t>
  </si>
  <si>
    <t>Fecha</t>
  </si>
  <si>
    <t>AFIP - No están informadas las retenciones de IVA en el sistema de AFIP</t>
  </si>
  <si>
    <t xml:space="preserve"> </t>
  </si>
  <si>
    <t>PERCEPCIONES</t>
  </si>
  <si>
    <t>Total Deducciociones</t>
  </si>
  <si>
    <t>(Montos en Positivo)</t>
  </si>
  <si>
    <t>1er Saldo Tecnico del Período</t>
  </si>
  <si>
    <t>Saldo Tecnico de período Anterior (a favor)</t>
  </si>
  <si>
    <t>(resta en el total)</t>
  </si>
  <si>
    <t xml:space="preserve">Saldo Neto Técnico  </t>
  </si>
  <si>
    <t>Saldo L.D. del Período</t>
  </si>
  <si>
    <t>Saldo L.D. del Período Anterior</t>
  </si>
  <si>
    <t xml:space="preserve">Neto S.L.D </t>
  </si>
  <si>
    <t xml:space="preserve">I V A </t>
  </si>
  <si>
    <t>NOTA: Sin Tomar posibles Retenciones que se hayan hecho</t>
  </si>
  <si>
    <t>TELEFONICA MOVILES ARG SA</t>
  </si>
  <si>
    <t>TARGET MEDICAL SA</t>
  </si>
  <si>
    <t>PANTYMED SA</t>
  </si>
  <si>
    <t>MARIÑO GERMAN</t>
  </si>
  <si>
    <t>EL JUMILIANO SA</t>
  </si>
  <si>
    <t>PABLO ROBERTO MURUA POU</t>
  </si>
  <si>
    <t>RAMBAUD DIEGO GABRIEL</t>
  </si>
  <si>
    <t>GASTOS VARIOS</t>
  </si>
  <si>
    <t>FURLANETTO VICTOR</t>
  </si>
  <si>
    <t>COTO CICSA</t>
  </si>
  <si>
    <t>GREEN GARDEN MARKET SA</t>
  </si>
  <si>
    <t>OSTEL</t>
  </si>
  <si>
    <t>O.C.A.</t>
  </si>
  <si>
    <t>NT SYSTEM WORK</t>
  </si>
  <si>
    <t>SISTEMA</t>
  </si>
  <si>
    <t>MOLINO MARIANO GASTON</t>
  </si>
  <si>
    <t>AMERELLI MIRTA SUSANA</t>
  </si>
  <si>
    <t>PROSEGUR ACTIVA ARG SA</t>
  </si>
  <si>
    <t>SEGUROS</t>
  </si>
  <si>
    <t>CARFLEX SRL</t>
  </si>
  <si>
    <t>KLAINER ABEL JAVIER</t>
  </si>
  <si>
    <t>MARIA NATALIA OLIVIERI</t>
  </si>
  <si>
    <t>TELEFONICA ARG SA</t>
  </si>
  <si>
    <t>TELECOM ARGENTINA SA</t>
  </si>
  <si>
    <t>TRAFE SUDAMERICANA SA</t>
  </si>
  <si>
    <t>GASPAR BERNARDI E HIJOS SA</t>
  </si>
  <si>
    <t>GENDARMERIA NACIONAL</t>
  </si>
  <si>
    <t>ALBAMIE SA</t>
  </si>
  <si>
    <t>STAFF MEDICO SA</t>
  </si>
  <si>
    <t>TRUST SRL</t>
  </si>
  <si>
    <t>REHAB SRL</t>
  </si>
  <si>
    <t>ORTOPEDIA CASA ESCALADA SRL</t>
  </si>
  <si>
    <t>CONTERI EDGARDO MARCELO</t>
  </si>
  <si>
    <t>CAPOFLEX SRL</t>
  </si>
  <si>
    <t>MEDICAL FOAM SRL</t>
  </si>
  <si>
    <t>BIODINAMICA ASIST E INSUMOS</t>
  </si>
  <si>
    <t>INC SA</t>
  </si>
  <si>
    <t>CARBONELLI VERACRUZ MAGALI</t>
  </si>
  <si>
    <t>SUPERVIELLE SANTIAGO</t>
  </si>
  <si>
    <t>WAINMANN PABLO MARIANO</t>
  </si>
  <si>
    <t>RELIEF CENTER SRL</t>
  </si>
  <si>
    <t>INCAT SRL</t>
  </si>
  <si>
    <t>DISTRIBUIDORA LARREA SA</t>
  </si>
  <si>
    <t>ENVADEC SRL</t>
  </si>
  <si>
    <t>ORTOPEDICOS SAN ANDRES SRL</t>
  </si>
  <si>
    <t>DEHEZA SAICFeI</t>
  </si>
  <si>
    <t>TECNIPRAX SRL</t>
  </si>
  <si>
    <t>ALEXANDER FLEMING SA</t>
  </si>
  <si>
    <t>PRADO MARISOL</t>
  </si>
  <si>
    <t>KRUGER BRUNA</t>
  </si>
  <si>
    <t>TRINIDAD INSUMOS SRL</t>
  </si>
  <si>
    <t>HERRERA SERGIO DANIEL ALBERTO</t>
  </si>
  <si>
    <t>CAMARAS</t>
  </si>
  <si>
    <t>OUTLANDISH SRL</t>
  </si>
  <si>
    <t>QUIROZ CARLOS DANIEL</t>
  </si>
  <si>
    <t>ORTIZ RICARDO ALFREDO</t>
  </si>
  <si>
    <t>HIPER ON LINE SRL</t>
  </si>
  <si>
    <t xml:space="preserve">DAP WORLD </t>
  </si>
  <si>
    <t>LANDRO FERNANDO GABRIEL</t>
  </si>
  <si>
    <t>RODOLFO SCHULZE</t>
  </si>
  <si>
    <t>TALLER</t>
  </si>
  <si>
    <t>VAZQUEZ MAURO GASTON</t>
  </si>
  <si>
    <t>LOGIN DOOR SA</t>
  </si>
  <si>
    <t>SOSA GLORIA MIRIAM DEL CARMEN</t>
  </si>
  <si>
    <t>IMPRENTA</t>
  </si>
  <si>
    <t>ENCINA AVELINO</t>
  </si>
  <si>
    <t>ESCRIBANO</t>
  </si>
  <si>
    <t>DRUETTA ANDREA MARIEL</t>
  </si>
  <si>
    <t>TECNICO</t>
  </si>
  <si>
    <t>CORREO</t>
  </si>
  <si>
    <t>CORREO OFICIAL DE LA REPUBLICA ARGENTINA SOCIEDAD ANONIMA</t>
  </si>
  <si>
    <t>VIEGAS GABRIELA LAURA</t>
  </si>
  <si>
    <t>PIVA MICAELA</t>
  </si>
  <si>
    <t>SAFRANCHIK SILVIA MERCEDES</t>
  </si>
  <si>
    <t>AMERICAN EXPRESS ARG SA</t>
  </si>
  <si>
    <t>TARJETA</t>
  </si>
  <si>
    <t>MACHADO ELIANA NOEMI</t>
  </si>
  <si>
    <t>ACOSTA JAVIER GUSTAVO</t>
  </si>
  <si>
    <t>SOLUCIONES ORTOPEDICAS</t>
  </si>
  <si>
    <t>COLTEX SRL</t>
  </si>
  <si>
    <t>GONZALEZ ALFREDO SEBASTIAN</t>
  </si>
  <si>
    <t>NICA SA</t>
  </si>
  <si>
    <t>GAETE MONICA ELIZABETH</t>
  </si>
  <si>
    <t>LACCO MARIA FLORENCIA</t>
  </si>
  <si>
    <t>FAC. "A" - Odoo</t>
  </si>
  <si>
    <t>FAC. "B" - Odoo</t>
  </si>
  <si>
    <t>ORTOPEDIA GULLONE SRL</t>
  </si>
  <si>
    <t>MIGOYA CESAR ALBERTO</t>
  </si>
  <si>
    <t>ALQUILER/HONORARIOS</t>
  </si>
  <si>
    <t>VOCAL ALCOBA CINTIA</t>
  </si>
  <si>
    <t>RUBRICOM SA</t>
  </si>
  <si>
    <t>ISEC</t>
  </si>
  <si>
    <t>ARMAGALLI SA</t>
  </si>
  <si>
    <t>PALLONE JORGE</t>
  </si>
  <si>
    <t>CASA SUEDY SA</t>
  </si>
  <si>
    <t>BAIRES ROCKS SRL</t>
  </si>
  <si>
    <t>CARLOS RODOLFO FERNANDEZ</t>
  </si>
  <si>
    <t>GARCIA BATALLAN LAUTARO</t>
  </si>
  <si>
    <t>CONGRESO INSUMOS SA</t>
  </si>
  <si>
    <t>ACOSTA OSCAR ISIDRO</t>
  </si>
  <si>
    <t>FERRETERIA INDUSTRIAL ONCE SRL</t>
  </si>
  <si>
    <t>FERNANDEZ MAURO</t>
  </si>
  <si>
    <t>Base</t>
  </si>
  <si>
    <t>Otros Imp.</t>
  </si>
  <si>
    <t>Total Compr.</t>
  </si>
  <si>
    <t>Totales por Tipo de Comprobante - ODOO</t>
  </si>
  <si>
    <t>BAIRES CARTELES SA</t>
  </si>
  <si>
    <t>GALIANO MARIA LIDIA</t>
  </si>
  <si>
    <t>HERNANDEZ RIVERO ADRIAN</t>
  </si>
  <si>
    <t>MERCADOLIBRE SRL</t>
  </si>
  <si>
    <t>SOLANS SEBASTIAN DARIO</t>
  </si>
  <si>
    <t>MARIA ESPERANZA CORVALAN</t>
  </si>
  <si>
    <t>DEMARIA AUGUSTO CARLOS</t>
  </si>
  <si>
    <t>HABLENDEAUNO SA</t>
  </si>
  <si>
    <t>CIERRES, ABROJO &amp; HERRAJES SRL</t>
  </si>
  <si>
    <t>KOGAN LEWIT WINSTON DANIEL</t>
  </si>
  <si>
    <t>SEDANO SRL</t>
  </si>
  <si>
    <t>FEDERICO PABLO FEOLA</t>
  </si>
  <si>
    <t>GIULIETTI LUIS ALBERTO</t>
  </si>
  <si>
    <t>BOTINDARI FEDERICO DANIEL</t>
  </si>
  <si>
    <t>ALTO CALABRIA SRL</t>
  </si>
  <si>
    <t>INSTALACIONES COM. TISERA SA</t>
  </si>
  <si>
    <t>SALUDTEX SA</t>
  </si>
  <si>
    <t>DROGUERIA MARTORANI SA</t>
  </si>
  <si>
    <t>HERNANDEZ MARCELO</t>
  </si>
  <si>
    <t>ORTOPEDIA CUENCA SRL</t>
  </si>
  <si>
    <t>V M TRASP CRUZ DEL SUR SA</t>
  </si>
  <si>
    <t>GAMALECTRIC SA</t>
  </si>
  <si>
    <t>BIGBOX SA</t>
  </si>
  <si>
    <t>STAHLHOFER DANIEL OMAR</t>
  </si>
  <si>
    <t>ALFREDO OMAR POTENZA SRL</t>
  </si>
  <si>
    <t>OSDOP</t>
  </si>
  <si>
    <t>INTERMED SRL</t>
  </si>
  <si>
    <t>PROCATA SRL</t>
  </si>
  <si>
    <t>DISEÑOS JERY SRL</t>
  </si>
  <si>
    <t>SANTA FE COMERCIAL SRL</t>
  </si>
  <si>
    <t>NGSHOP SRL</t>
  </si>
  <si>
    <t>OBRA SOCIAL SUPERCO</t>
  </si>
  <si>
    <t>MEYAR SA</t>
  </si>
  <si>
    <t>FACTURAS B</t>
  </si>
  <si>
    <t>ATHAND S.R.L.</t>
  </si>
  <si>
    <t>GUILLAN SANDRA SILVIA</t>
  </si>
  <si>
    <t>VILLALBA MIGUEL ANGEL</t>
  </si>
  <si>
    <t>PASCUA SA</t>
  </si>
  <si>
    <t>PIRIZ CARLA ELIZABETH</t>
  </si>
  <si>
    <t>BRIÑON DANIELA</t>
  </si>
  <si>
    <t>INDEFLEX SA</t>
  </si>
  <si>
    <t>VTV SUD SA</t>
  </si>
  <si>
    <t>EMPRENDIMIENTOS SATELITALES SA</t>
  </si>
  <si>
    <t>PRESTOR SAS</t>
  </si>
  <si>
    <t>J Y F TOYS SRL</t>
  </si>
  <si>
    <t>SOLUCIONES MULTIMEDIA SA</t>
  </si>
  <si>
    <t>ITALSUR SA</t>
  </si>
  <si>
    <t>BARREDA JORGE OSVALDO</t>
  </si>
  <si>
    <t>PIERRI ALEXIS ARIEL</t>
  </si>
  <si>
    <t>PAR KE GOM SA</t>
  </si>
  <si>
    <t>ANDRES PAPAZIAN Y ANDRE P SH</t>
  </si>
  <si>
    <t>O'NEILL PUB SRL</t>
  </si>
  <si>
    <t>CASA ABE SA</t>
  </si>
  <si>
    <t>DIAZ JORGE ALBERTO</t>
  </si>
  <si>
    <t>OPERADORA DE ESTAC. DE SERV SA</t>
  </si>
  <si>
    <t>ITPROUSER SA</t>
  </si>
  <si>
    <t>ROC CHIVILCOY TRANSP Y L SA</t>
  </si>
  <si>
    <t>BALANZE SA</t>
  </si>
  <si>
    <t>BOTINDARI JUAN IGNACIO</t>
  </si>
  <si>
    <t>DIAZ ESTECHE CYNTHIA MARIA</t>
  </si>
  <si>
    <t>SURIANO SA</t>
  </si>
  <si>
    <t>BANCO ALICIA SRL</t>
  </si>
  <si>
    <t>AUTONAVI SRL</t>
  </si>
  <si>
    <t>DESPEGAR.COM.AR SA</t>
  </si>
  <si>
    <t>DIETRICH SA</t>
  </si>
  <si>
    <t>KENNEL SEBASTIAN</t>
  </si>
  <si>
    <t>ESPINOSA ARTURO RUBEN</t>
  </si>
  <si>
    <t>BUSACCA PALA EDITH</t>
  </si>
  <si>
    <t>PAN AMERICAN ENERGY SL</t>
  </si>
  <si>
    <t>EDUARDO ALVAREZ Y H G SH</t>
  </si>
  <si>
    <t>JCR TRAINING SRL</t>
  </si>
  <si>
    <t>IRIME SRL</t>
  </si>
  <si>
    <t>LEON MILGROM Y CIA SAECEI</t>
  </si>
  <si>
    <t>LABORATORIOS DIRAL SRL</t>
  </si>
  <si>
    <t>RAKE SA</t>
  </si>
  <si>
    <t>TESIR SRL</t>
  </si>
  <si>
    <t>GONZALEZ, SIBIARDO OSCAR Y VM</t>
  </si>
  <si>
    <t>OLGUIN CAMILA LIDIA</t>
  </si>
  <si>
    <t>RADRIZZANI GABRIELA ALEJANDRA</t>
  </si>
  <si>
    <t>GRAFF ORTOPEDIA</t>
  </si>
  <si>
    <t>NSS SA - IPLAN</t>
  </si>
  <si>
    <t>INC SOCIEDAD ANONIMA</t>
  </si>
  <si>
    <t>SABBAGH PABLO ALEJANDRO</t>
  </si>
  <si>
    <t>CEREALES DON NINO SA</t>
  </si>
  <si>
    <t>ABC SA</t>
  </si>
  <si>
    <t>SUR CARBURANTES SA</t>
  </si>
  <si>
    <t>SOLMAY SRL</t>
  </si>
  <si>
    <t>CONVERTI CLAUDIO ROBERTO</t>
  </si>
  <si>
    <t>TECNOBIOLOGY SAS</t>
  </si>
  <si>
    <t>MULTICREA SA</t>
  </si>
  <si>
    <t>AGRISOL SA</t>
  </si>
  <si>
    <t>ZIBES JORGE SILVIO</t>
  </si>
  <si>
    <t>NC B</t>
  </si>
  <si>
    <t>NC A</t>
  </si>
  <si>
    <t>DI FEO HORACIO HUMBERTO D</t>
  </si>
  <si>
    <t>CORTELLA ANA MARIA</t>
  </si>
  <si>
    <t>RIAL PABLO EMANUEL</t>
  </si>
  <si>
    <t>PATIÑO NICOLAS VENTURA</t>
  </si>
  <si>
    <t>GALOS MONICA BEATRIZ</t>
  </si>
  <si>
    <t>MIRVAR SA</t>
  </si>
  <si>
    <t>ALAN COLLECTION SA</t>
  </si>
  <si>
    <t>MAVISUR SA</t>
  </si>
  <si>
    <t>NESCI EMILIANO GABRIEL</t>
  </si>
  <si>
    <t>EXPRESO TROLE SRL</t>
  </si>
  <si>
    <t>MARIA AGUSTINA PEREYRA</t>
  </si>
  <si>
    <t>MAT CONST LOS PORTUGUESES SA</t>
  </si>
  <si>
    <t>PARISE PAOLA BEATRIZ</t>
  </si>
  <si>
    <t>GEODIGITAL GROUP SRL</t>
  </si>
  <si>
    <t>HINCK SA</t>
  </si>
  <si>
    <t>FARMACITY SA</t>
  </si>
  <si>
    <t>(FCE) A</t>
  </si>
  <si>
    <t>DE OFFICE SRL</t>
  </si>
  <si>
    <t>CORREO ANDREANI SA</t>
  </si>
  <si>
    <t>SCALISE A. FALANGA C SH</t>
  </si>
  <si>
    <t>HERRERA GUILLERMO SEBASTIAN</t>
  </si>
  <si>
    <t>BENNUN FERNANDO RUBEN</t>
  </si>
  <si>
    <t>VIENTOS ARGENTINOS SRL</t>
  </si>
  <si>
    <t>SEISEME SA</t>
  </si>
  <si>
    <t>ENRIQUE MARTIN ROSSI SA</t>
  </si>
  <si>
    <t>CASTRO TORNERIA SRL</t>
  </si>
  <si>
    <t>GRAN VIEW SRL</t>
  </si>
  <si>
    <t>ROCIMEX SRL</t>
  </si>
  <si>
    <t>CORRAO HECTOR RUBEN</t>
  </si>
  <si>
    <t>RIZZO MARIO ROBERTO</t>
  </si>
  <si>
    <t>3PI S.A.S.</t>
  </si>
  <si>
    <t>DI FEO CHRISTIAN HERNAN</t>
  </si>
  <si>
    <t>DULCE ESTILO SA</t>
  </si>
  <si>
    <t>NADIA TARANTINO</t>
  </si>
  <si>
    <t>MAGALLAN SRL</t>
  </si>
  <si>
    <t>ATENCION AMBULATORIA S.A.</t>
  </si>
  <si>
    <t>L'EXPRES S.A.</t>
  </si>
  <si>
    <t>CENCOSUD S.A.</t>
  </si>
  <si>
    <t>CASTAÑO AUTOVOX SRL</t>
  </si>
  <si>
    <t>ABOY DIEGO OSCAR</t>
  </si>
  <si>
    <t>IALLONARDO SERGIO</t>
  </si>
  <si>
    <t>SAVINO NATALIA SILVIA</t>
  </si>
  <si>
    <t>RUSCIO NORBERTO VICENTE</t>
  </si>
  <si>
    <t>PAPELERA GEOPEL SRL</t>
  </si>
  <si>
    <t>CECBA</t>
  </si>
  <si>
    <t>SAPUNA MIRIAN KARINA</t>
  </si>
  <si>
    <t>SURACI NATALIA ERICA</t>
  </si>
  <si>
    <t>GAJARDO ALAN GABRIEL</t>
  </si>
  <si>
    <t>CONTROL TECNICO DE VEH. SA</t>
  </si>
  <si>
    <t>BOUREAU QUALITAS SRL</t>
  </si>
  <si>
    <t>MAYCAR SA</t>
  </si>
  <si>
    <t>LIN FANG</t>
  </si>
  <si>
    <t>IMPIERI, PIÑEIRO, RIZZO Y A SA</t>
  </si>
  <si>
    <t>PABLO NICOLAS DURANTE</t>
  </si>
  <si>
    <t>RODRIGUEZ EDUARDO ARIEL</t>
  </si>
  <si>
    <t>HC HOMECARE INT DOM SA</t>
  </si>
  <si>
    <t>AUTOPISTAS URBANAS SA</t>
  </si>
  <si>
    <t>PEAJE</t>
  </si>
  <si>
    <t>CPS COMUNICACIONES SA</t>
  </si>
  <si>
    <t>MORIONDO ADRIANA INES</t>
  </si>
  <si>
    <t>CRUZ PATAGONICA SRL</t>
  </si>
  <si>
    <t>SERVINORTE SA</t>
  </si>
  <si>
    <t>ROJO Y AMARILLO SRL</t>
  </si>
  <si>
    <t>PASION DISTRIBUCIONES SRL</t>
  </si>
  <si>
    <t>SOLUCIONES EN HERRAMIENTAS CTL</t>
  </si>
  <si>
    <t>RODRIGUEZ YAMILA ANDREA</t>
  </si>
  <si>
    <t>DEL DIESTRO MARIA PATRICIA</t>
  </si>
  <si>
    <t>TASSONE BRUNO DANIEL</t>
  </si>
  <si>
    <t>PROSPERI OSCAR RUBEN</t>
  </si>
  <si>
    <t>2PSI INGENIERIA SRL</t>
  </si>
  <si>
    <t>DUARTE FABIAN RODOLFO</t>
  </si>
  <si>
    <t>ROBERTO MEOLI</t>
  </si>
  <si>
    <t>MATTEAZZI DYHENART CLAUDIA</t>
  </si>
  <si>
    <t>GRUPO NORTE SRL</t>
  </si>
  <si>
    <t>SERVICIOS DEL DESIERTO SA</t>
  </si>
  <si>
    <t>CHITCHIAN SA</t>
  </si>
  <si>
    <t>EL RINCON DE PIEDRA D.. SRL</t>
  </si>
  <si>
    <t>MEDICAL IMPROVEMENTS SRL</t>
  </si>
  <si>
    <t>LINKEDSTORE ARGENTINA SRL</t>
  </si>
  <si>
    <t>GLOBAL BUSINESS SRL</t>
  </si>
  <si>
    <t>MIRANDA LUIS ALBERTO</t>
  </si>
  <si>
    <t>DEL GESSO FRANCO JESUS</t>
  </si>
  <si>
    <t>NARDOMARINO EDUARDO FRANCISCO</t>
  </si>
  <si>
    <t>VILLARREAL MARTIN MIGUEL</t>
  </si>
  <si>
    <t>ALVAREZ NIDIA ANGELA</t>
  </si>
  <si>
    <t>NC FCE A</t>
  </si>
  <si>
    <t>BRACHETTA SEBASTIAN NICOLAS</t>
  </si>
  <si>
    <t>TERNORTH SA</t>
  </si>
  <si>
    <t>EXPRESO MAR DEL PLATA SA</t>
  </si>
  <si>
    <t>ESPAÑA ALEJANDRO JORGE</t>
  </si>
  <si>
    <t>FERREIRA LILIANA INES</t>
  </si>
  <si>
    <t>BARBARO SC</t>
  </si>
  <si>
    <t>AYALA MAURICIO JUAN JOSE</t>
  </si>
  <si>
    <t>AQUINO EDUARDO Y RODRIGUEZ SH</t>
  </si>
  <si>
    <t>ESTACION LIMA SA</t>
  </si>
  <si>
    <t>PROFETI NOEMI GISELE</t>
  </si>
  <si>
    <t>OBENAUS MARIANA ISABEL</t>
  </si>
  <si>
    <t>GONZALEZ CARLOS RAUL</t>
  </si>
  <si>
    <t>BELLA RODOLFO GUSTAVO</t>
  </si>
  <si>
    <t>TRIMOVE SA</t>
  </si>
  <si>
    <t>DELICIAS MITRE</t>
  </si>
  <si>
    <t>PIETRUSZKA ALBERTO DANIEL</t>
  </si>
  <si>
    <t>PRIETO CRISTIAN ARIEL</t>
  </si>
  <si>
    <t>TRIVEÑO ROMA RAMON</t>
  </si>
  <si>
    <t>TRANSPORTES BIN PACK SA</t>
  </si>
  <si>
    <t>ARTYLUZ SRL</t>
  </si>
  <si>
    <t>ALBAJARI DIEGO MARCOS</t>
  </si>
  <si>
    <t>PARNA SA</t>
  </si>
  <si>
    <t>PROYECTO 665 SRL</t>
  </si>
  <si>
    <t>VENTIMIGLIA COTOS FLORENCIA</t>
  </si>
  <si>
    <t>FIRSTECH SA</t>
  </si>
  <si>
    <t>FLUSS SA</t>
  </si>
  <si>
    <t>PEREZ FRANCO ADRIAN</t>
  </si>
  <si>
    <t>HERRERA CARLOS MARTIN</t>
  </si>
  <si>
    <t>MOLLO CAROLINA</t>
  </si>
  <si>
    <t>AUTOPISTAS DEL SOL SA</t>
  </si>
  <si>
    <t>GRUPO CONC.DEL OESTE SA</t>
  </si>
  <si>
    <t>PELLEGRINO SERGIO OMAR</t>
  </si>
  <si>
    <t>CANCINO PAMELA RITA</t>
  </si>
  <si>
    <t>CARUSO NICOLAS JOEL</t>
  </si>
  <si>
    <t>D Y R MEDICAL DEPOT SA</t>
  </si>
  <si>
    <t>SYMONDS SA</t>
  </si>
  <si>
    <t>BROKERS SA</t>
  </si>
  <si>
    <t>MORILLA HORACIO ALBERTO</t>
  </si>
  <si>
    <t>LUNA BONITA SRL</t>
  </si>
  <si>
    <t>EDUARDO BELLAVIA</t>
  </si>
  <si>
    <t>IRLA DARIO GABRIEL</t>
  </si>
  <si>
    <t>ESTACION DE SERVICIO ALC SRL</t>
  </si>
  <si>
    <t>NOVOTEC ARGENTINA SRL</t>
  </si>
  <si>
    <t>PAMPIN MARIANO OSCAR</t>
  </si>
  <si>
    <t>GOMEZ FENZEL FACUNDO</t>
  </si>
  <si>
    <t>LOPEZ JORGE ALBERTO</t>
  </si>
  <si>
    <t>FUNDACION I.Q. DEL CALLAO</t>
  </si>
  <si>
    <t>VIALGA SA</t>
  </si>
  <si>
    <t>FURLANETTO MARTIN</t>
  </si>
  <si>
    <t>ZACARIAS JOSE FRANCISCO</t>
  </si>
  <si>
    <t>FEDAGAS SA</t>
  </si>
  <si>
    <t>DINAMO SRL</t>
  </si>
  <si>
    <t>SRAGOWICH PABLO MIJAEL</t>
  </si>
  <si>
    <t>HECTOR EMILIANO ROSSINI</t>
  </si>
  <si>
    <t>GRIDEL WALTER DIEGO</t>
  </si>
  <si>
    <t>HERMIDA ADRIANA MARCELA</t>
  </si>
  <si>
    <t>COLLAZO MAURO GABRIEL</t>
  </si>
  <si>
    <t>ALSINA MARCELO DANIEL SH</t>
  </si>
  <si>
    <t>FONTANELLA SILVANA GABRIELA</t>
  </si>
  <si>
    <t>ENSALUD SA</t>
  </si>
  <si>
    <t>FERRETERIA CENTRAL SRL</t>
  </si>
  <si>
    <t>NOLAZCO EDUARDO ARTURO</t>
  </si>
  <si>
    <t>GARCIA JUAN IGNACIO</t>
  </si>
  <si>
    <t>FRATERNA COOP DE PROVISION</t>
  </si>
  <si>
    <t>VITALO ADRIANA NOEMI</t>
  </si>
  <si>
    <t>PASQUALICH ELVIO ALDO</t>
  </si>
  <si>
    <t>JORGE JABIER OBARRIO</t>
  </si>
  <si>
    <t>R. N. LEDESMA</t>
  </si>
  <si>
    <t>ELECTRICIDAD AREV S R L</t>
  </si>
  <si>
    <t>MA JUN</t>
  </si>
  <si>
    <t>GUTIERREZ BRITO GERARDO</t>
  </si>
  <si>
    <t>VICENTIN MILENA ANDREA</t>
  </si>
  <si>
    <t>SAN ALBERTO BALCARCE SRL</t>
  </si>
  <si>
    <t>ROSENSTEIN EDUARDO OSCAR</t>
  </si>
  <si>
    <t>PINTURERIAS REX SA</t>
  </si>
  <si>
    <t>PINAR SRL</t>
  </si>
  <si>
    <t>NADAL ROBERTO</t>
  </si>
  <si>
    <t>VAZQUEZ RICARDO OSCAR</t>
  </si>
  <si>
    <t>BLASCO MARIA GUADALUPE</t>
  </si>
  <si>
    <t>OBRA SOCIAL DE ACTORES</t>
  </si>
  <si>
    <t>COLARUSSO JUAN FRANCISCO</t>
  </si>
  <si>
    <t>SEDEX ARGENTINA SA</t>
  </si>
  <si>
    <t>ALG INDUMENTARIAS SRL</t>
  </si>
  <si>
    <t>LOGISTICAS PATRICIOS SA</t>
  </si>
  <si>
    <t>GABRIEL ALEJANDRO SEGAL</t>
  </si>
  <si>
    <t>ANTARES INDUST. ORTOPEDICAS SA</t>
  </si>
  <si>
    <t>POZZO MIGUEL ROBERTO</t>
  </si>
  <si>
    <t>MAXIMA REFRIGERACION SRL</t>
  </si>
  <si>
    <t>HERRERO CHRISTIAN GUSTAVO</t>
  </si>
  <si>
    <t>PINEDA ESTEBAN BERNABE</t>
  </si>
  <si>
    <t>OLIVA RODRIGO GASTON</t>
  </si>
  <si>
    <t>PRELAT JORGE EMILIO</t>
  </si>
  <si>
    <t>CARMAS SA</t>
  </si>
  <si>
    <t>PANATEL SOCIEDAD ANONIMA</t>
  </si>
  <si>
    <t>SHIGA MOTORS SA</t>
  </si>
  <si>
    <t>LIEFRINK Y MARX SA</t>
  </si>
  <si>
    <t>TASCAR SRL</t>
  </si>
  <si>
    <t>LIGIER SA</t>
  </si>
  <si>
    <t>NARDOMARINO EZEQUIEL EDUARDO</t>
  </si>
  <si>
    <t>OLIVA JUAN PABLO</t>
  </si>
  <si>
    <t>JOSE LUIS ARANA SRL</t>
  </si>
  <si>
    <t>GONZALEZ ROMANO JORGE RAMIRO</t>
  </si>
  <si>
    <t>VILLARINO GRISELDA LILIAN</t>
  </si>
  <si>
    <t>GMRA SA</t>
  </si>
  <si>
    <t>CARLA HIRSCH</t>
  </si>
  <si>
    <t>RAMIREZ MONICA ISABEL</t>
  </si>
  <si>
    <t>CABELLO LETICIA JESICA</t>
  </si>
  <si>
    <t>VZH SRL</t>
  </si>
  <si>
    <t>EYPAPEL SAS</t>
  </si>
  <si>
    <t>COMINI PABLO RUBEN</t>
  </si>
  <si>
    <t>PEREYRA CASADO VALERIA DAIANA</t>
  </si>
  <si>
    <t>DEXTRUM SRL</t>
  </si>
  <si>
    <t>LUIS A MARTORANI Y CIA SA</t>
  </si>
  <si>
    <t>RIOS RUBEN ALBERTO</t>
  </si>
  <si>
    <t>SEGALINI SA</t>
  </si>
  <si>
    <t>MULTIPLACAS SA</t>
  </si>
  <si>
    <t>ALVAREZ BETINA EVELIN</t>
  </si>
  <si>
    <t>DOBARRO PAULA MARCELA</t>
  </si>
  <si>
    <t>PRETI ELISEO ROBERTO</t>
  </si>
  <si>
    <t>APICELLA VANESA DANIELA</t>
  </si>
  <si>
    <t>MONITOR ARTISTICA SA</t>
  </si>
  <si>
    <t>TURSARKISIAN MISISIAN VERONICA</t>
  </si>
  <si>
    <t>RPM MOVILES SRL</t>
  </si>
  <si>
    <t>MELGAREJO NICOLAS EMILIO</t>
  </si>
  <si>
    <t>VIEL AUTOMOTORES S.A.C.I.F.I.</t>
  </si>
  <si>
    <t>DIAGNOSTIC MEDIC SA</t>
  </si>
  <si>
    <t>MANGGINI PABLO Y M ULISES SH</t>
  </si>
  <si>
    <t>SERVICIOS LUARCA SA</t>
  </si>
  <si>
    <t>ESPASA SA</t>
  </si>
  <si>
    <t>CONSECIONARIA</t>
  </si>
  <si>
    <t>DISTRI AIRES SRL</t>
  </si>
  <si>
    <t>HARD BOX SRL</t>
  </si>
  <si>
    <t>BOLLERO JUAN CARLOS</t>
  </si>
  <si>
    <t>DM TECHNOLOGY</t>
  </si>
  <si>
    <t>GONZALEZ CARRERA JORGE</t>
  </si>
  <si>
    <t>DAMARFU SA</t>
  </si>
  <si>
    <t>DELGADO GUSTABO ADOLFO</t>
  </si>
  <si>
    <t>MARTINEZ ALEJANDRA ELIZABETH</t>
  </si>
  <si>
    <t>EL UNIV DEL CONTROL REM SRL</t>
  </si>
  <si>
    <t>OCA LOG SA</t>
  </si>
  <si>
    <t>MEDICINA PREPAGA HOMINIS SA</t>
  </si>
  <si>
    <t>OS UNION PERSONAL</t>
  </si>
  <si>
    <t>SERVICIOS ARM SA</t>
  </si>
  <si>
    <t>FRANCESE GONZALO ROMAN</t>
  </si>
  <si>
    <t>VINAGRE CLAUDIA GRACIELA</t>
  </si>
  <si>
    <t>NEUMATICOS GARCIA CANO SRL</t>
  </si>
  <si>
    <t>BRANCH SRL</t>
  </si>
  <si>
    <t>SEANTEC SA</t>
  </si>
  <si>
    <t>MLND SRL</t>
  </si>
  <si>
    <t>DIA ARGENTINA SA</t>
  </si>
  <si>
    <t>SALAZAR CALLE VICTOR</t>
  </si>
  <si>
    <t>WHITE SALUD SRL</t>
  </si>
  <si>
    <t>ORTOPEDIA BERNAT SRL</t>
  </si>
  <si>
    <t>GISELLE ANAHI OLGUIN</t>
  </si>
  <si>
    <t>ZARATE LASCANO RUFINO</t>
  </si>
  <si>
    <t>DELSUR AUTOS SA</t>
  </si>
  <si>
    <t>TAPITEL SA</t>
  </si>
  <si>
    <t>ABUGAUCH MARIA DE LOS ANGELES</t>
  </si>
  <si>
    <t>CENTRO ORTOPEDICO SAN LUIS</t>
  </si>
  <si>
    <t>FARMACIA DE MEDRANO SCS</t>
  </si>
  <si>
    <t>EXPRESO FORMOSA SRL</t>
  </si>
  <si>
    <t>ABUGAUCH VICTOR HUGO</t>
  </si>
  <si>
    <t>NUÑEZ FERNANDO MANUEL</t>
  </si>
  <si>
    <t>FIRSTLABEL SRL</t>
  </si>
  <si>
    <t>LA BRUNA MARIA VIRGINIA</t>
  </si>
  <si>
    <t>ORTOPEDIA SOLER SRL</t>
  </si>
  <si>
    <t>SOMOS ENERGIA SA</t>
  </si>
  <si>
    <t>SOTOMAYOR CISNEROS CAROLINA</t>
  </si>
  <si>
    <t>PRESTIGIO SA</t>
  </si>
  <si>
    <t>FAIL ABRAHAM</t>
  </si>
  <si>
    <t>VICTOR M. GILABERT SH</t>
  </si>
  <si>
    <t>OS Pers De Dir  Perf E W Hope</t>
  </si>
  <si>
    <t>IMIG WALTER DAMIAN</t>
  </si>
  <si>
    <t>LUBRICANTES RUTA DE P e H SRL</t>
  </si>
  <si>
    <t>CEVEN SA</t>
  </si>
  <si>
    <t>ALBERTO JORGE PASCUET</t>
  </si>
  <si>
    <t>LISNIZER ISABEL JULIANA</t>
  </si>
  <si>
    <t>TRANS-AMERICA TRANSPORTES SA</t>
  </si>
  <si>
    <t>CAPRI HNOS SH</t>
  </si>
  <si>
    <t>LATI NISIM ARIEL</t>
  </si>
  <si>
    <t>RAMASKI JORGE FERNANDO</t>
  </si>
  <si>
    <t>GIAMPAOLETTI SA</t>
  </si>
  <si>
    <t>GOMATODO SRL</t>
  </si>
  <si>
    <t>NICOLAS TOBIAS SEQUEIRA Y MG</t>
  </si>
  <si>
    <t>COLOMBO EMBALAJES</t>
  </si>
  <si>
    <t>ZAMORA EDUARDO HERALDO</t>
  </si>
  <si>
    <t>REVICAR SA</t>
  </si>
  <si>
    <t>LIROLA FABIAN ALEJANDRO</t>
  </si>
  <si>
    <t>DIMEO LUCIANO</t>
  </si>
  <si>
    <t>GASTOS MOVILIDAD</t>
  </si>
  <si>
    <t>SS METAL MECANICA SRL</t>
  </si>
  <si>
    <t>MADERERA LLAVALLOL SA</t>
  </si>
  <si>
    <t>SCHIANO MORIELLO LUIS ANDRES</t>
  </si>
  <si>
    <t>CENTURION JACQUELINE ESTEFANIA</t>
  </si>
  <si>
    <t>COMERCIALIZADORA MORRES SA</t>
  </si>
  <si>
    <t>LABORATORIOS SLR</t>
  </si>
  <si>
    <t>ESPOSITO FRANCISCO ANT Y OT SH</t>
  </si>
  <si>
    <t>SURDO HERNAN OMAR</t>
  </si>
  <si>
    <t>MARLENE ALONZO SANTANDER</t>
  </si>
  <si>
    <t>TRANSPORTES E.G. SRL</t>
  </si>
  <si>
    <t>ALVAREZ CONTRERAS REYNALDO</t>
  </si>
  <si>
    <t>ROSARIO LOGISTICA SA</t>
  </si>
  <si>
    <t>EXPRESO RIVADAVIA SRL</t>
  </si>
  <si>
    <t>LOGISTICA DE LA COSTA SA</t>
  </si>
  <si>
    <t>VIA BARILOCHE SA</t>
  </si>
  <si>
    <t>BALINERO SRL</t>
  </si>
  <si>
    <t>EXPRESO LANCIONI SA</t>
  </si>
  <si>
    <t xml:space="preserve">CORRIENTES 3202 SRL </t>
  </si>
  <si>
    <t>MIÑO GUSTAVO SEBASTIAN</t>
  </si>
  <si>
    <t>DEBELIUCH TOMAS IVAN</t>
  </si>
  <si>
    <t>LOGISTICA PATRICIOS SA</t>
  </si>
  <si>
    <t>MERAS HNOS SA</t>
  </si>
  <si>
    <t>OMNICHANNEL SA</t>
  </si>
  <si>
    <t>FREUND GABRIELA</t>
  </si>
  <si>
    <t>F &amp; F COLOR SRL</t>
  </si>
  <si>
    <t>ALFONSO BOAVENTURA</t>
  </si>
  <si>
    <t>BELLINI FILIPPINI ALBERTO</t>
  </si>
  <si>
    <t>FRAVEGA SACIEI</t>
  </si>
  <si>
    <t>MAZAFFRE DANIEL ALBERTO</t>
  </si>
  <si>
    <t>EGESAC SA</t>
  </si>
  <si>
    <t>NUNEZ MATIAS YOEL</t>
  </si>
  <si>
    <t>BRITOS MARIA GABRIELA</t>
  </si>
  <si>
    <t xml:space="preserve"> Transportes Imaz S R L</t>
  </si>
  <si>
    <t>RAGO DIEGO ORLANDO</t>
  </si>
  <si>
    <t>LA CAMIONERA MENDOCINA SRL</t>
  </si>
  <si>
    <t>DI FEO MARTIN EZEQUIEL</t>
  </si>
  <si>
    <t>BIANCHI CRISTIAN MAXIMILIANO</t>
  </si>
  <si>
    <t>Mg Farmaceutica Sociedad En CS</t>
  </si>
  <si>
    <t>SAINT GERMAIN SRL</t>
  </si>
  <si>
    <t>CHAVES MATIAS EZEQUIEL</t>
  </si>
  <si>
    <t>PRICEWATERHOUSEC. SRL</t>
  </si>
  <si>
    <t>SC PILAR SA</t>
  </si>
  <si>
    <t>Instituto Provincial De Salud De Salta</t>
  </si>
  <si>
    <t>O SOCIAL DEL PER IND PLATISCO</t>
  </si>
  <si>
    <t>Compras s/ODOO</t>
  </si>
  <si>
    <t>Comprobantes AFIP - Saldo</t>
  </si>
  <si>
    <t>RSC SA</t>
  </si>
  <si>
    <t>IVA S/ EXTRACTOS BANCARIOS</t>
  </si>
  <si>
    <t>Ventas Libro de IVA 01/07/2024 - 31/07/2024</t>
  </si>
  <si>
    <t>Ortopedia Geminis S.A.</t>
  </si>
  <si>
    <t>Comprobante</t>
  </si>
  <si>
    <t>Nombre</t>
  </si>
  <si>
    <t>Cond. IVA</t>
  </si>
  <si>
    <t>CUIT o Doc.</t>
  </si>
  <si>
    <t>Gravado</t>
  </si>
  <si>
    <t>No Gravado</t>
  </si>
  <si>
    <t>IVA 2,5%</t>
  </si>
  <si>
    <t>IVA 5%</t>
  </si>
  <si>
    <t>IVA 10.5%</t>
  </si>
  <si>
    <t>Otros Imp</t>
  </si>
  <si>
    <t>01/07/2024</t>
  </si>
  <si>
    <t>NC-B 0005-00000138</t>
  </si>
  <si>
    <t>.CONSUMIDOR FINAL</t>
  </si>
  <si>
    <t>Consumidor Final</t>
  </si>
  <si>
    <t/>
  </si>
  <si>
    <t>FA-B 0005-00010943</t>
  </si>
  <si>
    <t>FA-B 0005-00010944</t>
  </si>
  <si>
    <t>FA-B 0005-00010945</t>
  </si>
  <si>
    <t>FA-B 0005-00010946</t>
  </si>
  <si>
    <t xml:space="preserve">DIAZ, HECTOR </t>
  </si>
  <si>
    <t>FA-B 0005-00010947</t>
  </si>
  <si>
    <t>FA-B 0005-00010948</t>
  </si>
  <si>
    <t>FA-B 0005-00010949</t>
  </si>
  <si>
    <t>FA-B 0005-00010950</t>
  </si>
  <si>
    <t>FA-B 0005-00010951</t>
  </si>
  <si>
    <t>LOUGE BARBARA</t>
  </si>
  <si>
    <t>FA-B 0005-00010952</t>
  </si>
  <si>
    <t>FA-B 0005-00010953</t>
  </si>
  <si>
    <t>FA-B 0005-00010954</t>
  </si>
  <si>
    <t>FA-B 0005-00010955</t>
  </si>
  <si>
    <t>FA-B 0005-00010956</t>
  </si>
  <si>
    <t>FA-B 0005-00010957</t>
  </si>
  <si>
    <t>FA-B 0007-00005213</t>
  </si>
  <si>
    <t>02/07/2024</t>
  </si>
  <si>
    <t>FA-B 0005-00010958</t>
  </si>
  <si>
    <t>FA-B 0005-00010959</t>
  </si>
  <si>
    <t>FA-B 0005-00010960</t>
  </si>
  <si>
    <t>FA-B 0005-00010961</t>
  </si>
  <si>
    <t>FA-B 0005-00010962</t>
  </si>
  <si>
    <t>FA-B 0005-00010963</t>
  </si>
  <si>
    <t>FA-B 0005-00010964</t>
  </si>
  <si>
    <t>FA-B 0005-00010965</t>
  </si>
  <si>
    <t>FA-B 0005-00010966</t>
  </si>
  <si>
    <t>FA-A 0007-00002024</t>
  </si>
  <si>
    <t>Medincare Argentina S.A.</t>
  </si>
  <si>
    <t>IVA Responsable Inscripto</t>
  </si>
  <si>
    <t>FA-A 0007-00002025</t>
  </si>
  <si>
    <t>Hc Homecare Internacion Domiciliaria S.A.</t>
  </si>
  <si>
    <t>FA-A 0007-00002026</t>
  </si>
  <si>
    <t>Login Door S.A</t>
  </si>
  <si>
    <t>FA-A 0007-00002027</t>
  </si>
  <si>
    <t>Medicus Sociedad Anonima De Asistencia Medica Y Cientifica</t>
  </si>
  <si>
    <t>FA-B 0007-00005214</t>
  </si>
  <si>
    <t>LOCOCO, CARMEN</t>
  </si>
  <si>
    <t>FA-B 0007-00005215</t>
  </si>
  <si>
    <t>FERRAZIN, CAROLINA ELEONORA INES</t>
  </si>
  <si>
    <t>FA-B 0007-00005216</t>
  </si>
  <si>
    <t>SAENZ, MAGDALENA.</t>
  </si>
  <si>
    <t>FA-B 0007-00005217</t>
  </si>
  <si>
    <t xml:space="preserve">GARCIA FERNANDEZ, ARIEL </t>
  </si>
  <si>
    <t>03/07/2024</t>
  </si>
  <si>
    <t>FA-B 0005-00010967</t>
  </si>
  <si>
    <t>FA-B 0005-00010968</t>
  </si>
  <si>
    <t>FA-B 0005-00010969</t>
  </si>
  <si>
    <t>FA-B 0005-00010970</t>
  </si>
  <si>
    <t>FA-B 0005-00010971</t>
  </si>
  <si>
    <t>FA-B 0005-00010972</t>
  </si>
  <si>
    <t>FA-B 0005-00010973</t>
  </si>
  <si>
    <t>FA-B 0005-00010974</t>
  </si>
  <si>
    <t>FA-B 0005-00010975</t>
  </si>
  <si>
    <t>FA-B 0005-00010976</t>
  </si>
  <si>
    <t>FA-B 0005-00010977</t>
  </si>
  <si>
    <t>FA-B 0005-00010978</t>
  </si>
  <si>
    <t>FA-A 0007-00002028</t>
  </si>
  <si>
    <t>FA-A 0007-00002029</t>
  </si>
  <si>
    <t>FA-A 0007-00002030</t>
  </si>
  <si>
    <t>NOBILI, MATIAS</t>
  </si>
  <si>
    <t>FA-A 0007-00002031</t>
  </si>
  <si>
    <t>Amparo Salud S.R.L.</t>
  </si>
  <si>
    <t>FA-B 0007-00005218</t>
  </si>
  <si>
    <t>REPETTO LYNCH, BENJAMIN MARIA</t>
  </si>
  <si>
    <t>FA-B 0007-00005219</t>
  </si>
  <si>
    <t>SORIANO, EDGARDO TOMAS</t>
  </si>
  <si>
    <t>FA-B 0007-00005220</t>
  </si>
  <si>
    <t>BIANCHI TERESA GERMANA</t>
  </si>
  <si>
    <t>FA-B 0007-00005221</t>
  </si>
  <si>
    <t>Obra Social De Los Trabajadores De La Industria Del Gas</t>
  </si>
  <si>
    <t>IVA Sujeto Exento</t>
  </si>
  <si>
    <t>FA-B 0007-00005222</t>
  </si>
  <si>
    <t>Obra Social Del Personal De La Industria Del Plastico</t>
  </si>
  <si>
    <t>FA-B 0007-00005223</t>
  </si>
  <si>
    <t>FA-B 0007-00005224</t>
  </si>
  <si>
    <t>PEDRO SERGIO TORREGROSA</t>
  </si>
  <si>
    <t>FA-B 0007-00005225</t>
  </si>
  <si>
    <t xml:space="preserve">IZZO, ADRIANA </t>
  </si>
  <si>
    <t>FA-B 0007-00005226</t>
  </si>
  <si>
    <t>Asociacion Mutual Sancor Salud</t>
  </si>
  <si>
    <t>04/07/2024</t>
  </si>
  <si>
    <t>FA-B 0005-00010979</t>
  </si>
  <si>
    <t>FA-B 0005-00010980</t>
  </si>
  <si>
    <t>FA-B 0005-00010981</t>
  </si>
  <si>
    <t>FA-B 0005-00010982</t>
  </si>
  <si>
    <t>FA-B 0005-00010983</t>
  </si>
  <si>
    <t>FA-B 0005-00010984</t>
  </si>
  <si>
    <t>FA-B 0005-00010985</t>
  </si>
  <si>
    <t>LEAL LUIS</t>
  </si>
  <si>
    <t>FA-B 0005-00010986</t>
  </si>
  <si>
    <t>FA-B 0005-00010987</t>
  </si>
  <si>
    <t>FA-B 0005-00010988</t>
  </si>
  <si>
    <t>FA-B 0005-00010989</t>
  </si>
  <si>
    <t>FA-B 0005-00010990</t>
  </si>
  <si>
    <t>FA-B 0005-00010991</t>
  </si>
  <si>
    <t>FA-A 0006-00000512</t>
  </si>
  <si>
    <t>Galeno Argentina SA</t>
  </si>
  <si>
    <t>NC-A 0007-00000143</t>
  </si>
  <si>
    <t>FA-A 0007-00002032</t>
  </si>
  <si>
    <t>Alexander Fleming S A</t>
  </si>
  <si>
    <t>FA-A 0007-00002033</t>
  </si>
  <si>
    <t>Aca Salud Cooperativa De Prestacion De Servicios Medico Asistenciales Limitada</t>
  </si>
  <si>
    <t>FA-A 0007-00002034</t>
  </si>
  <si>
    <t>FA-B 0007-00005227</t>
  </si>
  <si>
    <t>FA-B 0007-00005228</t>
  </si>
  <si>
    <t>FA-B 0007-00005229</t>
  </si>
  <si>
    <t>05/07/2024</t>
  </si>
  <si>
    <t>FA-B 0005-00010992</t>
  </si>
  <si>
    <t>FA-B 0005-00010993</t>
  </si>
  <si>
    <t>FA-B 0005-00010994</t>
  </si>
  <si>
    <t>FA-B 0005-00010995</t>
  </si>
  <si>
    <t>FA-B 0005-00010996</t>
  </si>
  <si>
    <t>FA-B 0005-00010997</t>
  </si>
  <si>
    <t>FA-B 0005-00010998</t>
  </si>
  <si>
    <t>FA-B 0005-00010999</t>
  </si>
  <si>
    <t>FA-B 0005-00011000</t>
  </si>
  <si>
    <t>FA-B 0005-00011001</t>
  </si>
  <si>
    <t>FA-B 0005-00011002</t>
  </si>
  <si>
    <t>FA-B 0005-00011003</t>
  </si>
  <si>
    <t>FA-B 0007-00005230</t>
  </si>
  <si>
    <t>VOLPI, ALBERTO JAVIER</t>
  </si>
  <si>
    <t>FA-B 0007-00005231</t>
  </si>
  <si>
    <t>AGOSTINO MIRIAM</t>
  </si>
  <si>
    <t>FA-B 0007-00005232</t>
  </si>
  <si>
    <t>MATSUO, MARGARITA NOEMI</t>
  </si>
  <si>
    <t>FA-B 0007-00005233</t>
  </si>
  <si>
    <t>Herman Patricia</t>
  </si>
  <si>
    <t>FA-B 0007-00005234</t>
  </si>
  <si>
    <t>TRISTAN SARA ADELA</t>
  </si>
  <si>
    <t>FA-B 0007-00005235</t>
  </si>
  <si>
    <t>SCHELGEL, LUIS ALBERTO</t>
  </si>
  <si>
    <t>FA-B 0007-00005236</t>
  </si>
  <si>
    <t>FA-B 0007-00005237</t>
  </si>
  <si>
    <t>PEDROZO, PAULA GABRIELA</t>
  </si>
  <si>
    <t>FA-B 0007-00005238</t>
  </si>
  <si>
    <t xml:space="preserve">BECERRA SANCHEZ  LISYENERY BEATRIZ </t>
  </si>
  <si>
    <t>08/07/2024</t>
  </si>
  <si>
    <t>FA-B 0005-00011004</t>
  </si>
  <si>
    <t>FA-B 0005-00011005</t>
  </si>
  <si>
    <t>PRESAS MARIA EUGENIA</t>
  </si>
  <si>
    <t>FA-B 0005-00011006</t>
  </si>
  <si>
    <t>FA-B 0005-00011007</t>
  </si>
  <si>
    <t>FA-B 0005-00011008</t>
  </si>
  <si>
    <t>FA-B 0005-00011009</t>
  </si>
  <si>
    <t>10/07/2024</t>
  </si>
  <si>
    <t>FA-B 0005-00011010</t>
  </si>
  <si>
    <t>FA-B 0005-00011011</t>
  </si>
  <si>
    <t>FA-B 0005-00011012</t>
  </si>
  <si>
    <t>FA-B 0005-00011013</t>
  </si>
  <si>
    <t>FA-B 0005-00011014</t>
  </si>
  <si>
    <t>FA-B 0005-00011015</t>
  </si>
  <si>
    <t>FA-B 0005-00011016</t>
  </si>
  <si>
    <t>FA-A 0006-00000513</t>
  </si>
  <si>
    <t>FA-A 0006-00000514</t>
  </si>
  <si>
    <t>FA-A 0007-00002035</t>
  </si>
  <si>
    <t>11/07/2024</t>
  </si>
  <si>
    <t>FA-B 0005-00011017</t>
  </si>
  <si>
    <t>FA-B 0005-00011018</t>
  </si>
  <si>
    <t>FA-B 0005-00011019</t>
  </si>
  <si>
    <t>FA-B 0005-00011020</t>
  </si>
  <si>
    <t>FA-B 0005-00011021</t>
  </si>
  <si>
    <t>FA-B 0005-00011022</t>
  </si>
  <si>
    <t>FA-B 0005-00011023</t>
  </si>
  <si>
    <t>FA-B 0005-00011024</t>
  </si>
  <si>
    <t>FA-B 0005-00011025</t>
  </si>
  <si>
    <t>FA-A 0007-00002036</t>
  </si>
  <si>
    <t>Centro Medico Amenabar Srl</t>
  </si>
  <si>
    <t>FA-A 0007-00002037</t>
  </si>
  <si>
    <t>RSC S.A.</t>
  </si>
  <si>
    <t>FA-A 0007-00002038</t>
  </si>
  <si>
    <t>FA-A 0007-00002039</t>
  </si>
  <si>
    <t>Obra Social Union Personal De La Union  Del Personal Civil De La Nacion</t>
  </si>
  <si>
    <t>FA-B 0007-00005239</t>
  </si>
  <si>
    <t>BUNCHICOFF, MARIA</t>
  </si>
  <si>
    <t>FA-B 0007-00005240</t>
  </si>
  <si>
    <t>MINERVINI, MARIA DEL CARMEN LILIANA</t>
  </si>
  <si>
    <t>12/07/2024</t>
  </si>
  <si>
    <t>FA-A 0005-00000154</t>
  </si>
  <si>
    <t>Muñoz, Marcelo Sebastian</t>
  </si>
  <si>
    <t>FA-B 0005-00011026</t>
  </si>
  <si>
    <t>FA-B 0005-00011027</t>
  </si>
  <si>
    <t>FA-B 0005-00011028</t>
  </si>
  <si>
    <t>FA-B 0005-00011029</t>
  </si>
  <si>
    <t>FA-B 0005-00011030</t>
  </si>
  <si>
    <t>FA-B 0005-00011031</t>
  </si>
  <si>
    <t>FA-B 0005-00011032</t>
  </si>
  <si>
    <t>FA-B 0005-00011033</t>
  </si>
  <si>
    <t>FA-B 0005-00011034</t>
  </si>
  <si>
    <t>FA-B 0005-00011035</t>
  </si>
  <si>
    <t>FA-B 0005-00011036</t>
  </si>
  <si>
    <t>FA-B 0005-00011037</t>
  </si>
  <si>
    <t>NC-A 0006-00000072</t>
  </si>
  <si>
    <t>NC-A 0006-00000073</t>
  </si>
  <si>
    <t>NC-A 0006-00000074</t>
  </si>
  <si>
    <t>FA-A 0007-00002040</t>
  </si>
  <si>
    <t>Obra Social Del Personal De Las Telecomunicaciones De La Republica Argentina</t>
  </si>
  <si>
    <t>FA-A 0007-00002041</t>
  </si>
  <si>
    <t>FA-A 0007-00002042</t>
  </si>
  <si>
    <t>FA-A 0007-00002043</t>
  </si>
  <si>
    <t>FA-A 0007-00002044</t>
  </si>
  <si>
    <t>FA-A 0007-00002045</t>
  </si>
  <si>
    <t>FA-A 0007-00002046</t>
  </si>
  <si>
    <t>FA-A 0007-00002047</t>
  </si>
  <si>
    <t>FA-A 0007-00002048</t>
  </si>
  <si>
    <t>FA-B 0007-00005241</t>
  </si>
  <si>
    <t>CUDERO, SILVINA</t>
  </si>
  <si>
    <t>FA-B 0007-00005242</t>
  </si>
  <si>
    <t xml:space="preserve">ARANA, MARCELLA OFELIA </t>
  </si>
  <si>
    <t>FA-B 0007-00005243</t>
  </si>
  <si>
    <t>FA-B 0007-00005244</t>
  </si>
  <si>
    <t>PINO, ANA PAULA</t>
  </si>
  <si>
    <t>FA-B 0007-00005245</t>
  </si>
  <si>
    <t>MALOMO, ENRIQUE DANIEL</t>
  </si>
  <si>
    <t>FA-B 0007-00005246</t>
  </si>
  <si>
    <t>VILLARROEL VELAZQUEZ, GRACIELIS DEL VALLE</t>
  </si>
  <si>
    <t>FA-B 0007-00005247</t>
  </si>
  <si>
    <t>15/07/2024</t>
  </si>
  <si>
    <t>NC-B 0005-00000139</t>
  </si>
  <si>
    <t>FA-B 0005-00011038</t>
  </si>
  <si>
    <t>FA-B 0005-00011039</t>
  </si>
  <si>
    <t>FA-B 0005-00011040</t>
  </si>
  <si>
    <t>FA-B 0005-00011041</t>
  </si>
  <si>
    <t>FA-B 0005-00011042</t>
  </si>
  <si>
    <t>FA-B 0005-00011043</t>
  </si>
  <si>
    <t>FA-B 0005-00011044</t>
  </si>
  <si>
    <t>FA-B 0005-00011045</t>
  </si>
  <si>
    <t>MATA EVYS DEL VALLE</t>
  </si>
  <si>
    <t>FA-B 0005-00011046</t>
  </si>
  <si>
    <t>FA-B 0005-00011047</t>
  </si>
  <si>
    <t>FA-B 0005-00011048</t>
  </si>
  <si>
    <t>FA-B 0005-00011049</t>
  </si>
  <si>
    <t>FA-B 0005-00011050</t>
  </si>
  <si>
    <t>FA-B 0007-00005248</t>
  </si>
  <si>
    <t>MONTI, MARIA PAULA</t>
  </si>
  <si>
    <t>16/07/2024</t>
  </si>
  <si>
    <t>FA-B 0005-00011051</t>
  </si>
  <si>
    <t>FA-B 0005-00011052</t>
  </si>
  <si>
    <t>FA-B 0005-00011053</t>
  </si>
  <si>
    <t>FA-B 0005-00011054</t>
  </si>
  <si>
    <t>FA-B 0005-00011055</t>
  </si>
  <si>
    <t>FA-B 0005-00011056</t>
  </si>
  <si>
    <t>FA-B 0005-00011057</t>
  </si>
  <si>
    <t>FA-B 0005-00011058</t>
  </si>
  <si>
    <t>FA-B 0005-00011059</t>
  </si>
  <si>
    <t>FA-B 0005-00011060</t>
  </si>
  <si>
    <t>FA-B 0005-00011061</t>
  </si>
  <si>
    <t>FA-B 0005-00011062</t>
  </si>
  <si>
    <t>FA-B 0005-00011063</t>
  </si>
  <si>
    <t>FA-B 0005-00011064</t>
  </si>
  <si>
    <t>FA-A 0007-00002049</t>
  </si>
  <si>
    <t>FA-A 0007-00002050</t>
  </si>
  <si>
    <t>FA-A 0007-00002051</t>
  </si>
  <si>
    <t>FA-B 0007-00005249</t>
  </si>
  <si>
    <t>SALLES, ANA MARIA</t>
  </si>
  <si>
    <t>FA-B 0007-00005250</t>
  </si>
  <si>
    <t>17/07/2024</t>
  </si>
  <si>
    <t>FA-B 0005-00011065</t>
  </si>
  <si>
    <t>FA-B 0005-00011066</t>
  </si>
  <si>
    <t>FA-B 0005-00011067</t>
  </si>
  <si>
    <t>FA-B 0005-00011068</t>
  </si>
  <si>
    <t>FA-B 0005-00011069</t>
  </si>
  <si>
    <t>FA-B 0005-00011070</t>
  </si>
  <si>
    <t>FA-B 0005-00011071</t>
  </si>
  <si>
    <t>FA-B 0005-00011072</t>
  </si>
  <si>
    <t>FA-B 0005-00011073</t>
  </si>
  <si>
    <t>FA-B 0005-00011074</t>
  </si>
  <si>
    <t>FA-B 0005-00011075</t>
  </si>
  <si>
    <t>18/07/2024</t>
  </si>
  <si>
    <t>FA-B 0005-00011076</t>
  </si>
  <si>
    <t>FA-B 0005-00011077</t>
  </si>
  <si>
    <t>FA-B 0005-00011078</t>
  </si>
  <si>
    <t>FA-B 0005-00011079</t>
  </si>
  <si>
    <t>FA-B 0005-00011080</t>
  </si>
  <si>
    <t>FA-B 0005-00011081</t>
  </si>
  <si>
    <t>FA-B 0005-00011082</t>
  </si>
  <si>
    <t>FA-B 0005-00011083</t>
  </si>
  <si>
    <t>FA-B 0005-00011084</t>
  </si>
  <si>
    <t>FA-B 0005-00011085</t>
  </si>
  <si>
    <t>FA-B 0005-00011086</t>
  </si>
  <si>
    <t>FA-B 0005-00011087</t>
  </si>
  <si>
    <t>FA-B 0005-00011088</t>
  </si>
  <si>
    <t>FA-B 0007-00005251</t>
  </si>
  <si>
    <t>MARIA ISABEL CALDERER</t>
  </si>
  <si>
    <t>19/07/2024</t>
  </si>
  <si>
    <t>FA-B 0005-00011089</t>
  </si>
  <si>
    <t>FA-B 0005-00011090</t>
  </si>
  <si>
    <t>FA-B 0005-00011091</t>
  </si>
  <si>
    <t>FA-B 0005-00011092</t>
  </si>
  <si>
    <t>FA-B 0005-00011093</t>
  </si>
  <si>
    <t>FA-B 0005-00011094</t>
  </si>
  <si>
    <t>FA-B 0005-00011095</t>
  </si>
  <si>
    <t>FA-B 0005-00011096</t>
  </si>
  <si>
    <t>FA-B 0005-00011097</t>
  </si>
  <si>
    <t>FA-B 0005-00011098</t>
  </si>
  <si>
    <t>FA-B 0005-00011099</t>
  </si>
  <si>
    <t>FA-B 0005-00011100</t>
  </si>
  <si>
    <t>FA-B 0005-00011101</t>
  </si>
  <si>
    <t>FA-B 0005-00011102</t>
  </si>
  <si>
    <t>FA-B 0005-00011103</t>
  </si>
  <si>
    <t>FA-B 0005-00011104</t>
  </si>
  <si>
    <t>FA-B 0005-00011105</t>
  </si>
  <si>
    <t>FA-B 0005-00011106</t>
  </si>
  <si>
    <t>FA-A 0007-00002052</t>
  </si>
  <si>
    <t>Piaggio, Paula Andrea</t>
  </si>
  <si>
    <t>FA-A 0007-00002053</t>
  </si>
  <si>
    <t>FA-B 0007-00005252</t>
  </si>
  <si>
    <t>RAQUEL DURAÑONA</t>
  </si>
  <si>
    <t>FA-B 0007-00005253</t>
  </si>
  <si>
    <t>FA-B 0007-00005254</t>
  </si>
  <si>
    <t>FA-B 0007-00005255</t>
  </si>
  <si>
    <t>CORIGLIANO, LORENA ELISA</t>
  </si>
  <si>
    <t>FA-B 0007-00005256</t>
  </si>
  <si>
    <t>MODOLO, CRISTIAN ARIEL</t>
  </si>
  <si>
    <t>22/07/2024</t>
  </si>
  <si>
    <t>FA-B 0005-00011107</t>
  </si>
  <si>
    <t>FA-B 0005-00011108</t>
  </si>
  <si>
    <t>FA-B 0005-00011109</t>
  </si>
  <si>
    <t>FA-B 0005-00011110</t>
  </si>
  <si>
    <t>FA-B 0005-00011111</t>
  </si>
  <si>
    <t>FA-B 0005-00011112</t>
  </si>
  <si>
    <t>FA-B 0005-00011113</t>
  </si>
  <si>
    <t>FA-B 0005-00011114</t>
  </si>
  <si>
    <t>FA-B 0005-00011115</t>
  </si>
  <si>
    <t>AROMATARE HERNÁN</t>
  </si>
  <si>
    <t>FA-B 0005-00011116</t>
  </si>
  <si>
    <t>FA-B 0005-00011117</t>
  </si>
  <si>
    <t>FA-B 0005-00011118</t>
  </si>
  <si>
    <t>FA-B 0005-00011119</t>
  </si>
  <si>
    <t>FA-B 0005-00011120</t>
  </si>
  <si>
    <t>FA-B 0007-00005257</t>
  </si>
  <si>
    <t>FA-B 0007-00005258</t>
  </si>
  <si>
    <t>JUAN PABLO MINVIELLE</t>
  </si>
  <si>
    <t>FA-B 0007-00005259</t>
  </si>
  <si>
    <t xml:space="preserve">SARA STRASBERG </t>
  </si>
  <si>
    <t>23/07/2024</t>
  </si>
  <si>
    <t>FA-B 0005-00011121</t>
  </si>
  <si>
    <t>FA-B 0005-00011122</t>
  </si>
  <si>
    <t>FA-B 0005-00011123</t>
  </si>
  <si>
    <t>FA-B 0005-00011124</t>
  </si>
  <si>
    <t>FA-B 0005-00011125</t>
  </si>
  <si>
    <t>FA-B 0005-00011126</t>
  </si>
  <si>
    <t>FA-B 0005-00011127</t>
  </si>
  <si>
    <t>FA-B 0005-00011128</t>
  </si>
  <si>
    <t>FA-B 0005-00011129</t>
  </si>
  <si>
    <t>FA-B 0005-00011130</t>
  </si>
  <si>
    <t>FA-B 0005-00011131</t>
  </si>
  <si>
    <t>FA-B 0005-00011132</t>
  </si>
  <si>
    <t>FA-B 0005-00011133</t>
  </si>
  <si>
    <t>FA-B 0007-00005260</t>
  </si>
  <si>
    <t>FA-B 0007-00005261</t>
  </si>
  <si>
    <t>FA-B 0007-00005262</t>
  </si>
  <si>
    <t>Romero Leonardo Gabriel</t>
  </si>
  <si>
    <t>24/07/2024</t>
  </si>
  <si>
    <t>FA-B 0005-00011134</t>
  </si>
  <si>
    <t>FA-B 0005-00011135</t>
  </si>
  <si>
    <t>FA-B 0005-00011136</t>
  </si>
  <si>
    <t>FA-B 0005-00011137</t>
  </si>
  <si>
    <t>FA-B 0005-00011138</t>
  </si>
  <si>
    <t>FA-B 0005-00011139</t>
  </si>
  <si>
    <t>FA-B 0005-00011140</t>
  </si>
  <si>
    <t>FA-B 0005-00011141</t>
  </si>
  <si>
    <t>FA-B 0005-00011142</t>
  </si>
  <si>
    <t>FA-B 0005-00011143</t>
  </si>
  <si>
    <t>FA-B 0005-00011144</t>
  </si>
  <si>
    <t>GOMEZ JUAN PEDRO</t>
  </si>
  <si>
    <t>FA-B 0005-00011145</t>
  </si>
  <si>
    <t>FA-A 0007-00002054</t>
  </si>
  <si>
    <t>FA-A 0007-00002055</t>
  </si>
  <si>
    <t>FA-B 0007-00005263</t>
  </si>
  <si>
    <t>ALEJANDRA SIFFREDI TORRES SANMARCO</t>
  </si>
  <si>
    <t>25/07/2024</t>
  </si>
  <si>
    <t>FA-B 0005-00011146</t>
  </si>
  <si>
    <t>GONZALEZ HUGO CESAR</t>
  </si>
  <si>
    <t>FA-B 0005-00011147</t>
  </si>
  <si>
    <t>FA-B 0005-00011148</t>
  </si>
  <si>
    <t>FA-B 0005-00011149</t>
  </si>
  <si>
    <t>FA-B 0005-00011150</t>
  </si>
  <si>
    <t>FA-B 0005-00011151</t>
  </si>
  <si>
    <t>FA-B 0005-00011152</t>
  </si>
  <si>
    <t>FA-B 0005-00011153</t>
  </si>
  <si>
    <t>FA-B 0005-00011154</t>
  </si>
  <si>
    <t>FA-B 0005-00011155</t>
  </si>
  <si>
    <t>FA-B 0005-00011156</t>
  </si>
  <si>
    <t>FA-B 0005-00011157</t>
  </si>
  <si>
    <t>FA-B 0005-00011158</t>
  </si>
  <si>
    <t>FA-B 0005-00011159</t>
  </si>
  <si>
    <t>FA-B 0005-00011160</t>
  </si>
  <si>
    <t>LESCANO CLARA</t>
  </si>
  <si>
    <t>FA-B 0005-00011161</t>
  </si>
  <si>
    <t>FA-B 0005-00011162</t>
  </si>
  <si>
    <t>FA-B 0005-00011163</t>
  </si>
  <si>
    <t>NC-A 0007-00000144</t>
  </si>
  <si>
    <t>FA-A 0007-00002056</t>
  </si>
  <si>
    <t>FA-A 0007-00002057</t>
  </si>
  <si>
    <t>FA-A 0007-00002058</t>
  </si>
  <si>
    <t>FA-A 0007-00002059</t>
  </si>
  <si>
    <t>FA-A 0007-00002060</t>
  </si>
  <si>
    <t>26/07/2024</t>
  </si>
  <si>
    <t>FA-B 0005-00011164</t>
  </si>
  <si>
    <t>FA-B 0005-00011165</t>
  </si>
  <si>
    <t>FA-B 0005-00011166</t>
  </si>
  <si>
    <t>FA-B 0005-00011167</t>
  </si>
  <si>
    <t>FA-B 0005-00011168</t>
  </si>
  <si>
    <t>FA-B 0005-00011169</t>
  </si>
  <si>
    <t>FA-B 0005-00011170</t>
  </si>
  <si>
    <t>FA-B 0005-00011171</t>
  </si>
  <si>
    <t>FA-B 0005-00011172</t>
  </si>
  <si>
    <t>FA-B 0005-00011173</t>
  </si>
  <si>
    <t>FA-B 0005-00011174</t>
  </si>
  <si>
    <t>FA-B 0005-00011175</t>
  </si>
  <si>
    <t>FA-B 0005-00011176</t>
  </si>
  <si>
    <t>FA-B 0005-00011177</t>
  </si>
  <si>
    <t>FA-B 0005-00011178</t>
  </si>
  <si>
    <t>FA-B 0005-00011179</t>
  </si>
  <si>
    <t>FA-B 0005-00011180</t>
  </si>
  <si>
    <t>FA-B 0005-00011181</t>
  </si>
  <si>
    <t>FA-B 0005-00011182</t>
  </si>
  <si>
    <t>FA-B 0005-00011183</t>
  </si>
  <si>
    <t>FA-B 0005-00011184</t>
  </si>
  <si>
    <t>FA-B 0005-00011185</t>
  </si>
  <si>
    <t>FA-B 0005-00011186</t>
  </si>
  <si>
    <t>NC-A 0006-00000075</t>
  </si>
  <si>
    <t>NC-A 0007-00000145</t>
  </si>
  <si>
    <t>NC-A 0007-00000146</t>
  </si>
  <si>
    <t>NC-A 0007-00000147</t>
  </si>
  <si>
    <t>NC-A 0007-00000148</t>
  </si>
  <si>
    <t>NC-A 0007-00000149</t>
  </si>
  <si>
    <t>NC-A 0007-00000150</t>
  </si>
  <si>
    <t>NC-A 0007-00000151</t>
  </si>
  <si>
    <t>NC-A 0007-00000152</t>
  </si>
  <si>
    <t>NC-A 0007-00000153</t>
  </si>
  <si>
    <t>FA-A 0007-00002061</t>
  </si>
  <si>
    <t>FA-A 0007-00002062</t>
  </si>
  <si>
    <t>FA-A 0007-00002063</t>
  </si>
  <si>
    <t>FA-A 0007-00002064</t>
  </si>
  <si>
    <t>FA-A 0007-00002065</t>
  </si>
  <si>
    <t>FA-A 0007-00002066</t>
  </si>
  <si>
    <t>FA-A 0007-00002067</t>
  </si>
  <si>
    <t>29/07/2024</t>
  </si>
  <si>
    <t>FA-A 0005-00000155</t>
  </si>
  <si>
    <t>Puertolas, Maximiliano</t>
  </si>
  <si>
    <t>FA-B 0005-00011187</t>
  </si>
  <si>
    <t>FA-B 0005-00011188</t>
  </si>
  <si>
    <t>FA-B 0005-00011189</t>
  </si>
  <si>
    <t>FA-B 0005-00011190</t>
  </si>
  <si>
    <t>FA-B 0005-00011191</t>
  </si>
  <si>
    <t>FA-B 0005-00011192</t>
  </si>
  <si>
    <t>FA-B 0005-00011193</t>
  </si>
  <si>
    <t>FA-B 0005-00011194</t>
  </si>
  <si>
    <t>FA-B 0005-00011195</t>
  </si>
  <si>
    <t>FA-B 0005-00011196</t>
  </si>
  <si>
    <t>FA-B 0005-00011197</t>
  </si>
  <si>
    <t>FA-B 0005-00011198</t>
  </si>
  <si>
    <t>NC-B 0007-00000153</t>
  </si>
  <si>
    <t>FA-A 0007-00002068</t>
  </si>
  <si>
    <t>FA-A 0007-00002069</t>
  </si>
  <si>
    <t>FA-A 0007-00002070</t>
  </si>
  <si>
    <t>FA-A 0007-00002071</t>
  </si>
  <si>
    <t>FA-A 0007-00002072</t>
  </si>
  <si>
    <t>FA-A 0007-00002073</t>
  </si>
  <si>
    <t>FA-A 0007-00002074</t>
  </si>
  <si>
    <t>FA-B 0007-00005264</t>
  </si>
  <si>
    <t>Corte Suprema De Justicia Obra Social Del Poder Judicial</t>
  </si>
  <si>
    <t>30/07/2024</t>
  </si>
  <si>
    <t>FA-B 0005-00011199</t>
  </si>
  <si>
    <t>FA-B 0005-00011200</t>
  </si>
  <si>
    <t>FA-B 0005-00011201</t>
  </si>
  <si>
    <t>FA-B 0005-00011202</t>
  </si>
  <si>
    <t>FA-B 0005-00011203</t>
  </si>
  <si>
    <t>FA-B 0005-00011204</t>
  </si>
  <si>
    <t>FA-B 0005-00011205</t>
  </si>
  <si>
    <t>FA-B 0005-00011206</t>
  </si>
  <si>
    <t>FA-B 0005-00011207</t>
  </si>
  <si>
    <t>FA-B 0005-00011208</t>
  </si>
  <si>
    <t>FA-B 0005-00011209</t>
  </si>
  <si>
    <t>FA-A 0007-00002075</t>
  </si>
  <si>
    <t>FA-A 0007-00002076</t>
  </si>
  <si>
    <t>FA-A 0007-00002077</t>
  </si>
  <si>
    <t>FA-A 0007-00002078</t>
  </si>
  <si>
    <t>FA-B 0007-00005265</t>
  </si>
  <si>
    <t>Obra Social De Docentes Particulares</t>
  </si>
  <si>
    <t>31/07/2024</t>
  </si>
  <si>
    <t>FA-B 0005-00011210</t>
  </si>
  <si>
    <t>FA-B 0005-00011211</t>
  </si>
  <si>
    <t>FA-B 0005-00011212</t>
  </si>
  <si>
    <t>FA-B 0005-00011213</t>
  </si>
  <si>
    <t>FA-B 0005-00011214</t>
  </si>
  <si>
    <t>FA-B 0005-00011215</t>
  </si>
  <si>
    <t>FA-B 0005-00011216</t>
  </si>
  <si>
    <t>FA-B 0005-00011217</t>
  </si>
  <si>
    <t>FA-B 0005-00011218</t>
  </si>
  <si>
    <t>FA-B 0005-00011219</t>
  </si>
  <si>
    <t>LORENA MORAN</t>
  </si>
  <si>
    <t>FA-B 0005-00011220</t>
  </si>
  <si>
    <t>FA-B 0005-00011221</t>
  </si>
  <si>
    <t>FA-B 0005-00011222</t>
  </si>
  <si>
    <t>FA-B 0005-00011223</t>
  </si>
  <si>
    <t>FA-B 0005-00011224</t>
  </si>
  <si>
    <t>FA-B 0005-00011225</t>
  </si>
  <si>
    <t>FA-B 0005-00011226</t>
  </si>
  <si>
    <t>NC-A 0006-00000076</t>
  </si>
  <si>
    <t>FA-A 0006-00000516</t>
  </si>
  <si>
    <t>FA-B 0007-00005266</t>
  </si>
  <si>
    <t>KARIVALI DESPINA</t>
  </si>
  <si>
    <t>FA-B 0007-00005267</t>
  </si>
  <si>
    <t>a</t>
  </si>
  <si>
    <t>b</t>
  </si>
  <si>
    <t>c</t>
  </si>
  <si>
    <t>d</t>
  </si>
  <si>
    <t>e</t>
  </si>
  <si>
    <t>C.S.J. O.S. Poder Judicial</t>
  </si>
  <si>
    <t>Aca Salud Coop P.S. Medico A.L</t>
  </si>
  <si>
    <t>Compras Libro de IVA 01/07/2024 - 31/07/2024</t>
  </si>
  <si>
    <t>TF-A0004-00000138</t>
  </si>
  <si>
    <t>Gasco Conde, Silvia Monica</t>
  </si>
  <si>
    <t>TF-A0020-00010392</t>
  </si>
  <si>
    <t>Iacono, Juan</t>
  </si>
  <si>
    <t>FA-C 0001-00000104</t>
  </si>
  <si>
    <t>Botindari, Juan Ignacio</t>
  </si>
  <si>
    <t>Responsable Monotributo</t>
  </si>
  <si>
    <t>FA-A 0001-00003721</t>
  </si>
  <si>
    <t>Rehab S.R.L.</t>
  </si>
  <si>
    <t>FA-A 0002-00000212</t>
  </si>
  <si>
    <t>CONSORCIO BTOME MITRE 2466</t>
  </si>
  <si>
    <t>FA-C 0002-00000287</t>
  </si>
  <si>
    <t>Blasco, Maria Guadalupe</t>
  </si>
  <si>
    <t>FA-C 0003-00000330</t>
  </si>
  <si>
    <t>Tarantino, Nadia Raquel</t>
  </si>
  <si>
    <t>FA-A 0003-00007626</t>
  </si>
  <si>
    <t>Casa Makarovsky S A C I I F</t>
  </si>
  <si>
    <t>FA-C 0004-00000052</t>
  </si>
  <si>
    <t>Salas, Marcelo Alejandro</t>
  </si>
  <si>
    <t>FA-C 0005-00000165</t>
  </si>
  <si>
    <t>Ferreira, Liliana Ines</t>
  </si>
  <si>
    <t>FA-A 0006-00001082</t>
  </si>
  <si>
    <t>Vento, Hugo Gabriel</t>
  </si>
  <si>
    <t>FA-A 0011-00090536</t>
  </si>
  <si>
    <t>Expreso Mar Del Plata Sociedad Anonima</t>
  </si>
  <si>
    <t>TF-A0012-00037786</t>
  </si>
  <si>
    <t>Unens S R L</t>
  </si>
  <si>
    <t>FA-A 0001-00002313</t>
  </si>
  <si>
    <t>Nicolas Tobias Sequeira Y Maria Gabriela Rattner Sociedad De La Seccion Iv Lgs</t>
  </si>
  <si>
    <t>FA-A 0005-00001784</t>
  </si>
  <si>
    <t>Italomed Productos Srl</t>
  </si>
  <si>
    <t>FA-C 0001-00000067</t>
  </si>
  <si>
    <t>Del Gesso, Franco Jesus</t>
  </si>
  <si>
    <t>FA-C 0001-00000068</t>
  </si>
  <si>
    <t>FA-C 0002-00000689</t>
  </si>
  <si>
    <t>Vasta, Lucila</t>
  </si>
  <si>
    <t>FA-C 0003-00000857</t>
  </si>
  <si>
    <t>FA-A 0063-00001769</t>
  </si>
  <si>
    <t>D Arc Libertador Sociedad Anonima</t>
  </si>
  <si>
    <t>FA-A 0063-00001770</t>
  </si>
  <si>
    <t>FA-A 0063-00001771</t>
  </si>
  <si>
    <t>FA-A 0002-00000620</t>
  </si>
  <si>
    <t>Di Feo, Martin Ezequiel</t>
  </si>
  <si>
    <t>FA-A 0002-00050032</t>
  </si>
  <si>
    <t>Rubricom Sociedad Anonima</t>
  </si>
  <si>
    <t>FA-A 0003-00050683</t>
  </si>
  <si>
    <t>Expreso Trole S R L</t>
  </si>
  <si>
    <t>FA-A 0005-00001791</t>
  </si>
  <si>
    <t>FA-A 0401-00000039</t>
  </si>
  <si>
    <t>Uzumaki S.A.S.</t>
  </si>
  <si>
    <t>FA-C 0002-00000124</t>
  </si>
  <si>
    <t>Landro, Fernando Gabriel</t>
  </si>
  <si>
    <t>FA-C 0002-00000125</t>
  </si>
  <si>
    <t>FA-A 0005-00001795</t>
  </si>
  <si>
    <t>FA-A 0005-00001796</t>
  </si>
  <si>
    <t>FA-A 1001-00000451</t>
  </si>
  <si>
    <t>Rake S.A.</t>
  </si>
  <si>
    <t>FA-A 1001-00000452</t>
  </si>
  <si>
    <t>FA-C 2019-00004305</t>
  </si>
  <si>
    <t>Murua Pou, Pablo Roberto</t>
  </si>
  <si>
    <t>FA-C 0001-00000001</t>
  </si>
  <si>
    <t>Rodriguez, Keyla Jael</t>
  </si>
  <si>
    <t>FA-A 0004-00004595</t>
  </si>
  <si>
    <t>Vialga Sociedad Anonima</t>
  </si>
  <si>
    <t>TF-A0024-00018322</t>
  </si>
  <si>
    <t>FA-A 3101-00138277</t>
  </si>
  <si>
    <t>Telefonica Moviles Argentina Sociedad Anonima</t>
  </si>
  <si>
    <t>FA-A 0001-00000831</t>
  </si>
  <si>
    <t>Rolls Y Empanadas S.A.</t>
  </si>
  <si>
    <t>FA-A 0008-00001659</t>
  </si>
  <si>
    <t>FA-C 0001-00000003</t>
  </si>
  <si>
    <t>Garcia Lettieri, Eduardo Alberto</t>
  </si>
  <si>
    <t>FA-C 0001-00000004</t>
  </si>
  <si>
    <t>Arce, Raquel Ines</t>
  </si>
  <si>
    <t>FA-C 0001-00000032</t>
  </si>
  <si>
    <t>Garcia Arce, Francisco</t>
  </si>
  <si>
    <t>FA-A 0002-00000631</t>
  </si>
  <si>
    <t>FA-A 0011-00005241</t>
  </si>
  <si>
    <t>Gale, Gabriela</t>
  </si>
  <si>
    <t>TF-A0015-00035343</t>
  </si>
  <si>
    <t>Mirvar Sa</t>
  </si>
  <si>
    <t>FA-A 2002-00015943</t>
  </si>
  <si>
    <t>Inflables World S.A.</t>
  </si>
  <si>
    <t>FA-A 0007-00003094</t>
  </si>
  <si>
    <t>Furlanetto, Martin</t>
  </si>
  <si>
    <t>TF-A0008-00011937</t>
  </si>
  <si>
    <t>Somos Energia S.A.</t>
  </si>
  <si>
    <t>TF-A0024-00018434</t>
  </si>
  <si>
    <t>FA-C 0001-00000006</t>
  </si>
  <si>
    <t>Migoya Moriondo, Sofia</t>
  </si>
  <si>
    <t>FA-C 0001-00000232</t>
  </si>
  <si>
    <t>Sapuna, Mirian Karina</t>
  </si>
  <si>
    <t>FA-C 0001-00000233</t>
  </si>
  <si>
    <t>FA-A 0005-00001808</t>
  </si>
  <si>
    <t>FA-A 0018-00002129</t>
  </si>
  <si>
    <t>Lin, Yumei</t>
  </si>
  <si>
    <t>FA-C 0001-00000234</t>
  </si>
  <si>
    <t>FA-C 0001-00000235</t>
  </si>
  <si>
    <t>FA-A 0006-00053397</t>
  </si>
  <si>
    <t>Target Medical S.A.</t>
  </si>
  <si>
    <t>FA-C 0001-00000236</t>
  </si>
  <si>
    <t>FA-C 0001-00000237</t>
  </si>
  <si>
    <t>FA-A 0001-00003886</t>
  </si>
  <si>
    <t>FA-A 0001-00003887</t>
  </si>
  <si>
    <t>FA-A 0001-00003889</t>
  </si>
  <si>
    <t>FA-A 0001-00003890</t>
  </si>
  <si>
    <t>FA-A 0005-00001816</t>
  </si>
  <si>
    <t>FA-C 0001-00000238</t>
  </si>
  <si>
    <t>FA-A 0002-00000652</t>
  </si>
  <si>
    <t>FA-A 0005-00003308</t>
  </si>
  <si>
    <t>NOLASCO ALAN MANUEL</t>
  </si>
  <si>
    <t>FA-A 4264-04121206</t>
  </si>
  <si>
    <t>Telecom Argentina Sociedad Anonima</t>
  </si>
  <si>
    <t>20/07/2024</t>
  </si>
  <si>
    <t>FA-C 0001-00000142</t>
  </si>
  <si>
    <t>Cancino, Pamela Rita</t>
  </si>
  <si>
    <t>FA-C 0003-00000957</t>
  </si>
  <si>
    <t>Vazquez, Ricardo Oscar</t>
  </si>
  <si>
    <t>FA-A 0005-00000030</t>
  </si>
  <si>
    <t>TF-A0012-00010431</t>
  </si>
  <si>
    <t>FA-A 0001-00003956</t>
  </si>
  <si>
    <t>FA-C 0002-00000291</t>
  </si>
  <si>
    <t>FA-A 0003-00000840</t>
  </si>
  <si>
    <t>Giulietti, Luis Alberto</t>
  </si>
  <si>
    <t>FA-A 0003-00021557</t>
  </si>
  <si>
    <t>Jads S.A.</t>
  </si>
  <si>
    <t>FA-A 0004-00004646</t>
  </si>
  <si>
    <t>FA-A 0005-03084850</t>
  </si>
  <si>
    <t>Nss Sa</t>
  </si>
  <si>
    <t>TF-A0024-00018621</t>
  </si>
  <si>
    <t>FA-A 0026-00192656</t>
  </si>
  <si>
    <t>Expreso Lancioni S.A.</t>
  </si>
  <si>
    <t>FA-C 0001-00000026</t>
  </si>
  <si>
    <t>Chanco Villavicencio, Ernesto Antonio</t>
  </si>
  <si>
    <t>FA-A 0001-00003985</t>
  </si>
  <si>
    <t>FA-A 0003-00000841</t>
  </si>
  <si>
    <t>FA-A 0004-00000124</t>
  </si>
  <si>
    <t>Villalba, Miguel Angel</t>
  </si>
  <si>
    <t>FA-C 0005-00000166</t>
  </si>
  <si>
    <t>FA-A 0005-00001829</t>
  </si>
  <si>
    <t>FA-A 0120-00004709</t>
  </si>
  <si>
    <t>Panatel Sociedad Anonima</t>
  </si>
  <si>
    <t>Druetta, Andrea Mariel</t>
  </si>
  <si>
    <t>FA-A 0007-00028746</t>
  </si>
  <si>
    <t>Rios, Diego Martin</t>
  </si>
  <si>
    <t>FA-A 0002-00000667</t>
  </si>
  <si>
    <t>FA-A 0004-00000125</t>
  </si>
  <si>
    <t>FA-A 0002-00000021</t>
  </si>
  <si>
    <t>Bard, Marisa Silvia</t>
  </si>
  <si>
    <t>TF-A0024-00018718</t>
  </si>
  <si>
    <t>FA-A 0001-00004054</t>
  </si>
  <si>
    <t>FA-A 0011-00090982</t>
  </si>
  <si>
    <t>TF-A0006-00001564</t>
  </si>
  <si>
    <t>Papelera Geopel S.R.L.</t>
  </si>
  <si>
    <t>FA-A 0006-00053573</t>
  </si>
  <si>
    <t>FA-A 0008-00000296</t>
  </si>
  <si>
    <t>Farmacia De Medrano 533 Sociedad En Comandita Simple</t>
  </si>
  <si>
    <t>FA-C 0002-00000007</t>
  </si>
  <si>
    <t>Melgarejo, Nicolas Emilio</t>
  </si>
  <si>
    <t>FA-A 0006-00083892</t>
  </si>
  <si>
    <t>Saludtex SA</t>
  </si>
  <si>
    <t>FA-A 0020-00192175</t>
  </si>
  <si>
    <t>C P S  Comunicaciones Sa</t>
  </si>
  <si>
    <t>1 - Factura A</t>
  </si>
  <si>
    <t>$</t>
  </si>
  <si>
    <t>AMX ARGENTINA SOCIEDAD ANONIMA</t>
  </si>
  <si>
    <t>11 - Factura C</t>
  </si>
  <si>
    <t>CAMEJO GRACIELA</t>
  </si>
  <si>
    <t>DIA ARGENTINA S A</t>
  </si>
  <si>
    <t>07/07/2024</t>
  </si>
  <si>
    <t>PROSEGUR ACTIVA ARGENTINA SA</t>
  </si>
  <si>
    <t>TACACHO ROLANDO GABRIEL</t>
  </si>
  <si>
    <t>COORDINACION ECOLOGICA AREA METROPOLITANA SOCIEDAD DEL ESTADO</t>
  </si>
  <si>
    <t>MIGOYA MORIONDO MARIA INES</t>
  </si>
  <si>
    <t>LURASCHI HUMBERTO JOSE</t>
  </si>
  <si>
    <t>DONATO ALFREDO ENRIQUE Y PENSEL FRANCISCO JAVIER SOCIEDAD DE HECHO</t>
  </si>
  <si>
    <t>CAMARA  DE GRABADORES DE AUTOPARTES DE VEHICULOS AUTOMOTORES Y MOTOVEHICULOS</t>
  </si>
  <si>
    <t>GUPARO S.R.L.</t>
  </si>
  <si>
    <t>BUS PACK S.A.</t>
  </si>
  <si>
    <t>ALGETEC S.R.L.</t>
  </si>
  <si>
    <t>CAMINOS DEL RIO URUGUAY S A DE CONSTRUCCIONES Y CONCESIONES VIALES</t>
  </si>
  <si>
    <t>POSNET SOCIEDAD DE RESPONSABILIDAD LIMITADA</t>
  </si>
  <si>
    <t>TF-A 0002-00010354</t>
  </si>
  <si>
    <t>FA-A 0004-00004605</t>
  </si>
  <si>
    <t>R-C 0002-00000500</t>
  </si>
  <si>
    <t>Sampedro Silivia Herminia</t>
  </si>
  <si>
    <t>FA-A 0500-01581748</t>
  </si>
  <si>
    <t>Soluciones Multimedia S A</t>
  </si>
  <si>
    <t>FA-A 0007-00003068</t>
  </si>
  <si>
    <t>FA-A 0629-05247811</t>
  </si>
  <si>
    <t>Grupo Concesionario Del Oeste Sa</t>
  </si>
  <si>
    <t>FA-A 0711-05866240</t>
  </si>
  <si>
    <t>Autopistas Del Sol S A</t>
  </si>
  <si>
    <t>FA-A 0700-01772163</t>
  </si>
  <si>
    <t>Corredores Viales Sociedad Anonima</t>
  </si>
  <si>
    <t>FA-A 0005-00003799</t>
  </si>
  <si>
    <t>Scalise Adriana Elda Y Falanga Carlos Miguel Sh</t>
  </si>
  <si>
    <t>FA-A 5015-00624649</t>
  </si>
  <si>
    <t>Autopistas Urbanas S A</t>
  </si>
  <si>
    <t>FA-A 0629-05285598</t>
  </si>
  <si>
    <t>FA-A 0711-00592893</t>
  </si>
  <si>
    <t>FA-A 2189-00073720</t>
  </si>
  <si>
    <t>Coto Centro Integral De Comercializacion Sociedad Anonima</t>
  </si>
  <si>
    <t>FA-A 0700-01802826</t>
  </si>
  <si>
    <t>FA-A 5015-00628161</t>
  </si>
  <si>
    <t>FA-A 0023-02657101</t>
  </si>
  <si>
    <t>Mercadolibre S.R.L.</t>
  </si>
  <si>
    <t>FA-A 0007-00003151</t>
  </si>
  <si>
    <t>FA-A 0050-03708147</t>
  </si>
  <si>
    <t>Autopistas De Buenos Aires (Aubasa) Sa</t>
  </si>
  <si>
    <t>FA-A 5015-00630494</t>
  </si>
  <si>
    <t>FA-A 5015-00623228</t>
  </si>
  <si>
    <t>Tipo</t>
  </si>
  <si>
    <t>Punto de Venta</t>
  </si>
  <si>
    <t>Número Desde</t>
  </si>
  <si>
    <t>Número Hasta</t>
  </si>
  <si>
    <t>Cód. Autorización</t>
  </si>
  <si>
    <t>Tipo Doc. Emisor</t>
  </si>
  <si>
    <t>Nro. Doc. Emisor</t>
  </si>
  <si>
    <t>Denominación Emisor</t>
  </si>
  <si>
    <t>Tipo Cambio</t>
  </si>
  <si>
    <t>Moneda</t>
  </si>
  <si>
    <t>Imp. Neto Gravado</t>
  </si>
  <si>
    <t>Imp. Neto No Gravado</t>
  </si>
  <si>
    <t>Imp. Op. Exentas</t>
  </si>
  <si>
    <t>Otros Tributos</t>
  </si>
  <si>
    <t>Imp. Total</t>
  </si>
  <si>
    <t>Comprobantes AFIP no recepcionados</t>
  </si>
  <si>
    <t>IVA Extractos Bancarios</t>
  </si>
  <si>
    <t>Banco Credicoop</t>
  </si>
  <si>
    <t>IVA-ALIC ADIC RG 2408 S/COMIS-REC GASTOS</t>
  </si>
  <si>
    <t>IVA - ALICUOTA INSCRIPTO</t>
  </si>
  <si>
    <t>Banco Patagonia</t>
  </si>
  <si>
    <t>IVA Alicuota General</t>
  </si>
  <si>
    <t>IVA Percepcion</t>
  </si>
  <si>
    <t>TOTAL IVA S/ EXTRACTOS</t>
  </si>
  <si>
    <t xml:space="preserve">IVA </t>
  </si>
  <si>
    <t>TF-A0024-00018557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</si>
</sst>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d\-m\-yy;@"/>
    <numFmt numFmtId="166" formatCode="0.00;[Red]0.00"/>
    <numFmt numFmtId="167" formatCode="dd/mm/yy;@"/>
    <numFmt numFmtId="168" formatCode="0000"/>
    <numFmt numFmtId="169" formatCode="00000000"/>
    <numFmt numFmtId="170" formatCode="[$-C0A]mmmm\-yy;@"/>
    <numFmt numFmtId="171" formatCode="00\-00000000\-0"/>
    <numFmt numFmtId="172" formatCode="_-[$$-2C0A]\ * #,##0.00_-;\-[$$-2C0A]\ * #,##0.00_-;_-[$$-2C0A]\ * &quot;-&quot;??_-;_-@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b/>
      <sz val="10"/>
      <color indexed="8"/>
      <name val="Calibri"/>
      <family val="2"/>
    </font>
    <font>
      <sz val="9"/>
      <color indexed="8"/>
      <name val="Calibri"/>
      <family val="2"/>
    </font>
    <font>
      <sz val="10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10"/>
      <color indexed="9"/>
      <name val="Mangal"/>
      <family val="2"/>
    </font>
    <font>
      <sz val="10"/>
      <name val="Mangal"/>
      <family val="2"/>
    </font>
    <font>
      <i/>
      <sz val="9"/>
      <color indexed="8"/>
      <name val="Calibri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9"/>
      <color indexed="8"/>
      <name val="Times New Roman"/>
      <family val="1"/>
    </font>
    <font>
      <sz val="9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1F7AC1"/>
      <name val="Arial"/>
      <family val="2"/>
    </font>
    <font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/>
      <name val="Cambria"/>
      <family val="1"/>
      <scheme val="major"/>
    </font>
    <font>
      <sz val="8"/>
      <name val="Cambria"/>
      <family val="1"/>
      <scheme val="major"/>
    </font>
    <font>
      <sz val="11"/>
      <color theme="1" tint="0.499984740745262"/>
      <name val="Calibri"/>
      <family val="2"/>
      <scheme val="minor"/>
    </font>
    <font>
      <sz val="8"/>
      <name val="Arial"/>
      <family val="2"/>
    </font>
    <font>
      <b/>
      <sz val="9"/>
      <color theme="0" tint="-0.14999847407452621"/>
      <name val="Arial"/>
      <family val="2"/>
    </font>
    <font>
      <sz val="11"/>
      <name val="Arial"/>
      <family val="2"/>
    </font>
    <font>
      <sz val="11"/>
      <color theme="0" tint="-0.34998626667073579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indexed="8"/>
      <name val="Calibri"/>
      <family val="2"/>
    </font>
    <font>
      <sz val="8"/>
      <color theme="0" tint="-0.14999847407452621"/>
      <name val="Arial"/>
      <family val="2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Cambria"/>
      <family val="1"/>
      <scheme val="major"/>
    </font>
    <font>
      <b/>
      <sz val="11"/>
      <color indexed="8"/>
      <name val="Cambria"/>
      <family val="1"/>
      <scheme val="major"/>
    </font>
    <font>
      <b/>
      <i/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00B050"/>
      <name val="Arial"/>
      <family val="2"/>
    </font>
    <font>
      <b/>
      <sz val="10"/>
      <color theme="1"/>
      <name val="Cambria"/>
      <family val="1"/>
      <scheme val="maj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Arial"/>
      <family val="2"/>
    </font>
    <font>
      <sz val="9"/>
      <color rgb="FFFF0000"/>
      <name val="Calibri"/>
      <family val="2"/>
    </font>
    <font>
      <b/>
      <sz val="10"/>
      <color indexed="9"/>
      <name val="Arial"/>
      <family val="2"/>
    </font>
    <font>
      <sz val="8"/>
      <name val="FreeSans"/>
      <family val="2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64"/>
      </patternFill>
    </fill>
    <fill>
      <patternFill patternType="solid">
        <fgColor indexed="55"/>
        <bgColor indexed="22"/>
      </patternFill>
    </fill>
    <fill>
      <patternFill patternType="solid">
        <fgColor indexed="2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theme="6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6" fillId="2" borderId="0" applyNumberFormat="0" applyBorder="0" applyAlignment="0" applyProtection="0"/>
    <xf numFmtId="0" fontId="17" fillId="3" borderId="0" applyNumberFormat="0" applyBorder="0" applyAlignment="0" applyProtection="0"/>
    <xf numFmtId="164" fontId="13" fillId="0" borderId="0" applyFont="0" applyFill="0" applyBorder="0" applyAlignment="0" applyProtection="0"/>
    <xf numFmtId="0" fontId="15" fillId="4" borderId="0" applyNumberFormat="0" applyBorder="0" applyAlignment="0" applyProtection="0"/>
    <xf numFmtId="0" fontId="18" fillId="5" borderId="0" applyNumberFormat="0" applyBorder="0" applyAlignment="0" applyProtection="0"/>
    <xf numFmtId="0" fontId="14" fillId="0" borderId="0"/>
    <xf numFmtId="0" fontId="12" fillId="0" borderId="0"/>
    <xf numFmtId="0" fontId="2" fillId="0" borderId="0"/>
    <xf numFmtId="0" fontId="1" fillId="0" borderId="0"/>
    <xf numFmtId="44" fontId="29" fillId="0" borderId="0" applyFont="0" applyFill="0" applyBorder="0" applyAlignment="0" applyProtection="0"/>
    <xf numFmtId="0" fontId="60" fillId="15" borderId="0" applyNumberFormat="0" applyBorder="0" applyAlignment="0" applyProtection="0"/>
    <xf numFmtId="0" fontId="61" fillId="16" borderId="0" applyNumberFormat="0" applyBorder="0" applyAlignment="0" applyProtection="0"/>
    <xf numFmtId="0" fontId="68" fillId="19" borderId="0" applyNumberFormat="0" applyBorder="0" applyAlignment="0" applyProtection="0"/>
  </cellStyleXfs>
  <cellXfs count="354">
    <xf numFmtId="0" fontId="0" fillId="0" borderId="0" xfId="0"/>
    <xf numFmtId="0" fontId="2" fillId="0" borderId="0" xfId="8"/>
    <xf numFmtId="0" fontId="7" fillId="0" borderId="0" xfId="0" applyFont="1" applyAlignment="1">
      <alignment vertical="center"/>
    </xf>
    <xf numFmtId="166" fontId="10" fillId="0" borderId="0" xfId="8" applyNumberFormat="1" applyFont="1" applyBorder="1" applyAlignment="1">
      <alignment horizontal="right"/>
    </xf>
    <xf numFmtId="0" fontId="8" fillId="0" borderId="0" xfId="0" applyFont="1" applyFill="1" applyBorder="1" applyAlignment="1">
      <alignment horizontal="center"/>
    </xf>
    <xf numFmtId="4" fontId="8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9" applyBorder="1"/>
    <xf numFmtId="0" fontId="1" fillId="0" borderId="0" xfId="9" applyBorder="1" applyAlignment="1">
      <alignment horizontal="center"/>
    </xf>
    <xf numFmtId="0" fontId="5" fillId="0" borderId="0" xfId="9" applyFont="1" applyBorder="1"/>
    <xf numFmtId="0" fontId="1" fillId="0" borderId="0" xfId="9"/>
    <xf numFmtId="0" fontId="7" fillId="0" borderId="0" xfId="9" applyFont="1" applyBorder="1" applyAlignment="1">
      <alignment horizontal="left" vertical="center"/>
    </xf>
    <xf numFmtId="0" fontId="7" fillId="0" borderId="0" xfId="9" applyFont="1" applyAlignment="1">
      <alignment vertical="center"/>
    </xf>
    <xf numFmtId="0" fontId="8" fillId="0" borderId="0" xfId="9" applyFont="1" applyBorder="1" applyAlignment="1">
      <alignment horizontal="center"/>
    </xf>
    <xf numFmtId="0" fontId="1" fillId="0" borderId="0" xfId="9" applyNumberFormat="1"/>
    <xf numFmtId="169" fontId="9" fillId="0" borderId="1" xfId="9" applyNumberFormat="1" applyFont="1" applyBorder="1" applyAlignment="1">
      <alignment horizontal="center"/>
    </xf>
    <xf numFmtId="0" fontId="10" fillId="0" borderId="0" xfId="9" applyFont="1" applyBorder="1" applyAlignment="1">
      <alignment horizontal="center"/>
    </xf>
    <xf numFmtId="166" fontId="10" fillId="0" borderId="0" xfId="9" applyNumberFormat="1" applyFont="1" applyBorder="1" applyAlignment="1">
      <alignment horizontal="right"/>
    </xf>
    <xf numFmtId="4" fontId="9" fillId="0" borderId="1" xfId="9" applyNumberFormat="1" applyFont="1" applyBorder="1" applyAlignment="1">
      <alignment horizontal="center"/>
    </xf>
    <xf numFmtId="168" fontId="9" fillId="0" borderId="1" xfId="9" applyNumberFormat="1" applyFont="1" applyFill="1" applyBorder="1" applyAlignment="1">
      <alignment horizontal="center"/>
    </xf>
    <xf numFmtId="168" fontId="9" fillId="0" borderId="5" xfId="9" applyNumberFormat="1" applyFont="1" applyFill="1" applyBorder="1" applyAlignment="1">
      <alignment horizontal="center"/>
    </xf>
    <xf numFmtId="4" fontId="9" fillId="0" borderId="5" xfId="9" applyNumberFormat="1" applyFont="1" applyFill="1" applyBorder="1" applyAlignment="1">
      <alignment horizontal="center"/>
    </xf>
    <xf numFmtId="0" fontId="0" fillId="0" borderId="0" xfId="0" applyFont="1"/>
    <xf numFmtId="0" fontId="8" fillId="8" borderId="6" xfId="9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0" fontId="8" fillId="8" borderId="7" xfId="9" applyFont="1" applyFill="1" applyBorder="1" applyAlignment="1">
      <alignment horizontal="center" vertical="center"/>
    </xf>
    <xf numFmtId="168" fontId="9" fillId="0" borderId="2" xfId="9" applyNumberFormat="1" applyFont="1" applyFill="1" applyBorder="1" applyAlignment="1">
      <alignment horizontal="center"/>
    </xf>
    <xf numFmtId="168" fontId="9" fillId="0" borderId="8" xfId="9" applyNumberFormat="1" applyFont="1" applyFill="1" applyBorder="1" applyAlignment="1">
      <alignment horizontal="center"/>
    </xf>
    <xf numFmtId="169" fontId="9" fillId="0" borderId="8" xfId="9" applyNumberFormat="1" applyFont="1" applyBorder="1" applyAlignment="1">
      <alignment horizontal="center"/>
    </xf>
    <xf numFmtId="0" fontId="8" fillId="8" borderId="6" xfId="8" applyFont="1" applyFill="1" applyBorder="1" applyAlignment="1">
      <alignment horizontal="center" vertical="center"/>
    </xf>
    <xf numFmtId="166" fontId="10" fillId="0" borderId="0" xfId="8" applyNumberFormat="1" applyFont="1" applyBorder="1" applyAlignment="1">
      <alignment horizontal="center"/>
    </xf>
    <xf numFmtId="167" fontId="9" fillId="0" borderId="0" xfId="9" applyNumberFormat="1" applyFont="1" applyBorder="1" applyAlignment="1">
      <alignment horizontal="center"/>
    </xf>
    <xf numFmtId="0" fontId="9" fillId="0" borderId="0" xfId="9" applyFont="1" applyBorder="1" applyAlignment="1">
      <alignment horizontal="center"/>
    </xf>
    <xf numFmtId="4" fontId="8" fillId="8" borderId="8" xfId="9" applyNumberFormat="1" applyFont="1" applyFill="1" applyBorder="1" applyAlignment="1">
      <alignment horizontal="center"/>
    </xf>
    <xf numFmtId="171" fontId="5" fillId="0" borderId="0" xfId="9" applyNumberFormat="1" applyFont="1" applyBorder="1"/>
    <xf numFmtId="171" fontId="0" fillId="0" borderId="0" xfId="0" applyNumberFormat="1"/>
    <xf numFmtId="171" fontId="10" fillId="0" borderId="0" xfId="8" applyNumberFormat="1" applyFont="1" applyBorder="1" applyAlignment="1">
      <alignment horizontal="right"/>
    </xf>
    <xf numFmtId="171" fontId="8" fillId="8" borderId="6" xfId="8" applyNumberFormat="1" applyFont="1" applyFill="1" applyBorder="1" applyAlignment="1">
      <alignment horizontal="center" vertical="center"/>
    </xf>
    <xf numFmtId="171" fontId="9" fillId="0" borderId="1" xfId="9" applyNumberFormat="1" applyFont="1" applyBorder="1" applyAlignment="1">
      <alignment horizontal="center"/>
    </xf>
    <xf numFmtId="171" fontId="8" fillId="8" borderId="7" xfId="9" applyNumberFormat="1" applyFont="1" applyFill="1" applyBorder="1" applyAlignment="1">
      <alignment horizontal="center" vertical="center"/>
    </xf>
    <xf numFmtId="171" fontId="9" fillId="0" borderId="0" xfId="9" applyNumberFormat="1" applyFont="1" applyBorder="1" applyAlignment="1">
      <alignment horizontal="left"/>
    </xf>
    <xf numFmtId="171" fontId="8" fillId="8" borderId="6" xfId="9" applyNumberFormat="1" applyFont="1" applyFill="1" applyBorder="1" applyAlignment="1">
      <alignment horizontal="center"/>
    </xf>
    <xf numFmtId="171" fontId="9" fillId="0" borderId="8" xfId="9" applyNumberFormat="1" applyFont="1" applyFill="1" applyBorder="1" applyAlignment="1">
      <alignment horizontal="center"/>
    </xf>
    <xf numFmtId="171" fontId="10" fillId="0" borderId="0" xfId="9" applyNumberFormat="1" applyFont="1" applyBorder="1" applyAlignment="1">
      <alignment horizontal="left"/>
    </xf>
    <xf numFmtId="14" fontId="5" fillId="0" borderId="0" xfId="9" applyNumberFormat="1" applyFont="1" applyBorder="1" applyAlignment="1">
      <alignment horizontal="center"/>
    </xf>
    <xf numFmtId="0" fontId="5" fillId="0" borderId="0" xfId="9" applyFont="1" applyBorder="1" applyAlignment="1">
      <alignment horizontal="center"/>
    </xf>
    <xf numFmtId="0" fontId="1" fillId="0" borderId="0" xfId="9" applyFont="1" applyAlignment="1">
      <alignment horizontal="center"/>
    </xf>
    <xf numFmtId="4" fontId="11" fillId="0" borderId="0" xfId="9" applyNumberFormat="1" applyFont="1" applyAlignment="1">
      <alignment horizontal="center"/>
    </xf>
    <xf numFmtId="0" fontId="11" fillId="0" borderId="0" xfId="9" applyFont="1" applyAlignment="1">
      <alignment horizontal="center"/>
    </xf>
    <xf numFmtId="4" fontId="9" fillId="0" borderId="9" xfId="9" applyNumberFormat="1" applyFont="1" applyFill="1" applyBorder="1" applyAlignment="1">
      <alignment horizontal="center"/>
    </xf>
    <xf numFmtId="4" fontId="9" fillId="0" borderId="0" xfId="9" applyNumberFormat="1" applyFont="1" applyBorder="1" applyAlignment="1">
      <alignment horizontal="center"/>
    </xf>
    <xf numFmtId="4" fontId="8" fillId="8" borderId="6" xfId="9" applyNumberFormat="1" applyFont="1" applyFill="1" applyBorder="1" applyAlignment="1">
      <alignment horizontal="center"/>
    </xf>
    <xf numFmtId="4" fontId="8" fillId="0" borderId="0" xfId="9" applyNumberFormat="1" applyFont="1" applyBorder="1" applyAlignment="1">
      <alignment horizontal="center"/>
    </xf>
    <xf numFmtId="4" fontId="9" fillId="0" borderId="12" xfId="3" applyNumberFormat="1" applyFont="1" applyFill="1" applyBorder="1" applyAlignment="1">
      <alignment horizontal="center"/>
    </xf>
    <xf numFmtId="0" fontId="26" fillId="0" borderId="0" xfId="0" applyFont="1"/>
    <xf numFmtId="4" fontId="26" fillId="0" borderId="0" xfId="0" applyNumberFormat="1" applyFont="1" applyAlignment="1">
      <alignment horizontal="center"/>
    </xf>
    <xf numFmtId="167" fontId="1" fillId="0" borderId="0" xfId="9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10" fillId="0" borderId="0" xfId="8" applyNumberFormat="1" applyFont="1" applyBorder="1" applyAlignment="1">
      <alignment horizontal="center"/>
    </xf>
    <xf numFmtId="167" fontId="8" fillId="8" borderId="6" xfId="8" applyNumberFormat="1" applyFont="1" applyFill="1" applyBorder="1" applyAlignment="1">
      <alignment horizontal="center" vertical="center"/>
    </xf>
    <xf numFmtId="167" fontId="8" fillId="8" borderId="7" xfId="9" applyNumberFormat="1" applyFont="1" applyFill="1" applyBorder="1" applyAlignment="1">
      <alignment horizontal="center" vertical="center"/>
    </xf>
    <xf numFmtId="167" fontId="7" fillId="0" borderId="0" xfId="9" applyNumberFormat="1" applyFont="1" applyBorder="1" applyAlignment="1">
      <alignment horizontal="left" vertical="center"/>
    </xf>
    <xf numFmtId="167" fontId="8" fillId="8" borderId="6" xfId="9" applyNumberFormat="1" applyFont="1" applyFill="1" applyBorder="1" applyAlignment="1">
      <alignment horizontal="center"/>
    </xf>
    <xf numFmtId="167" fontId="9" fillId="0" borderId="3" xfId="9" applyNumberFormat="1" applyFont="1" applyFill="1" applyBorder="1" applyAlignment="1">
      <alignment horizontal="center"/>
    </xf>
    <xf numFmtId="167" fontId="9" fillId="0" borderId="14" xfId="9" applyNumberFormat="1" applyFont="1" applyFill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167" fontId="8" fillId="8" borderId="13" xfId="9" applyNumberFormat="1" applyFont="1" applyFill="1" applyBorder="1" applyAlignment="1">
      <alignment horizontal="center" vertical="center"/>
    </xf>
    <xf numFmtId="171" fontId="8" fillId="8" borderId="2" xfId="9" applyNumberFormat="1" applyFont="1" applyFill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8" fillId="8" borderId="15" xfId="9" applyFont="1" applyFill="1" applyBorder="1" applyAlignment="1">
      <alignment horizontal="center" vertical="center"/>
    </xf>
    <xf numFmtId="167" fontId="0" fillId="0" borderId="3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4" fontId="26" fillId="8" borderId="8" xfId="0" applyNumberFormat="1" applyFont="1" applyFill="1" applyBorder="1" applyAlignment="1">
      <alignment horizontal="center"/>
    </xf>
    <xf numFmtId="4" fontId="9" fillId="0" borderId="16" xfId="9" applyNumberFormat="1" applyFont="1" applyBorder="1" applyAlignment="1">
      <alignment horizontal="center"/>
    </xf>
    <xf numFmtId="4" fontId="21" fillId="6" borderId="17" xfId="0" applyNumberFormat="1" applyFont="1" applyFill="1" applyBorder="1" applyAlignment="1">
      <alignment horizontal="center"/>
    </xf>
    <xf numFmtId="0" fontId="22" fillId="0" borderId="9" xfId="0" applyFont="1" applyBorder="1" applyAlignment="1">
      <alignment horizontal="left"/>
    </xf>
    <xf numFmtId="4" fontId="23" fillId="7" borderId="2" xfId="0" applyNumberFormat="1" applyFont="1" applyFill="1" applyBorder="1" applyAlignment="1">
      <alignment horizontal="right"/>
    </xf>
    <xf numFmtId="0" fontId="22" fillId="0" borderId="1" xfId="0" applyFont="1" applyBorder="1" applyAlignment="1">
      <alignment horizontal="left"/>
    </xf>
    <xf numFmtId="4" fontId="23" fillId="7" borderId="1" xfId="0" applyNumberFormat="1" applyFont="1" applyFill="1" applyBorder="1" applyAlignment="1">
      <alignment horizontal="right"/>
    </xf>
    <xf numFmtId="49" fontId="24" fillId="7" borderId="9" xfId="0" applyNumberFormat="1" applyFont="1" applyFill="1" applyBorder="1" applyAlignment="1">
      <alignment horizontal="left"/>
    </xf>
    <xf numFmtId="4" fontId="23" fillId="7" borderId="9" xfId="0" applyNumberFormat="1" applyFont="1" applyFill="1" applyBorder="1" applyAlignment="1">
      <alignment horizontal="right"/>
    </xf>
    <xf numFmtId="171" fontId="20" fillId="6" borderId="18" xfId="0" applyNumberFormat="1" applyFont="1" applyFill="1" applyBorder="1" applyAlignment="1">
      <alignment horizontal="center"/>
    </xf>
    <xf numFmtId="171" fontId="22" fillId="0" borderId="1" xfId="0" applyNumberFormat="1" applyFont="1" applyBorder="1" applyAlignment="1">
      <alignment horizontal="center"/>
    </xf>
    <xf numFmtId="171" fontId="24" fillId="7" borderId="1" xfId="0" applyNumberFormat="1" applyFont="1" applyFill="1" applyBorder="1" applyAlignment="1">
      <alignment horizontal="center"/>
    </xf>
    <xf numFmtId="171" fontId="25" fillId="0" borderId="1" xfId="0" applyNumberFormat="1" applyFont="1" applyBorder="1" applyAlignment="1">
      <alignment horizontal="center"/>
    </xf>
    <xf numFmtId="171" fontId="9" fillId="7" borderId="1" xfId="0" applyNumberFormat="1" applyFont="1" applyFill="1" applyBorder="1" applyAlignment="1">
      <alignment horizontal="center"/>
    </xf>
    <xf numFmtId="171" fontId="25" fillId="0" borderId="9" xfId="0" applyNumberFormat="1" applyFont="1" applyBorder="1" applyAlignment="1">
      <alignment horizontal="center"/>
    </xf>
    <xf numFmtId="171" fontId="24" fillId="7" borderId="9" xfId="0" applyNumberFormat="1" applyFont="1" applyFill="1" applyBorder="1" applyAlignment="1">
      <alignment horizontal="center"/>
    </xf>
    <xf numFmtId="171" fontId="9" fillId="7" borderId="9" xfId="0" applyNumberFormat="1" applyFont="1" applyFill="1" applyBorder="1" applyAlignment="1">
      <alignment horizontal="center"/>
    </xf>
    <xf numFmtId="171" fontId="22" fillId="0" borderId="19" xfId="0" applyNumberFormat="1" applyFont="1" applyBorder="1" applyAlignment="1">
      <alignment horizontal="center"/>
    </xf>
    <xf numFmtId="171" fontId="22" fillId="0" borderId="9" xfId="0" applyNumberFormat="1" applyFont="1" applyBorder="1" applyAlignment="1">
      <alignment horizontal="center"/>
    </xf>
    <xf numFmtId="171" fontId="22" fillId="0" borderId="20" xfId="0" applyNumberFormat="1" applyFont="1" applyBorder="1" applyAlignment="1">
      <alignment horizontal="center"/>
    </xf>
    <xf numFmtId="171" fontId="22" fillId="0" borderId="21" xfId="0" applyNumberFormat="1" applyFont="1" applyBorder="1" applyAlignment="1">
      <alignment horizontal="center"/>
    </xf>
    <xf numFmtId="171" fontId="26" fillId="0" borderId="22" xfId="0" applyNumberFormat="1" applyFont="1" applyBorder="1" applyAlignment="1"/>
    <xf numFmtId="171" fontId="7" fillId="0" borderId="0" xfId="9" applyNumberFormat="1" applyFont="1" applyBorder="1" applyAlignment="1">
      <alignment horizontal="left" vertical="center"/>
    </xf>
    <xf numFmtId="0" fontId="20" fillId="6" borderId="18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8" fillId="0" borderId="0" xfId="0" applyFont="1" applyAlignment="1">
      <alignment horizontal="left"/>
    </xf>
    <xf numFmtId="0" fontId="30" fillId="0" borderId="0" xfId="0" applyFont="1"/>
    <xf numFmtId="0" fontId="24" fillId="7" borderId="9" xfId="0" applyFont="1" applyFill="1" applyBorder="1" applyAlignment="1">
      <alignment horizontal="left"/>
    </xf>
    <xf numFmtId="0" fontId="31" fillId="0" borderId="0" xfId="0" applyFont="1"/>
    <xf numFmtId="0" fontId="32" fillId="0" borderId="0" xfId="0" applyFont="1" applyBorder="1" applyAlignment="1"/>
    <xf numFmtId="0" fontId="32" fillId="0" borderId="6" xfId="0" applyFont="1" applyBorder="1" applyAlignment="1"/>
    <xf numFmtId="49" fontId="33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4" fillId="0" borderId="0" xfId="0" applyFont="1"/>
    <xf numFmtId="0" fontId="35" fillId="0" borderId="7" xfId="0" applyFont="1" applyBorder="1" applyAlignment="1">
      <alignment horizontal="center"/>
    </xf>
    <xf numFmtId="0" fontId="36" fillId="0" borderId="0" xfId="0" applyFont="1"/>
    <xf numFmtId="0" fontId="34" fillId="0" borderId="0" xfId="0" applyFont="1" applyAlignment="1">
      <alignment horizontal="center"/>
    </xf>
    <xf numFmtId="0" fontId="37" fillId="0" borderId="0" xfId="0" applyFont="1"/>
    <xf numFmtId="0" fontId="35" fillId="0" borderId="6" xfId="0" applyFont="1" applyBorder="1" applyAlignment="1">
      <alignment horizontal="center"/>
    </xf>
    <xf numFmtId="0" fontId="35" fillId="0" borderId="25" xfId="0" applyFont="1" applyBorder="1" applyAlignment="1">
      <alignment horizontal="center"/>
    </xf>
    <xf numFmtId="0" fontId="35" fillId="9" borderId="1" xfId="0" applyFont="1" applyFill="1" applyBorder="1"/>
    <xf numFmtId="172" fontId="0" fillId="0" borderId="1" xfId="0" applyNumberFormat="1" applyFont="1" applyFill="1" applyBorder="1"/>
    <xf numFmtId="4" fontId="0" fillId="0" borderId="9" xfId="0" applyNumberFormat="1" applyBorder="1"/>
    <xf numFmtId="44" fontId="0" fillId="0" borderId="1" xfId="10" applyFont="1" applyBorder="1"/>
    <xf numFmtId="0" fontId="39" fillId="0" borderId="0" xfId="0" applyFont="1"/>
    <xf numFmtId="4" fontId="40" fillId="0" borderId="0" xfId="0" applyNumberFormat="1" applyFont="1" applyBorder="1"/>
    <xf numFmtId="4" fontId="11" fillId="0" borderId="0" xfId="0" applyNumberFormat="1" applyFont="1" applyBorder="1"/>
    <xf numFmtId="4" fontId="11" fillId="0" borderId="0" xfId="0" applyNumberFormat="1" applyFont="1"/>
    <xf numFmtId="4" fontId="0" fillId="0" borderId="0" xfId="0" applyNumberFormat="1" applyBorder="1"/>
    <xf numFmtId="0" fontId="41" fillId="0" borderId="0" xfId="0" applyFont="1"/>
    <xf numFmtId="0" fontId="35" fillId="0" borderId="6" xfId="0" applyFont="1" applyBorder="1"/>
    <xf numFmtId="0" fontId="0" fillId="0" borderId="0" xfId="0" applyFont="1" applyAlignment="1">
      <alignment horizontal="center"/>
    </xf>
    <xf numFmtId="4" fontId="42" fillId="0" borderId="0" xfId="0" applyNumberFormat="1" applyFont="1" applyAlignment="1">
      <alignment horizontal="center"/>
    </xf>
    <xf numFmtId="4" fontId="0" fillId="0" borderId="5" xfId="0" applyNumberFormat="1" applyBorder="1"/>
    <xf numFmtId="0" fontId="43" fillId="0" borderId="0" xfId="0" applyFont="1" applyAlignment="1">
      <alignment horizontal="left"/>
    </xf>
    <xf numFmtId="4" fontId="44" fillId="0" borderId="0" xfId="0" applyNumberFormat="1" applyFont="1" applyBorder="1"/>
    <xf numFmtId="4" fontId="45" fillId="0" borderId="0" xfId="0" applyNumberFormat="1" applyFont="1" applyBorder="1"/>
    <xf numFmtId="4" fontId="45" fillId="0" borderId="0" xfId="0" applyNumberFormat="1" applyFont="1" applyAlignment="1">
      <alignment horizontal="right"/>
    </xf>
    <xf numFmtId="0" fontId="46" fillId="0" borderId="6" xfId="0" applyFont="1" applyBorder="1" applyAlignment="1">
      <alignment horizontal="center"/>
    </xf>
    <xf numFmtId="49" fontId="35" fillId="0" borderId="1" xfId="0" applyNumberFormat="1" applyFont="1" applyBorder="1"/>
    <xf numFmtId="1" fontId="12" fillId="0" borderId="29" xfId="0" applyNumberFormat="1" applyFon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1" fontId="12" fillId="0" borderId="1" xfId="0" applyNumberFormat="1" applyFont="1" applyFill="1" applyBorder="1" applyAlignment="1" applyProtection="1">
      <alignment horizontal="center" wrapText="1"/>
    </xf>
    <xf numFmtId="1" fontId="47" fillId="0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 applyProtection="1">
      <alignment horizontal="center" wrapText="1"/>
    </xf>
    <xf numFmtId="2" fontId="47" fillId="0" borderId="1" xfId="0" applyNumberFormat="1" applyFont="1" applyBorder="1" applyAlignment="1">
      <alignment horizontal="center"/>
    </xf>
    <xf numFmtId="0" fontId="47" fillId="0" borderId="1" xfId="0" applyNumberFormat="1" applyFont="1" applyBorder="1" applyAlignment="1">
      <alignment horizontal="center"/>
    </xf>
    <xf numFmtId="0" fontId="0" fillId="0" borderId="0" xfId="0" applyFill="1" applyBorder="1"/>
    <xf numFmtId="4" fontId="48" fillId="0" borderId="6" xfId="0" applyNumberFormat="1" applyFont="1" applyBorder="1" applyAlignment="1">
      <alignment horizontal="center"/>
    </xf>
    <xf numFmtId="14" fontId="0" fillId="0" borderId="0" xfId="0" applyNumberFormat="1" applyBorder="1"/>
    <xf numFmtId="4" fontId="0" fillId="0" borderId="0" xfId="0" applyNumberFormat="1"/>
    <xf numFmtId="0" fontId="35" fillId="0" borderId="7" xfId="0" applyFont="1" applyBorder="1"/>
    <xf numFmtId="0" fontId="46" fillId="0" borderId="7" xfId="0" applyFont="1" applyBorder="1" applyAlignment="1">
      <alignment horizontal="center"/>
    </xf>
    <xf numFmtId="4" fontId="46" fillId="0" borderId="7" xfId="0" applyNumberFormat="1" applyFont="1" applyBorder="1" applyAlignment="1">
      <alignment horizontal="center"/>
    </xf>
    <xf numFmtId="49" fontId="49" fillId="0" borderId="1" xfId="0" applyNumberFormat="1" applyFont="1" applyBorder="1"/>
    <xf numFmtId="1" fontId="0" fillId="0" borderId="21" xfId="0" applyNumberFormat="1" applyBorder="1" applyAlignment="1" applyProtection="1">
      <alignment horizontal="center" wrapText="1"/>
    </xf>
    <xf numFmtId="4" fontId="47" fillId="0" borderId="1" xfId="0" applyNumberFormat="1" applyFont="1" applyBorder="1" applyAlignment="1">
      <alignment horizontal="right"/>
    </xf>
    <xf numFmtId="0" fontId="46" fillId="0" borderId="1" xfId="0" applyFont="1" applyBorder="1" applyAlignment="1">
      <alignment horizontal="center"/>
    </xf>
    <xf numFmtId="0" fontId="0" fillId="0" borderId="9" xfId="0" applyFill="1" applyBorder="1"/>
    <xf numFmtId="0" fontId="0" fillId="0" borderId="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4" fontId="0" fillId="0" borderId="9" xfId="0" applyNumberFormat="1" applyBorder="1" applyAlignment="1">
      <alignment horizontal="right"/>
    </xf>
    <xf numFmtId="0" fontId="0" fillId="0" borderId="0" xfId="0" applyBorder="1"/>
    <xf numFmtId="4" fontId="50" fillId="0" borderId="6" xfId="0" applyNumberFormat="1" applyFont="1" applyBorder="1" applyAlignment="1">
      <alignment horizontal="right"/>
    </xf>
    <xf numFmtId="0" fontId="11" fillId="0" borderId="16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4" fontId="12" fillId="0" borderId="0" xfId="0" applyNumberFormat="1" applyFont="1"/>
    <xf numFmtId="0" fontId="11" fillId="0" borderId="31" xfId="0" applyFont="1" applyBorder="1" applyAlignment="1">
      <alignment horizontal="center"/>
    </xf>
    <xf numFmtId="0" fontId="11" fillId="0" borderId="32" xfId="0" applyFont="1" applyBorder="1" applyAlignment="1">
      <alignment horizontal="center"/>
    </xf>
    <xf numFmtId="4" fontId="11" fillId="0" borderId="33" xfId="0" applyNumberFormat="1" applyFont="1" applyBorder="1"/>
    <xf numFmtId="2" fontId="0" fillId="0" borderId="0" xfId="0" applyNumberFormat="1"/>
    <xf numFmtId="0" fontId="11" fillId="0" borderId="34" xfId="0" applyFont="1" applyBorder="1" applyAlignment="1">
      <alignment horizontal="center"/>
    </xf>
    <xf numFmtId="4" fontId="11" fillId="0" borderId="35" xfId="0" applyNumberFormat="1" applyFont="1" applyBorder="1"/>
    <xf numFmtId="0" fontId="11" fillId="0" borderId="36" xfId="0" applyFont="1" applyBorder="1" applyAlignment="1">
      <alignment horizontal="center"/>
    </xf>
    <xf numFmtId="4" fontId="12" fillId="10" borderId="37" xfId="0" applyNumberFormat="1" applyFont="1" applyFill="1" applyBorder="1"/>
    <xf numFmtId="2" fontId="12" fillId="0" borderId="0" xfId="0" applyNumberFormat="1" applyFont="1"/>
    <xf numFmtId="0" fontId="51" fillId="0" borderId="23" xfId="0" applyFont="1" applyBorder="1" applyAlignment="1">
      <alignment horizontal="center"/>
    </xf>
    <xf numFmtId="0" fontId="51" fillId="0" borderId="24" xfId="0" applyFont="1" applyBorder="1" applyAlignment="1">
      <alignment horizontal="center"/>
    </xf>
    <xf numFmtId="4" fontId="51" fillId="10" borderId="6" xfId="0" applyNumberFormat="1" applyFont="1" applyFill="1" applyBorder="1"/>
    <xf numFmtId="2" fontId="41" fillId="0" borderId="0" xfId="0" applyNumberFormat="1" applyFont="1"/>
    <xf numFmtId="0" fontId="41" fillId="0" borderId="0" xfId="0" applyFont="1" applyAlignment="1">
      <alignment horizontal="center"/>
    </xf>
    <xf numFmtId="0" fontId="51" fillId="0" borderId="0" xfId="0" applyFont="1" applyFill="1" applyBorder="1" applyAlignment="1">
      <alignment horizontal="center"/>
    </xf>
    <xf numFmtId="4" fontId="51" fillId="0" borderId="0" xfId="0" applyNumberFormat="1" applyFont="1" applyFill="1" applyBorder="1"/>
    <xf numFmtId="2" fontId="41" fillId="0" borderId="0" xfId="0" applyNumberFormat="1" applyFont="1" applyFill="1"/>
    <xf numFmtId="0" fontId="52" fillId="0" borderId="13" xfId="0" applyFont="1" applyFill="1" applyBorder="1" applyAlignment="1">
      <alignment horizontal="center"/>
    </xf>
    <xf numFmtId="0" fontId="52" fillId="0" borderId="2" xfId="0" applyFont="1" applyFill="1" applyBorder="1" applyAlignment="1">
      <alignment horizontal="center"/>
    </xf>
    <xf numFmtId="4" fontId="11" fillId="0" borderId="15" xfId="0" applyNumberFormat="1" applyFont="1" applyFill="1" applyBorder="1"/>
    <xf numFmtId="2" fontId="0" fillId="0" borderId="0" xfId="0" applyNumberFormat="1" applyFill="1"/>
    <xf numFmtId="0" fontId="52" fillId="0" borderId="3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0" fontId="0" fillId="0" borderId="34" xfId="0" applyBorder="1"/>
    <xf numFmtId="0" fontId="11" fillId="0" borderId="0" xfId="0" applyFont="1" applyBorder="1"/>
    <xf numFmtId="0" fontId="0" fillId="0" borderId="0" xfId="0" applyAlignment="1">
      <alignment horizontal="right"/>
    </xf>
    <xf numFmtId="0" fontId="32" fillId="0" borderId="23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32" fillId="0" borderId="6" xfId="0" applyNumberFormat="1" applyFont="1" applyBorder="1"/>
    <xf numFmtId="2" fontId="53" fillId="0" borderId="0" xfId="0" applyNumberFormat="1" applyFont="1"/>
    <xf numFmtId="0" fontId="53" fillId="0" borderId="0" xfId="0" applyFont="1" applyAlignment="1">
      <alignment horizontal="center"/>
    </xf>
    <xf numFmtId="2" fontId="54" fillId="0" borderId="0" xfId="0" applyNumberFormat="1" applyFont="1"/>
    <xf numFmtId="171" fontId="9" fillId="0" borderId="1" xfId="9" applyNumberFormat="1" applyFont="1" applyFill="1" applyBorder="1" applyAlignment="1">
      <alignment horizontal="center"/>
    </xf>
    <xf numFmtId="4" fontId="25" fillId="0" borderId="1" xfId="9" applyNumberFormat="1" applyFont="1" applyBorder="1" applyAlignment="1">
      <alignment horizontal="center"/>
    </xf>
    <xf numFmtId="167" fontId="9" fillId="0" borderId="4" xfId="9" applyNumberFormat="1" applyFont="1" applyFill="1" applyBorder="1" applyAlignment="1">
      <alignment horizontal="center"/>
    </xf>
    <xf numFmtId="4" fontId="25" fillId="0" borderId="12" xfId="3" applyNumberFormat="1" applyFont="1" applyFill="1" applyBorder="1" applyAlignment="1">
      <alignment horizontal="center"/>
    </xf>
    <xf numFmtId="169" fontId="9" fillId="0" borderId="5" xfId="9" applyNumberFormat="1" applyFont="1" applyFill="1" applyBorder="1" applyAlignment="1">
      <alignment horizontal="center"/>
    </xf>
    <xf numFmtId="0" fontId="9" fillId="0" borderId="9" xfId="9" applyFont="1" applyFill="1" applyBorder="1" applyAlignment="1">
      <alignment horizontal="left"/>
    </xf>
    <xf numFmtId="171" fontId="27" fillId="0" borderId="1" xfId="9" applyNumberFormat="1" applyFont="1" applyFill="1" applyBorder="1" applyAlignment="1">
      <alignment horizontal="center"/>
    </xf>
    <xf numFmtId="4" fontId="9" fillId="0" borderId="10" xfId="9" applyNumberFormat="1" applyFont="1" applyFill="1" applyBorder="1" applyAlignment="1">
      <alignment horizontal="right"/>
    </xf>
    <xf numFmtId="0" fontId="9" fillId="0" borderId="5" xfId="9" applyFont="1" applyFill="1" applyBorder="1" applyAlignment="1">
      <alignment horizontal="center"/>
    </xf>
    <xf numFmtId="4" fontId="25" fillId="0" borderId="5" xfId="9" applyNumberFormat="1" applyFont="1" applyFill="1" applyBorder="1" applyAlignment="1">
      <alignment horizontal="center"/>
    </xf>
    <xf numFmtId="4" fontId="11" fillId="0" borderId="38" xfId="0" applyNumberFormat="1" applyFont="1" applyBorder="1"/>
    <xf numFmtId="4" fontId="26" fillId="0" borderId="38" xfId="0" applyNumberFormat="1" applyFont="1" applyBorder="1"/>
    <xf numFmtId="4" fontId="19" fillId="0" borderId="10" xfId="9" applyNumberFormat="1" applyFont="1" applyFill="1" applyBorder="1" applyAlignment="1">
      <alignment horizontal="right"/>
    </xf>
    <xf numFmtId="167" fontId="9" fillId="0" borderId="11" xfId="9" applyNumberFormat="1" applyFont="1" applyFill="1" applyBorder="1" applyAlignment="1">
      <alignment horizontal="center"/>
    </xf>
    <xf numFmtId="0" fontId="11" fillId="11" borderId="1" xfId="0" applyFont="1" applyFill="1" applyBorder="1"/>
    <xf numFmtId="0" fontId="11" fillId="11" borderId="1" xfId="0" applyFont="1" applyFill="1" applyBorder="1" applyAlignment="1">
      <alignment horizontal="center"/>
    </xf>
    <xf numFmtId="0" fontId="4" fillId="0" borderId="0" xfId="9" applyFont="1" applyFill="1" applyBorder="1"/>
    <xf numFmtId="0" fontId="0" fillId="0" borderId="1" xfId="0" applyBorder="1"/>
    <xf numFmtId="0" fontId="56" fillId="0" borderId="0" xfId="0" applyFont="1" applyFill="1" applyBorder="1"/>
    <xf numFmtId="2" fontId="56" fillId="0" borderId="0" xfId="0" applyNumberFormat="1" applyFont="1" applyFill="1" applyBorder="1" applyAlignment="1">
      <alignment horizontal="right" vertical="center"/>
    </xf>
    <xf numFmtId="44" fontId="38" fillId="0" borderId="0" xfId="10" applyFont="1" applyAlignment="1">
      <alignment horizontal="center"/>
    </xf>
    <xf numFmtId="4" fontId="57" fillId="0" borderId="1" xfId="0" applyNumberFormat="1" applyFont="1" applyBorder="1" applyAlignment="1">
      <alignment horizontal="center"/>
    </xf>
    <xf numFmtId="4" fontId="57" fillId="0" borderId="12" xfId="0" applyNumberFormat="1" applyFont="1" applyBorder="1" applyAlignment="1">
      <alignment horizontal="center"/>
    </xf>
    <xf numFmtId="167" fontId="57" fillId="0" borderId="3" xfId="0" applyNumberFormat="1" applyFont="1" applyBorder="1" applyAlignment="1">
      <alignment horizontal="center"/>
    </xf>
    <xf numFmtId="4" fontId="9" fillId="12" borderId="9" xfId="0" applyNumberFormat="1" applyFont="1" applyFill="1" applyBorder="1"/>
    <xf numFmtId="17" fontId="33" fillId="0" borderId="6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0" fontId="58" fillId="0" borderId="1" xfId="0" applyFont="1" applyBorder="1"/>
    <xf numFmtId="0" fontId="56" fillId="0" borderId="1" xfId="0" applyFont="1" applyBorder="1"/>
    <xf numFmtId="0" fontId="59" fillId="0" borderId="0" xfId="0" applyFont="1"/>
    <xf numFmtId="4" fontId="9" fillId="13" borderId="9" xfId="9" applyNumberFormat="1" applyFont="1" applyFill="1" applyBorder="1" applyAlignment="1">
      <alignment horizontal="center"/>
    </xf>
    <xf numFmtId="0" fontId="0" fillId="0" borderId="0" xfId="0" applyFill="1"/>
    <xf numFmtId="171" fontId="22" fillId="0" borderId="9" xfId="0" applyNumberFormat="1" applyFont="1" applyFill="1" applyBorder="1" applyAlignment="1">
      <alignment horizontal="center"/>
    </xf>
    <xf numFmtId="0" fontId="22" fillId="0" borderId="9" xfId="0" applyFont="1" applyFill="1" applyBorder="1" applyAlignment="1">
      <alignment horizontal="left"/>
    </xf>
    <xf numFmtId="4" fontId="23" fillId="0" borderId="9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center"/>
    </xf>
    <xf numFmtId="4" fontId="11" fillId="14" borderId="12" xfId="0" applyNumberFormat="1" applyFont="1" applyFill="1" applyBorder="1"/>
    <xf numFmtId="49" fontId="56" fillId="0" borderId="0" xfId="0" applyNumberFormat="1" applyFont="1" applyBorder="1" applyAlignment="1">
      <alignment horizontal="left"/>
    </xf>
    <xf numFmtId="171" fontId="27" fillId="0" borderId="0" xfId="9" applyNumberFormat="1" applyFont="1" applyFill="1" applyBorder="1" applyAlignment="1">
      <alignment horizontal="center"/>
    </xf>
    <xf numFmtId="171" fontId="27" fillId="0" borderId="9" xfId="9" applyNumberFormat="1" applyFont="1" applyFill="1" applyBorder="1" applyAlignment="1">
      <alignment horizontal="center"/>
    </xf>
    <xf numFmtId="171" fontId="9" fillId="0" borderId="9" xfId="9" applyNumberFormat="1" applyFont="1" applyFill="1" applyBorder="1" applyAlignment="1">
      <alignment horizontal="center"/>
    </xf>
    <xf numFmtId="171" fontId="22" fillId="7" borderId="9" xfId="0" applyNumberFormat="1" applyFont="1" applyFill="1" applyBorder="1" applyAlignment="1">
      <alignment horizontal="center"/>
    </xf>
    <xf numFmtId="171" fontId="27" fillId="0" borderId="19" xfId="9" applyNumberFormat="1" applyFont="1" applyFill="1" applyBorder="1" applyAlignment="1">
      <alignment horizontal="center"/>
    </xf>
    <xf numFmtId="171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left"/>
    </xf>
    <xf numFmtId="4" fontId="23" fillId="0" borderId="1" xfId="0" applyNumberFormat="1" applyFont="1" applyFill="1" applyBorder="1" applyAlignment="1">
      <alignment horizontal="right"/>
    </xf>
    <xf numFmtId="2" fontId="56" fillId="0" borderId="0" xfId="0" applyNumberFormat="1" applyFont="1" applyBorder="1" applyAlignment="1">
      <alignment horizontal="right" vertical="center"/>
    </xf>
    <xf numFmtId="2" fontId="11" fillId="0" borderId="0" xfId="0" applyNumberFormat="1" applyFont="1" applyBorder="1" applyAlignment="1">
      <alignment horizontal="right" vertical="center"/>
    </xf>
    <xf numFmtId="0" fontId="8" fillId="8" borderId="7" xfId="8" applyFont="1" applyFill="1" applyBorder="1" applyAlignment="1">
      <alignment horizontal="center" vertical="center"/>
    </xf>
    <xf numFmtId="167" fontId="9" fillId="0" borderId="1" xfId="9" applyNumberFormat="1" applyFont="1" applyFill="1" applyBorder="1" applyAlignment="1">
      <alignment horizontal="center"/>
    </xf>
    <xf numFmtId="4" fontId="11" fillId="0" borderId="5" xfId="0" applyNumberFormat="1" applyFont="1" applyBorder="1"/>
    <xf numFmtId="4" fontId="61" fillId="0" borderId="0" xfId="12" applyNumberFormat="1" applyFill="1"/>
    <xf numFmtId="4" fontId="0" fillId="0" borderId="0" xfId="0" applyNumberFormat="1" applyFill="1"/>
    <xf numFmtId="4" fontId="11" fillId="12" borderId="1" xfId="0" applyNumberFormat="1" applyFont="1" applyFill="1" applyBorder="1" applyAlignment="1">
      <alignment horizontal="right" vertical="center"/>
    </xf>
    <xf numFmtId="4" fontId="62" fillId="0" borderId="0" xfId="11" applyNumberFormat="1" applyFont="1" applyFill="1"/>
    <xf numFmtId="44" fontId="0" fillId="0" borderId="0" xfId="10" applyFont="1"/>
    <xf numFmtId="4" fontId="0" fillId="0" borderId="20" xfId="0" applyNumberFormat="1" applyBorder="1"/>
    <xf numFmtId="4" fontId="44" fillId="0" borderId="39" xfId="0" applyNumberFormat="1" applyFont="1" applyBorder="1"/>
    <xf numFmtId="4" fontId="44" fillId="0" borderId="40" xfId="0" applyNumberFormat="1" applyFont="1" applyBorder="1"/>
    <xf numFmtId="4" fontId="44" fillId="0" borderId="41" xfId="0" applyNumberFormat="1" applyFont="1" applyBorder="1"/>
    <xf numFmtId="4" fontId="11" fillId="0" borderId="1" xfId="0" applyNumberFormat="1" applyFont="1" applyBorder="1"/>
    <xf numFmtId="4" fontId="61" fillId="0" borderId="0" xfId="12" applyNumberFormat="1" applyFill="1" applyBorder="1" applyAlignment="1">
      <alignment horizontal="right" vertical="center"/>
    </xf>
    <xf numFmtId="0" fontId="63" fillId="17" borderId="1" xfId="0" applyFont="1" applyFill="1" applyBorder="1"/>
    <xf numFmtId="4" fontId="11" fillId="17" borderId="1" xfId="0" applyNumberFormat="1" applyFont="1" applyFill="1" applyBorder="1"/>
    <xf numFmtId="167" fontId="64" fillId="0" borderId="4" xfId="9" applyNumberFormat="1" applyFont="1" applyFill="1" applyBorder="1" applyAlignment="1">
      <alignment horizontal="center"/>
    </xf>
    <xf numFmtId="168" fontId="64" fillId="0" borderId="5" xfId="9" applyNumberFormat="1" applyFont="1" applyFill="1" applyBorder="1" applyAlignment="1">
      <alignment horizontal="center"/>
    </xf>
    <xf numFmtId="169" fontId="64" fillId="0" borderId="5" xfId="9" applyNumberFormat="1" applyFont="1" applyFill="1" applyBorder="1" applyAlignment="1">
      <alignment horizontal="center"/>
    </xf>
    <xf numFmtId="171" fontId="64" fillId="0" borderId="1" xfId="9" applyNumberFormat="1" applyFont="1" applyFill="1" applyBorder="1" applyAlignment="1">
      <alignment horizontal="center"/>
    </xf>
    <xf numFmtId="171" fontId="64" fillId="0" borderId="1" xfId="9" applyNumberFormat="1" applyFont="1" applyBorder="1" applyAlignment="1">
      <alignment horizontal="center"/>
    </xf>
    <xf numFmtId="4" fontId="64" fillId="0" borderId="1" xfId="9" applyNumberFormat="1" applyFont="1" applyBorder="1" applyAlignment="1">
      <alignment horizontal="center"/>
    </xf>
    <xf numFmtId="4" fontId="64" fillId="0" borderId="16" xfId="9" applyNumberFormat="1" applyFont="1" applyBorder="1" applyAlignment="1">
      <alignment horizontal="center"/>
    </xf>
    <xf numFmtId="4" fontId="64" fillId="0" borderId="12" xfId="3" applyNumberFormat="1" applyFont="1" applyFill="1" applyBorder="1" applyAlignment="1">
      <alignment horizontal="center"/>
    </xf>
    <xf numFmtId="2" fontId="56" fillId="0" borderId="1" xfId="0" applyNumberFormat="1" applyFont="1" applyBorder="1" applyAlignment="1">
      <alignment horizontal="right" vertical="center"/>
    </xf>
    <xf numFmtId="0" fontId="54" fillId="0" borderId="0" xfId="0" applyFont="1"/>
    <xf numFmtId="0" fontId="55" fillId="0" borderId="0" xfId="0" applyFont="1" applyAlignment="1">
      <alignment horizontal="left"/>
    </xf>
    <xf numFmtId="49" fontId="55" fillId="0" borderId="0" xfId="0" applyNumberFormat="1" applyFont="1" applyAlignment="1">
      <alignment horizontal="right"/>
    </xf>
    <xf numFmtId="0" fontId="61" fillId="16" borderId="1" xfId="12" applyBorder="1"/>
    <xf numFmtId="0" fontId="65" fillId="0" borderId="0" xfId="0" applyFont="1" applyBorder="1"/>
    <xf numFmtId="0" fontId="56" fillId="0" borderId="1" xfId="0" applyFont="1" applyBorder="1" applyAlignment="1">
      <alignment horizontal="left"/>
    </xf>
    <xf numFmtId="49" fontId="56" fillId="0" borderId="1" xfId="0" applyNumberFormat="1" applyFont="1" applyBorder="1" applyAlignment="1">
      <alignment horizontal="left"/>
    </xf>
    <xf numFmtId="4" fontId="61" fillId="16" borderId="1" xfId="12" applyNumberFormat="1" applyBorder="1" applyAlignment="1">
      <alignment horizontal="right" vertical="center"/>
    </xf>
    <xf numFmtId="0" fontId="66" fillId="0" borderId="0" xfId="0" applyFont="1"/>
    <xf numFmtId="4" fontId="67" fillId="16" borderId="1" xfId="12" applyNumberFormat="1" applyFont="1" applyBorder="1" applyAlignment="1">
      <alignment horizontal="right" vertical="center"/>
    </xf>
    <xf numFmtId="49" fontId="56" fillId="0" borderId="1" xfId="0" applyNumberFormat="1" applyFont="1" applyFill="1" applyBorder="1" applyAlignment="1">
      <alignment horizontal="left"/>
    </xf>
    <xf numFmtId="0" fontId="56" fillId="0" borderId="1" xfId="0" applyFont="1" applyFill="1" applyBorder="1"/>
    <xf numFmtId="2" fontId="56" fillId="0" borderId="1" xfId="0" applyNumberFormat="1" applyFont="1" applyFill="1" applyBorder="1" applyAlignment="1">
      <alignment horizontal="right" vertical="center"/>
    </xf>
    <xf numFmtId="0" fontId="56" fillId="18" borderId="1" xfId="0" applyFont="1" applyFill="1" applyBorder="1"/>
    <xf numFmtId="4" fontId="67" fillId="16" borderId="5" xfId="12" applyNumberFormat="1" applyFont="1" applyBorder="1" applyAlignment="1">
      <alignment horizontal="right" vertical="center"/>
    </xf>
    <xf numFmtId="0" fontId="0" fillId="0" borderId="1" xfId="0" applyFont="1" applyFill="1" applyBorder="1"/>
    <xf numFmtId="1" fontId="0" fillId="0" borderId="1" xfId="0" applyNumberFormat="1" applyFont="1" applyFill="1" applyBorder="1"/>
    <xf numFmtId="2" fontId="0" fillId="0" borderId="1" xfId="0" applyNumberFormat="1" applyFont="1" applyFill="1" applyBorder="1"/>
    <xf numFmtId="2" fontId="61" fillId="16" borderId="1" xfId="12" applyNumberFormat="1" applyBorder="1"/>
    <xf numFmtId="2" fontId="0" fillId="18" borderId="1" xfId="0" applyNumberFormat="1" applyFont="1" applyFill="1" applyBorder="1"/>
    <xf numFmtId="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6" fillId="17" borderId="1" xfId="0" applyFont="1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6" xfId="0" applyBorder="1"/>
    <xf numFmtId="0" fontId="0" fillId="0" borderId="38" xfId="0" applyBorder="1"/>
    <xf numFmtId="0" fontId="0" fillId="0" borderId="43" xfId="0" applyBorder="1"/>
    <xf numFmtId="164" fontId="0" fillId="0" borderId="44" xfId="3" applyFont="1" applyBorder="1"/>
    <xf numFmtId="43" fontId="0" fillId="0" borderId="45" xfId="0" applyNumberFormat="1" applyBorder="1"/>
    <xf numFmtId="164" fontId="0" fillId="0" borderId="35" xfId="3" applyFont="1" applyBorder="1"/>
    <xf numFmtId="164" fontId="0" fillId="0" borderId="42" xfId="3" applyFont="1" applyBorder="1"/>
    <xf numFmtId="164" fontId="0" fillId="0" borderId="25" xfId="3" applyFont="1" applyBorder="1"/>
    <xf numFmtId="164" fontId="0" fillId="0" borderId="8" xfId="3" applyFont="1" applyBorder="1"/>
    <xf numFmtId="164" fontId="0" fillId="0" borderId="46" xfId="3" applyFont="1" applyBorder="1"/>
    <xf numFmtId="14" fontId="56" fillId="0" borderId="1" xfId="0" applyNumberFormat="1" applyFont="1" applyFill="1" applyBorder="1" applyAlignment="1">
      <alignment horizontal="left"/>
    </xf>
    <xf numFmtId="49" fontId="56" fillId="17" borderId="1" xfId="0" applyNumberFormat="1" applyFont="1" applyFill="1" applyBorder="1" applyAlignment="1">
      <alignment horizontal="left"/>
    </xf>
    <xf numFmtId="0" fontId="56" fillId="17" borderId="1" xfId="0" applyFont="1" applyFill="1" applyBorder="1"/>
    <xf numFmtId="2" fontId="56" fillId="17" borderId="1" xfId="0" applyNumberFormat="1" applyFont="1" applyFill="1" applyBorder="1" applyAlignment="1">
      <alignment horizontal="right" vertical="center"/>
    </xf>
    <xf numFmtId="0" fontId="0" fillId="17" borderId="0" xfId="0" applyFill="1"/>
    <xf numFmtId="14" fontId="56" fillId="17" borderId="1" xfId="0" applyNumberFormat="1" applyFont="1" applyFill="1" applyBorder="1" applyAlignment="1">
      <alignment horizontal="left"/>
    </xf>
    <xf numFmtId="14" fontId="56" fillId="20" borderId="1" xfId="0" applyNumberFormat="1" applyFont="1" applyFill="1" applyBorder="1" applyAlignment="1">
      <alignment horizontal="left"/>
    </xf>
    <xf numFmtId="49" fontId="56" fillId="20" borderId="1" xfId="0" applyNumberFormat="1" applyFont="1" applyFill="1" applyBorder="1" applyAlignment="1">
      <alignment horizontal="left"/>
    </xf>
    <xf numFmtId="0" fontId="56" fillId="20" borderId="1" xfId="0" applyFont="1" applyFill="1" applyBorder="1"/>
    <xf numFmtId="2" fontId="56" fillId="20" borderId="1" xfId="0" applyNumberFormat="1" applyFont="1" applyFill="1" applyBorder="1" applyAlignment="1">
      <alignment horizontal="right" vertical="center"/>
    </xf>
    <xf numFmtId="0" fontId="0" fillId="20" borderId="0" xfId="0" applyFill="1"/>
    <xf numFmtId="0" fontId="57" fillId="0" borderId="1" xfId="0" applyFont="1" applyBorder="1" applyAlignment="1">
      <alignment horizontal="center" vertical="center"/>
    </xf>
    <xf numFmtId="0" fontId="8" fillId="8" borderId="2" xfId="9" applyFont="1" applyFill="1" applyBorder="1" applyAlignment="1">
      <alignment horizontal="center" vertical="center"/>
    </xf>
    <xf numFmtId="0" fontId="3" fillId="8" borderId="6" xfId="9" applyFont="1" applyFill="1" applyBorder="1" applyAlignment="1">
      <alignment horizontal="center" vertical="center"/>
    </xf>
    <xf numFmtId="170" fontId="4" fillId="8" borderId="6" xfId="9" applyNumberFormat="1" applyFont="1" applyFill="1" applyBorder="1" applyAlignment="1">
      <alignment horizontal="center" vertical="center"/>
    </xf>
    <xf numFmtId="166" fontId="6" fillId="8" borderId="23" xfId="8" applyNumberFormat="1" applyFont="1" applyFill="1" applyBorder="1" applyAlignment="1">
      <alignment horizontal="center"/>
    </xf>
    <xf numFmtId="166" fontId="6" fillId="8" borderId="24" xfId="8" applyNumberFormat="1" applyFont="1" applyFill="1" applyBorder="1" applyAlignment="1">
      <alignment horizontal="center"/>
    </xf>
    <xf numFmtId="166" fontId="6" fillId="8" borderId="25" xfId="8" applyNumberFormat="1" applyFont="1" applyFill="1" applyBorder="1" applyAlignment="1">
      <alignment horizontal="center"/>
    </xf>
    <xf numFmtId="0" fontId="6" fillId="8" borderId="23" xfId="8" applyFont="1" applyFill="1" applyBorder="1" applyAlignment="1">
      <alignment horizontal="center" vertical="center"/>
    </xf>
    <xf numFmtId="0" fontId="6" fillId="8" borderId="24" xfId="8" applyFont="1" applyFill="1" applyBorder="1" applyAlignment="1">
      <alignment horizontal="center" vertical="center"/>
    </xf>
    <xf numFmtId="0" fontId="6" fillId="8" borderId="25" xfId="8" applyFont="1" applyFill="1" applyBorder="1" applyAlignment="1">
      <alignment horizontal="center" vertical="center"/>
    </xf>
    <xf numFmtId="0" fontId="8" fillId="8" borderId="26" xfId="9" applyFont="1" applyFill="1" applyBorder="1" applyAlignment="1">
      <alignment horizontal="center"/>
    </xf>
    <xf numFmtId="0" fontId="8" fillId="8" borderId="27" xfId="9" applyFont="1" applyFill="1" applyBorder="1" applyAlignment="1">
      <alignment horizontal="center"/>
    </xf>
    <xf numFmtId="0" fontId="8" fillId="8" borderId="28" xfId="9" applyFont="1" applyFill="1" applyBorder="1" applyAlignment="1">
      <alignment horizontal="center"/>
    </xf>
    <xf numFmtId="165" fontId="8" fillId="8" borderId="23" xfId="0" applyNumberFormat="1" applyFont="1" applyFill="1" applyBorder="1" applyAlignment="1">
      <alignment horizontal="center"/>
    </xf>
    <xf numFmtId="165" fontId="8" fillId="8" borderId="24" xfId="0" applyNumberFormat="1" applyFont="1" applyFill="1" applyBorder="1" applyAlignment="1">
      <alignment horizontal="center"/>
    </xf>
    <xf numFmtId="165" fontId="8" fillId="8" borderId="25" xfId="0" applyNumberFormat="1" applyFont="1" applyFill="1" applyBorder="1" applyAlignment="1">
      <alignment horizontal="center"/>
    </xf>
    <xf numFmtId="4" fontId="8" fillId="8" borderId="23" xfId="0" applyNumberFormat="1" applyFont="1" applyFill="1" applyBorder="1" applyAlignment="1">
      <alignment horizontal="center"/>
    </xf>
    <xf numFmtId="4" fontId="8" fillId="8" borderId="24" xfId="0" applyNumberFormat="1" applyFont="1" applyFill="1" applyBorder="1" applyAlignment="1">
      <alignment horizontal="center"/>
    </xf>
    <xf numFmtId="4" fontId="8" fillId="8" borderId="25" xfId="0" applyNumberFormat="1" applyFont="1" applyFill="1" applyBorder="1" applyAlignment="1">
      <alignment horizontal="center"/>
    </xf>
    <xf numFmtId="0" fontId="55" fillId="11" borderId="1" xfId="0" applyFont="1" applyFill="1" applyBorder="1" applyAlignment="1">
      <alignment horizontal="center"/>
    </xf>
    <xf numFmtId="165" fontId="10" fillId="8" borderId="24" xfId="0" applyNumberFormat="1" applyFont="1" applyFill="1" applyBorder="1" applyAlignment="1">
      <alignment horizontal="center"/>
    </xf>
    <xf numFmtId="165" fontId="10" fillId="8" borderId="25" xfId="0" applyNumberFormat="1" applyFont="1" applyFill="1" applyBorder="1" applyAlignment="1">
      <alignment horizontal="center"/>
    </xf>
    <xf numFmtId="0" fontId="6" fillId="8" borderId="23" xfId="9" applyFont="1" applyFill="1" applyBorder="1" applyAlignment="1">
      <alignment horizontal="center" vertical="center"/>
    </xf>
    <xf numFmtId="0" fontId="6" fillId="8" borderId="24" xfId="9" applyFont="1" applyFill="1" applyBorder="1" applyAlignment="1">
      <alignment horizontal="center" vertical="center"/>
    </xf>
    <xf numFmtId="0" fontId="6" fillId="8" borderId="25" xfId="9" applyFont="1" applyFill="1" applyBorder="1" applyAlignment="1">
      <alignment horizontal="center" vertical="center"/>
    </xf>
    <xf numFmtId="0" fontId="26" fillId="8" borderId="26" xfId="0" applyFont="1" applyFill="1" applyBorder="1" applyAlignment="1">
      <alignment horizontal="center"/>
    </xf>
    <xf numFmtId="0" fontId="26" fillId="8" borderId="27" xfId="0" applyFont="1" applyFill="1" applyBorder="1" applyAlignment="1">
      <alignment horizontal="center"/>
    </xf>
    <xf numFmtId="0" fontId="26" fillId="8" borderId="28" xfId="0" applyFont="1" applyFill="1" applyBorder="1" applyAlignment="1">
      <alignment horizontal="center"/>
    </xf>
    <xf numFmtId="0" fontId="32" fillId="0" borderId="23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4" fontId="0" fillId="18" borderId="23" xfId="0" applyNumberFormat="1" applyFill="1" applyBorder="1" applyAlignment="1">
      <alignment horizontal="center"/>
    </xf>
    <xf numFmtId="0" fontId="0" fillId="18" borderId="24" xfId="0" applyFill="1" applyBorder="1" applyAlignment="1">
      <alignment horizontal="center"/>
    </xf>
    <xf numFmtId="0" fontId="0" fillId="18" borderId="25" xfId="0" applyFill="1" applyBorder="1" applyAlignment="1">
      <alignment horizontal="center"/>
    </xf>
    <xf numFmtId="0" fontId="69" fillId="19" borderId="1" xfId="13" applyFont="1" applyBorder="1" applyAlignment="1">
      <alignment horizontal="center"/>
    </xf>
    <xf numFmtId="0" fontId="68" fillId="19" borderId="1" xfId="13" applyBorder="1" applyAlignment="1">
      <alignment horizontal="center"/>
    </xf>
  </cellXfs>
  <cellStyles count="14">
    <cellStyle name="Buena" xfId="12" builtinId="26"/>
    <cellStyle name="Error" xfId="1"/>
    <cellStyle name="Error 2" xfId="2"/>
    <cellStyle name="Incorrecto" xfId="13" builtinId="27"/>
    <cellStyle name="Millares" xfId="3" builtinId="3"/>
    <cellStyle name="Moneda" xfId="10" builtinId="4"/>
    <cellStyle name="Neutral" xfId="11" builtinId="28"/>
    <cellStyle name="No completar" xfId="4"/>
    <cellStyle name="No completar 2" xfId="5"/>
    <cellStyle name="Normal" xfId="0" builtinId="0"/>
    <cellStyle name="Normal 2" xfId="6"/>
    <cellStyle name="Normal 3" xfId="7"/>
    <cellStyle name="Normal 3_Compras-Ventas 2011_Compras y Ventas 2014" xfId="8"/>
    <cellStyle name="Normal 3_Compras-Ventas 2011_Compras y Ventas 2014_Compras-Ventas 2018" xfId="9"/>
  </cellStyles>
  <dxfs count="57"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  <dxf>
      <font>
        <b val="0"/>
        <condense val="0"/>
        <extend val="0"/>
        <color indexed="9"/>
      </font>
      <fill>
        <patternFill>
          <fgColor indexed="60"/>
          <bgColor indexed="1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8"/>
  <sheetViews>
    <sheetView topLeftCell="A537" zoomScale="150" zoomScaleNormal="150" workbookViewId="0">
      <selection activeCell="D547" sqref="D547"/>
    </sheetView>
  </sheetViews>
  <sheetFormatPr baseColWidth="10" defaultRowHeight="15"/>
  <cols>
    <col min="1" max="1" width="14" style="36" customWidth="1"/>
    <col min="2" max="2" width="34.42578125" customWidth="1"/>
    <col min="3" max="3" width="18.28515625" customWidth="1"/>
    <col min="6" max="6" width="14" style="98" bestFit="1" customWidth="1"/>
    <col min="7" max="7" width="11.42578125" style="98"/>
  </cols>
  <sheetData>
    <row r="1" spans="1:7">
      <c r="F1" s="99" t="s">
        <v>7</v>
      </c>
      <c r="G1" s="98" t="s">
        <v>34</v>
      </c>
    </row>
    <row r="2" spans="1:7" ht="15.75" thickBot="1">
      <c r="F2" s="99" t="s">
        <v>19</v>
      </c>
      <c r="G2" s="98" t="s">
        <v>32</v>
      </c>
    </row>
    <row r="3" spans="1:7" s="7" customFormat="1" ht="15.75" thickBot="1">
      <c r="A3" s="83" t="s">
        <v>7</v>
      </c>
      <c r="B3" s="97" t="s">
        <v>19</v>
      </c>
      <c r="C3" s="76" t="s">
        <v>2</v>
      </c>
      <c r="F3" s="99" t="s">
        <v>2</v>
      </c>
      <c r="G3" s="98" t="s">
        <v>33</v>
      </c>
    </row>
    <row r="4" spans="1:7">
      <c r="A4" s="84">
        <v>30628205090</v>
      </c>
      <c r="B4" s="77" t="s">
        <v>144</v>
      </c>
      <c r="C4" s="78" t="s">
        <v>80</v>
      </c>
    </row>
    <row r="5" spans="1:7">
      <c r="A5" s="236">
        <v>30711678820</v>
      </c>
      <c r="B5" s="79" t="s">
        <v>386</v>
      </c>
      <c r="C5" s="80" t="s">
        <v>41</v>
      </c>
    </row>
    <row r="6" spans="1:7">
      <c r="A6" s="204">
        <v>33716367539</v>
      </c>
      <c r="B6" s="77" t="s">
        <v>347</v>
      </c>
      <c r="C6" s="80" t="s">
        <v>41</v>
      </c>
    </row>
    <row r="7" spans="1:7">
      <c r="A7" s="84">
        <v>30660373108</v>
      </c>
      <c r="B7" s="77" t="s">
        <v>307</v>
      </c>
      <c r="C7" s="80" t="s">
        <v>54</v>
      </c>
    </row>
    <row r="8" spans="1:7">
      <c r="A8" s="84">
        <v>20300210881</v>
      </c>
      <c r="B8" s="77" t="s">
        <v>356</v>
      </c>
      <c r="C8" s="80" t="s">
        <v>41</v>
      </c>
    </row>
    <row r="9" spans="1:7">
      <c r="A9" s="84">
        <v>27229910782</v>
      </c>
      <c r="B9" s="77" t="s">
        <v>560</v>
      </c>
      <c r="C9" s="80" t="s">
        <v>41</v>
      </c>
    </row>
    <row r="10" spans="1:7">
      <c r="A10" s="84">
        <v>20242709897</v>
      </c>
      <c r="B10" s="77" t="s">
        <v>564</v>
      </c>
      <c r="C10" s="80" t="s">
        <v>41</v>
      </c>
    </row>
    <row r="11" spans="1:7">
      <c r="A11" s="84">
        <v>20281669053</v>
      </c>
      <c r="B11" s="77" t="s">
        <v>194</v>
      </c>
      <c r="C11" s="80" t="s">
        <v>36</v>
      </c>
    </row>
    <row r="12" spans="1:7">
      <c r="A12" s="84">
        <v>20174240125</v>
      </c>
      <c r="B12" s="77" t="s">
        <v>216</v>
      </c>
      <c r="C12" s="80" t="s">
        <v>54</v>
      </c>
    </row>
    <row r="13" spans="1:7">
      <c r="A13" s="84">
        <v>30641659106</v>
      </c>
      <c r="B13" s="77" t="s">
        <v>313</v>
      </c>
      <c r="C13" s="80" t="s">
        <v>54</v>
      </c>
    </row>
    <row r="14" spans="1:7">
      <c r="A14" s="84">
        <v>33709914109</v>
      </c>
      <c r="B14" s="77" t="s">
        <v>323</v>
      </c>
      <c r="C14" s="80" t="s">
        <v>54</v>
      </c>
    </row>
    <row r="15" spans="1:7">
      <c r="A15" s="204">
        <v>20267161616</v>
      </c>
      <c r="B15" s="77" t="s">
        <v>423</v>
      </c>
      <c r="C15" s="80" t="s">
        <v>54</v>
      </c>
    </row>
    <row r="16" spans="1:7">
      <c r="A16" s="92">
        <v>20110352108</v>
      </c>
      <c r="B16" s="77" t="s">
        <v>578</v>
      </c>
      <c r="C16" s="80" t="s">
        <v>124</v>
      </c>
    </row>
    <row r="17" spans="1:4">
      <c r="A17" s="85">
        <v>30645337979</v>
      </c>
      <c r="B17" s="81" t="s">
        <v>164</v>
      </c>
      <c r="C17" s="80" t="s">
        <v>80</v>
      </c>
    </row>
    <row r="18" spans="1:4">
      <c r="A18" s="84">
        <v>30656038752</v>
      </c>
      <c r="B18" s="77" t="s">
        <v>247</v>
      </c>
      <c r="C18" s="80" t="s">
        <v>43</v>
      </c>
    </row>
    <row r="19" spans="1:4">
      <c r="A19" s="84">
        <v>30707014756</v>
      </c>
      <c r="B19" s="77" t="s">
        <v>485</v>
      </c>
      <c r="C19" s="80" t="s">
        <v>54</v>
      </c>
    </row>
    <row r="20" spans="1:4">
      <c r="A20" s="86">
        <v>30716375176</v>
      </c>
      <c r="B20" s="77" t="s">
        <v>57</v>
      </c>
      <c r="C20" s="80" t="s">
        <v>41</v>
      </c>
    </row>
    <row r="21" spans="1:4">
      <c r="A21" s="204">
        <v>30710406037</v>
      </c>
      <c r="B21" s="77" t="s">
        <v>460</v>
      </c>
      <c r="C21" s="80" t="s">
        <v>41</v>
      </c>
      <c r="D21" s="100"/>
    </row>
    <row r="22" spans="1:4">
      <c r="A22" s="204">
        <v>30715678310</v>
      </c>
      <c r="B22" s="77" t="s">
        <v>237</v>
      </c>
      <c r="C22" s="80" t="s">
        <v>54</v>
      </c>
      <c r="D22" s="100"/>
    </row>
    <row r="23" spans="1:4">
      <c r="A23" s="92">
        <v>27265533006</v>
      </c>
      <c r="B23" s="77" t="s">
        <v>519</v>
      </c>
      <c r="C23" s="80" t="s">
        <v>41</v>
      </c>
    </row>
    <row r="24" spans="1:4">
      <c r="A24" s="84">
        <v>27133963524</v>
      </c>
      <c r="B24" s="77" t="s">
        <v>401</v>
      </c>
      <c r="C24" s="80" t="s">
        <v>41</v>
      </c>
    </row>
    <row r="25" spans="1:4">
      <c r="A25" s="86">
        <v>27101205733</v>
      </c>
      <c r="B25" s="81" t="s">
        <v>133</v>
      </c>
      <c r="C25" s="80" t="s">
        <v>41</v>
      </c>
    </row>
    <row r="26" spans="1:4">
      <c r="A26" s="86">
        <v>30574816870</v>
      </c>
      <c r="B26" s="77" t="s">
        <v>191</v>
      </c>
      <c r="C26" s="80" t="s">
        <v>192</v>
      </c>
    </row>
    <row r="27" spans="1:4">
      <c r="A27" s="84">
        <v>30710986416</v>
      </c>
      <c r="B27" s="77" t="s">
        <v>273</v>
      </c>
      <c r="C27" s="80" t="s">
        <v>43</v>
      </c>
    </row>
    <row r="28" spans="1:4">
      <c r="A28" s="84">
        <v>30683702060</v>
      </c>
      <c r="B28" s="77" t="s">
        <v>488</v>
      </c>
      <c r="C28" s="80" t="s">
        <v>41</v>
      </c>
    </row>
    <row r="29" spans="1:4">
      <c r="A29" s="84">
        <v>27252316057</v>
      </c>
      <c r="B29" s="77" t="s">
        <v>522</v>
      </c>
      <c r="C29" s="80" t="s">
        <v>38</v>
      </c>
    </row>
    <row r="30" spans="1:4">
      <c r="A30" s="84">
        <v>30711492409</v>
      </c>
      <c r="B30" s="77" t="s">
        <v>410</v>
      </c>
      <c r="C30" s="80" t="s">
        <v>41</v>
      </c>
    </row>
    <row r="31" spans="1:4">
      <c r="A31" s="84">
        <v>30600907553</v>
      </c>
      <c r="B31" s="77" t="s">
        <v>209</v>
      </c>
      <c r="C31" s="80" t="s">
        <v>54</v>
      </c>
    </row>
    <row r="32" spans="1:4">
      <c r="A32" s="204">
        <v>30715290835</v>
      </c>
      <c r="B32" s="79" t="s">
        <v>422</v>
      </c>
      <c r="C32" s="80" t="s">
        <v>54</v>
      </c>
    </row>
    <row r="33" spans="1:7">
      <c r="A33" s="84">
        <v>30708973501</v>
      </c>
      <c r="B33" s="79" t="s">
        <v>63</v>
      </c>
      <c r="C33" s="80" t="s">
        <v>43</v>
      </c>
    </row>
    <row r="34" spans="1:7">
      <c r="A34" s="85">
        <v>30590354798</v>
      </c>
      <c r="B34" s="81" t="s">
        <v>81</v>
      </c>
      <c r="C34" s="80" t="s">
        <v>80</v>
      </c>
    </row>
    <row r="35" spans="1:7">
      <c r="A35" s="39">
        <v>30690973517</v>
      </c>
      <c r="B35" s="79" t="s">
        <v>352</v>
      </c>
      <c r="C35" s="80" t="s">
        <v>80</v>
      </c>
    </row>
    <row r="36" spans="1:7">
      <c r="A36" s="84">
        <v>30714416622</v>
      </c>
      <c r="B36" s="79" t="s">
        <v>257</v>
      </c>
      <c r="C36" s="80" t="s">
        <v>54</v>
      </c>
    </row>
    <row r="37" spans="1:7">
      <c r="A37" s="84">
        <v>30708436506</v>
      </c>
      <c r="B37" s="79" t="s">
        <v>285</v>
      </c>
      <c r="C37" s="80" t="s">
        <v>80</v>
      </c>
    </row>
    <row r="38" spans="1:7">
      <c r="A38" s="241">
        <v>30677237119</v>
      </c>
      <c r="B38" s="242" t="s">
        <v>432</v>
      </c>
      <c r="C38" s="243" t="s">
        <v>374</v>
      </c>
    </row>
    <row r="39" spans="1:7">
      <c r="A39" s="204">
        <v>30574876474</v>
      </c>
      <c r="B39" s="79" t="s">
        <v>373</v>
      </c>
      <c r="C39" s="80" t="s">
        <v>374</v>
      </c>
    </row>
    <row r="40" spans="1:7">
      <c r="A40" s="84">
        <v>20379223185</v>
      </c>
      <c r="B40" s="79" t="s">
        <v>409</v>
      </c>
      <c r="C40" s="80" t="s">
        <v>41</v>
      </c>
    </row>
    <row r="41" spans="1:7">
      <c r="A41" s="84">
        <v>33714662819</v>
      </c>
      <c r="B41" s="79" t="s">
        <v>47</v>
      </c>
      <c r="C41" s="80" t="s">
        <v>41</v>
      </c>
    </row>
    <row r="42" spans="1:7">
      <c r="A42" s="86">
        <v>33716314869</v>
      </c>
      <c r="B42" s="79" t="s">
        <v>58</v>
      </c>
      <c r="C42" s="80" t="s">
        <v>41</v>
      </c>
    </row>
    <row r="43" spans="1:7">
      <c r="A43" s="84">
        <v>30715923374</v>
      </c>
      <c r="B43" s="79" t="s">
        <v>223</v>
      </c>
      <c r="C43" s="80" t="s">
        <v>41</v>
      </c>
    </row>
    <row r="44" spans="1:7">
      <c r="A44" s="84">
        <v>33714642079</v>
      </c>
      <c r="B44" s="77" t="s">
        <v>212</v>
      </c>
      <c r="C44" s="82" t="s">
        <v>54</v>
      </c>
    </row>
    <row r="45" spans="1:7">
      <c r="A45" s="84">
        <v>33711430879</v>
      </c>
      <c r="B45" s="77" t="s">
        <v>280</v>
      </c>
      <c r="C45" s="82" t="s">
        <v>41</v>
      </c>
    </row>
    <row r="46" spans="1:7">
      <c r="A46" s="84">
        <v>33716391049</v>
      </c>
      <c r="B46" s="77" t="s">
        <v>284</v>
      </c>
      <c r="C46" s="82" t="s">
        <v>54</v>
      </c>
    </row>
    <row r="47" spans="1:7">
      <c r="A47" s="84">
        <v>30707267077</v>
      </c>
      <c r="B47" s="77" t="s">
        <v>408</v>
      </c>
      <c r="C47" s="82" t="s">
        <v>41</v>
      </c>
      <c r="F47"/>
      <c r="G47"/>
    </row>
    <row r="48" spans="1:7">
      <c r="A48" s="84">
        <v>20109274268</v>
      </c>
      <c r="B48" s="77" t="s">
        <v>270</v>
      </c>
      <c r="C48" s="82" t="s">
        <v>36</v>
      </c>
      <c r="F48"/>
      <c r="G48"/>
    </row>
    <row r="49" spans="1:7">
      <c r="A49" s="84">
        <v>20172955763</v>
      </c>
      <c r="B49" s="77" t="s">
        <v>415</v>
      </c>
      <c r="C49" s="82" t="s">
        <v>41</v>
      </c>
      <c r="F49"/>
      <c r="G49"/>
    </row>
    <row r="50" spans="1:7">
      <c r="A50" s="84">
        <v>20119743959</v>
      </c>
      <c r="B50" s="77" t="s">
        <v>338</v>
      </c>
      <c r="C50" s="82" t="s">
        <v>41</v>
      </c>
      <c r="F50"/>
      <c r="G50"/>
    </row>
    <row r="51" spans="1:7">
      <c r="A51" s="84">
        <v>30711091552</v>
      </c>
      <c r="B51" s="77" t="s">
        <v>245</v>
      </c>
      <c r="C51" s="82" t="s">
        <v>54</v>
      </c>
      <c r="F51"/>
      <c r="G51"/>
    </row>
    <row r="52" spans="1:7">
      <c r="A52" s="85">
        <v>30715833243</v>
      </c>
      <c r="B52" s="77" t="s">
        <v>152</v>
      </c>
      <c r="C52" s="82" t="s">
        <v>41</v>
      </c>
      <c r="F52"/>
      <c r="G52"/>
    </row>
    <row r="53" spans="1:7">
      <c r="A53" s="86">
        <v>30712230459</v>
      </c>
      <c r="B53" s="77" t="s">
        <v>60</v>
      </c>
      <c r="C53" s="82" t="s">
        <v>41</v>
      </c>
      <c r="F53"/>
      <c r="G53"/>
    </row>
    <row r="54" spans="1:7">
      <c r="A54" s="84">
        <v>27265832178</v>
      </c>
      <c r="B54" s="77" t="s">
        <v>481</v>
      </c>
      <c r="C54" s="82" t="s">
        <v>41</v>
      </c>
      <c r="F54"/>
      <c r="G54"/>
    </row>
    <row r="55" spans="1:7">
      <c r="A55" s="84">
        <v>20043137817</v>
      </c>
      <c r="B55" s="77" t="s">
        <v>535</v>
      </c>
      <c r="C55" s="82" t="s">
        <v>54</v>
      </c>
      <c r="F55"/>
      <c r="G55"/>
    </row>
    <row r="56" spans="1:7">
      <c r="A56" s="84">
        <v>20400104094</v>
      </c>
      <c r="B56" s="77" t="s">
        <v>236</v>
      </c>
      <c r="C56" s="82" t="s">
        <v>38</v>
      </c>
      <c r="F56"/>
      <c r="G56"/>
    </row>
    <row r="57" spans="1:7">
      <c r="A57" s="85">
        <v>20086277523</v>
      </c>
      <c r="B57" s="77" t="s">
        <v>37</v>
      </c>
      <c r="C57" s="82" t="s">
        <v>38</v>
      </c>
      <c r="F57"/>
      <c r="G57"/>
    </row>
    <row r="58" spans="1:7">
      <c r="A58" s="84">
        <v>20389908569</v>
      </c>
      <c r="B58" s="77" t="s">
        <v>281</v>
      </c>
      <c r="C58" s="82" t="s">
        <v>38</v>
      </c>
      <c r="F58"/>
      <c r="G58"/>
    </row>
    <row r="59" spans="1:7">
      <c r="A59" s="92">
        <v>33714174539</v>
      </c>
      <c r="B59" s="77" t="s">
        <v>366</v>
      </c>
      <c r="C59" s="82" t="s">
        <v>41</v>
      </c>
      <c r="F59"/>
      <c r="G59"/>
    </row>
    <row r="60" spans="1:7">
      <c r="A60" s="92">
        <v>20291406212</v>
      </c>
      <c r="B60" s="77" t="s">
        <v>403</v>
      </c>
      <c r="C60" s="82" t="s">
        <v>41</v>
      </c>
      <c r="F60"/>
      <c r="G60"/>
    </row>
    <row r="61" spans="1:7">
      <c r="A61" s="92">
        <v>30716371812</v>
      </c>
      <c r="B61" s="77" t="s">
        <v>549</v>
      </c>
      <c r="C61" s="82" t="s">
        <v>41</v>
      </c>
      <c r="F61"/>
      <c r="G61"/>
    </row>
    <row r="62" spans="1:7">
      <c r="A62" s="84">
        <v>27211511023</v>
      </c>
      <c r="B62" s="77" t="s">
        <v>262</v>
      </c>
      <c r="C62" s="82" t="s">
        <v>41</v>
      </c>
      <c r="F62"/>
      <c r="G62"/>
    </row>
    <row r="63" spans="1:7">
      <c r="A63" s="84">
        <v>30714295957</v>
      </c>
      <c r="B63" s="77" t="s">
        <v>439</v>
      </c>
      <c r="C63" s="82" t="s">
        <v>54</v>
      </c>
      <c r="F63"/>
      <c r="G63"/>
    </row>
    <row r="64" spans="1:7">
      <c r="A64" s="84">
        <v>27289847141</v>
      </c>
      <c r="B64" s="77" t="s">
        <v>290</v>
      </c>
      <c r="C64" s="82" t="s">
        <v>54</v>
      </c>
    </row>
    <row r="65" spans="1:3">
      <c r="A65" s="84">
        <v>23255855204</v>
      </c>
      <c r="B65" s="77" t="s">
        <v>509</v>
      </c>
      <c r="C65" s="82" t="s">
        <v>36</v>
      </c>
    </row>
    <row r="66" spans="1:3">
      <c r="A66" s="241">
        <v>27338342840</v>
      </c>
      <c r="B66" s="231" t="s">
        <v>435</v>
      </c>
      <c r="C66" s="232" t="s">
        <v>41</v>
      </c>
    </row>
    <row r="67" spans="1:3">
      <c r="A67" s="84">
        <v>30709876135</v>
      </c>
      <c r="B67" s="77" t="s">
        <v>150</v>
      </c>
      <c r="C67" s="82" t="s">
        <v>41</v>
      </c>
    </row>
    <row r="68" spans="1:3">
      <c r="A68" s="84">
        <v>30571666037</v>
      </c>
      <c r="B68" s="77" t="s">
        <v>581</v>
      </c>
      <c r="C68" s="82" t="s">
        <v>54</v>
      </c>
    </row>
    <row r="69" spans="1:3">
      <c r="A69" s="84">
        <v>27364044319</v>
      </c>
      <c r="B69" s="77" t="s">
        <v>154</v>
      </c>
      <c r="C69" s="82" t="s">
        <v>41</v>
      </c>
    </row>
    <row r="70" spans="1:3">
      <c r="A70" s="84">
        <v>30715116274</v>
      </c>
      <c r="B70" s="81" t="s">
        <v>136</v>
      </c>
      <c r="C70" s="82" t="s">
        <v>41</v>
      </c>
    </row>
    <row r="71" spans="1:3">
      <c r="A71" s="84">
        <v>27326703384</v>
      </c>
      <c r="B71" s="77" t="s">
        <v>507</v>
      </c>
      <c r="C71" s="82" t="s">
        <v>124</v>
      </c>
    </row>
    <row r="72" spans="1:3">
      <c r="A72" s="84">
        <v>20129871947</v>
      </c>
      <c r="B72" s="77" t="s">
        <v>213</v>
      </c>
      <c r="C72" s="82" t="s">
        <v>41</v>
      </c>
    </row>
    <row r="73" spans="1:3">
      <c r="A73" s="91">
        <v>30648604021</v>
      </c>
      <c r="B73" s="77" t="s">
        <v>495</v>
      </c>
      <c r="C73" s="82" t="s">
        <v>41</v>
      </c>
    </row>
    <row r="74" spans="1:3">
      <c r="A74" s="91">
        <v>20372769808</v>
      </c>
      <c r="B74" s="77" t="s">
        <v>436</v>
      </c>
      <c r="C74" s="82" t="s">
        <v>54</v>
      </c>
    </row>
    <row r="75" spans="1:3">
      <c r="A75" s="92">
        <v>30575818826</v>
      </c>
      <c r="B75" s="77" t="s">
        <v>275</v>
      </c>
      <c r="C75" s="82" t="s">
        <v>54</v>
      </c>
    </row>
    <row r="76" spans="1:3">
      <c r="A76" s="92">
        <v>30575945232</v>
      </c>
      <c r="B76" s="77" t="s">
        <v>211</v>
      </c>
      <c r="C76" s="82" t="s">
        <v>54</v>
      </c>
    </row>
    <row r="77" spans="1:3">
      <c r="A77" s="237">
        <v>33712276539</v>
      </c>
      <c r="B77" s="77" t="s">
        <v>355</v>
      </c>
      <c r="C77" s="82" t="s">
        <v>54</v>
      </c>
    </row>
    <row r="78" spans="1:3">
      <c r="A78" s="92">
        <v>30716174766</v>
      </c>
      <c r="B78" s="77" t="s">
        <v>342</v>
      </c>
      <c r="C78" s="82" t="s">
        <v>41</v>
      </c>
    </row>
    <row r="79" spans="1:3">
      <c r="A79" s="92">
        <v>33715179119</v>
      </c>
      <c r="B79" s="77" t="s">
        <v>361</v>
      </c>
      <c r="C79" s="82" t="s">
        <v>54</v>
      </c>
    </row>
    <row r="80" spans="1:3">
      <c r="A80" s="237">
        <v>30590360763</v>
      </c>
      <c r="B80" s="77" t="s">
        <v>354</v>
      </c>
      <c r="C80" s="82" t="s">
        <v>54</v>
      </c>
    </row>
    <row r="81" spans="1:3">
      <c r="A81" s="92">
        <v>30707612971</v>
      </c>
      <c r="B81" s="77" t="s">
        <v>75</v>
      </c>
      <c r="C81" s="82" t="s">
        <v>80</v>
      </c>
    </row>
    <row r="82" spans="1:3">
      <c r="A82" s="92">
        <v>30714758116</v>
      </c>
      <c r="B82" s="77" t="s">
        <v>561</v>
      </c>
      <c r="C82" s="82" t="s">
        <v>41</v>
      </c>
    </row>
    <row r="83" spans="1:3">
      <c r="A83" s="92">
        <v>27318630157</v>
      </c>
      <c r="B83" s="77" t="s">
        <v>596</v>
      </c>
      <c r="C83" s="82" t="s">
        <v>54</v>
      </c>
    </row>
    <row r="84" spans="1:3">
      <c r="A84" s="238">
        <v>30707535934</v>
      </c>
      <c r="B84" s="77" t="s">
        <v>306</v>
      </c>
      <c r="C84" s="82" t="s">
        <v>54</v>
      </c>
    </row>
    <row r="85" spans="1:3">
      <c r="A85" s="92">
        <v>30696692951</v>
      </c>
      <c r="B85" s="77" t="s">
        <v>577</v>
      </c>
      <c r="C85" s="82" t="s">
        <v>54</v>
      </c>
    </row>
    <row r="86" spans="1:3">
      <c r="A86" s="237">
        <v>30594832783</v>
      </c>
      <c r="B86" s="77" t="s">
        <v>392</v>
      </c>
      <c r="C86" s="82" t="s">
        <v>54</v>
      </c>
    </row>
    <row r="87" spans="1:3">
      <c r="A87" s="92">
        <v>30707986189</v>
      </c>
      <c r="B87" s="81" t="s">
        <v>231</v>
      </c>
      <c r="C87" s="82" t="s">
        <v>41</v>
      </c>
    </row>
    <row r="88" spans="1:3">
      <c r="A88" s="93">
        <v>23334822869</v>
      </c>
      <c r="B88" s="77" t="s">
        <v>483</v>
      </c>
      <c r="C88" s="82" t="s">
        <v>54</v>
      </c>
    </row>
    <row r="89" spans="1:3">
      <c r="A89" s="204">
        <v>23258785479</v>
      </c>
      <c r="B89" s="77" t="s">
        <v>459</v>
      </c>
      <c r="C89" s="82" t="s">
        <v>54</v>
      </c>
    </row>
    <row r="90" spans="1:3">
      <c r="A90" s="84">
        <v>20274215632</v>
      </c>
      <c r="B90" s="77" t="s">
        <v>587</v>
      </c>
      <c r="C90" s="82" t="s">
        <v>54</v>
      </c>
    </row>
    <row r="91" spans="1:3">
      <c r="A91" s="84">
        <v>30688140923</v>
      </c>
      <c r="B91" s="77" t="s">
        <v>196</v>
      </c>
      <c r="C91" s="82" t="s">
        <v>41</v>
      </c>
    </row>
    <row r="92" spans="1:3">
      <c r="A92" s="204">
        <v>30708736186</v>
      </c>
      <c r="B92" s="77" t="s">
        <v>597</v>
      </c>
      <c r="C92" s="82" t="s">
        <v>54</v>
      </c>
    </row>
    <row r="93" spans="1:3">
      <c r="A93" s="84">
        <v>23359537069</v>
      </c>
      <c r="B93" s="77" t="s">
        <v>512</v>
      </c>
      <c r="C93" s="82" t="s">
        <v>41</v>
      </c>
    </row>
    <row r="94" spans="1:3">
      <c r="A94" s="92">
        <v>33710268059</v>
      </c>
      <c r="B94" s="77" t="s">
        <v>215</v>
      </c>
      <c r="C94" s="82" t="s">
        <v>43</v>
      </c>
    </row>
    <row r="95" spans="1:3">
      <c r="A95" s="88">
        <v>30605344352</v>
      </c>
      <c r="B95" s="77" t="s">
        <v>49</v>
      </c>
      <c r="C95" s="82" t="s">
        <v>48</v>
      </c>
    </row>
    <row r="96" spans="1:3">
      <c r="A96" s="92">
        <v>20134281783</v>
      </c>
      <c r="B96" s="77" t="s">
        <v>149</v>
      </c>
      <c r="C96" s="82" t="s">
        <v>41</v>
      </c>
    </row>
    <row r="97" spans="1:3">
      <c r="A97" s="240">
        <v>30682998330</v>
      </c>
      <c r="B97" s="77" t="s">
        <v>365</v>
      </c>
      <c r="C97" s="82" t="s">
        <v>54</v>
      </c>
    </row>
    <row r="98" spans="1:3">
      <c r="A98" s="84">
        <v>20200212143</v>
      </c>
      <c r="B98" s="77" t="s">
        <v>310</v>
      </c>
      <c r="C98" s="82" t="s">
        <v>54</v>
      </c>
    </row>
    <row r="99" spans="1:3">
      <c r="A99" s="237">
        <v>20233248283</v>
      </c>
      <c r="B99" s="77" t="s">
        <v>345</v>
      </c>
      <c r="C99" s="82" t="s">
        <v>41</v>
      </c>
    </row>
    <row r="100" spans="1:3">
      <c r="A100" s="84">
        <v>33699685459</v>
      </c>
      <c r="B100" s="77" t="s">
        <v>335</v>
      </c>
      <c r="C100" s="82" t="s">
        <v>54</v>
      </c>
    </row>
    <row r="101" spans="1:3">
      <c r="A101" s="86">
        <v>30708574836</v>
      </c>
      <c r="B101" s="77" t="s">
        <v>187</v>
      </c>
      <c r="C101" s="82" t="s">
        <v>186</v>
      </c>
    </row>
    <row r="102" spans="1:3">
      <c r="A102" s="84">
        <v>27065000216</v>
      </c>
      <c r="B102" s="77" t="s">
        <v>318</v>
      </c>
      <c r="C102" s="82" t="s">
        <v>41</v>
      </c>
    </row>
    <row r="103" spans="1:3">
      <c r="A103" s="87">
        <v>30548083156</v>
      </c>
      <c r="B103" s="81" t="s">
        <v>126</v>
      </c>
      <c r="C103" s="82" t="s">
        <v>124</v>
      </c>
    </row>
    <row r="104" spans="1:3">
      <c r="A104" s="84">
        <v>30696850972</v>
      </c>
      <c r="B104" s="77" t="s">
        <v>375</v>
      </c>
      <c r="C104" s="82" t="s">
        <v>39</v>
      </c>
    </row>
    <row r="105" spans="1:3">
      <c r="A105" s="84">
        <v>30709175897</v>
      </c>
      <c r="B105" s="77" t="s">
        <v>377</v>
      </c>
      <c r="C105" s="82" t="s">
        <v>54</v>
      </c>
    </row>
    <row r="106" spans="1:3">
      <c r="A106" s="84">
        <v>30707833293</v>
      </c>
      <c r="B106" s="77" t="s">
        <v>437</v>
      </c>
      <c r="C106" s="82" t="s">
        <v>41</v>
      </c>
    </row>
    <row r="107" spans="1:3">
      <c r="A107" s="84">
        <v>33708543409</v>
      </c>
      <c r="B107" s="77" t="s">
        <v>538</v>
      </c>
      <c r="C107" s="82" t="s">
        <v>54</v>
      </c>
    </row>
    <row r="108" spans="1:3">
      <c r="A108" s="84">
        <v>30715242903</v>
      </c>
      <c r="B108" s="81" t="s">
        <v>174</v>
      </c>
      <c r="C108" s="82" t="s">
        <v>41</v>
      </c>
    </row>
    <row r="109" spans="1:3">
      <c r="A109" s="84">
        <v>30711275106</v>
      </c>
      <c r="B109" s="77" t="s">
        <v>334</v>
      </c>
      <c r="C109" s="82" t="s">
        <v>54</v>
      </c>
    </row>
    <row r="110" spans="1:3">
      <c r="A110" s="85">
        <v>30516186670</v>
      </c>
      <c r="B110" s="81" t="s">
        <v>162</v>
      </c>
      <c r="C110" s="82" t="s">
        <v>54</v>
      </c>
    </row>
    <row r="111" spans="1:3">
      <c r="A111" s="204">
        <v>27340766445</v>
      </c>
      <c r="B111" s="77" t="s">
        <v>383</v>
      </c>
      <c r="C111" s="82" t="s">
        <v>54</v>
      </c>
    </row>
    <row r="112" spans="1:3">
      <c r="A112" s="198">
        <v>20403969886</v>
      </c>
      <c r="B112" s="77" t="s">
        <v>398</v>
      </c>
      <c r="C112" s="82" t="s">
        <v>41</v>
      </c>
    </row>
    <row r="113" spans="1:3">
      <c r="A113" s="84">
        <v>20253515512</v>
      </c>
      <c r="B113" s="77" t="s">
        <v>539</v>
      </c>
      <c r="C113" s="82" t="s">
        <v>41</v>
      </c>
    </row>
    <row r="114" spans="1:3">
      <c r="A114" s="84">
        <v>33716792299</v>
      </c>
      <c r="B114" s="77" t="s">
        <v>417</v>
      </c>
      <c r="C114" s="82" t="s">
        <v>54</v>
      </c>
    </row>
    <row r="115" spans="1:3">
      <c r="A115" s="84">
        <v>30708656018</v>
      </c>
      <c r="B115" s="77" t="s">
        <v>558</v>
      </c>
      <c r="C115" s="82" t="s">
        <v>54</v>
      </c>
    </row>
    <row r="116" spans="1:3">
      <c r="A116" s="84">
        <v>20167634436</v>
      </c>
      <c r="B116" s="77" t="s">
        <v>229</v>
      </c>
      <c r="C116" s="82" t="s">
        <v>54</v>
      </c>
    </row>
    <row r="117" spans="1:3">
      <c r="A117" s="92">
        <v>30701307115</v>
      </c>
      <c r="B117" s="77" t="s">
        <v>286</v>
      </c>
      <c r="C117" s="82" t="s">
        <v>36</v>
      </c>
    </row>
    <row r="118" spans="1:3">
      <c r="A118" s="92">
        <v>30708285818</v>
      </c>
      <c r="B118" s="77" t="s">
        <v>514</v>
      </c>
      <c r="C118" s="82" t="s">
        <v>41</v>
      </c>
    </row>
    <row r="119" spans="1:3">
      <c r="A119" s="238">
        <v>20325314983</v>
      </c>
      <c r="B119" s="77" t="s">
        <v>348</v>
      </c>
      <c r="C119" s="82" t="s">
        <v>41</v>
      </c>
    </row>
    <row r="120" spans="1:3">
      <c r="A120" s="94">
        <v>20107037021</v>
      </c>
      <c r="B120" s="77" t="s">
        <v>317</v>
      </c>
      <c r="C120" s="82" t="s">
        <v>41</v>
      </c>
    </row>
    <row r="121" spans="1:3">
      <c r="A121" s="94">
        <v>20045615473</v>
      </c>
      <c r="B121" s="77" t="s">
        <v>42</v>
      </c>
      <c r="C121" s="82" t="s">
        <v>43</v>
      </c>
    </row>
    <row r="122" spans="1:3">
      <c r="A122" s="84">
        <v>30685849751</v>
      </c>
      <c r="B122" s="77" t="s">
        <v>552</v>
      </c>
      <c r="C122" s="82" t="s">
        <v>54</v>
      </c>
    </row>
    <row r="123" spans="1:3">
      <c r="A123" s="92">
        <v>30708155795</v>
      </c>
      <c r="B123" s="77" t="s">
        <v>528</v>
      </c>
      <c r="C123" s="82" t="s">
        <v>41</v>
      </c>
    </row>
    <row r="124" spans="1:3">
      <c r="A124" s="92">
        <v>27948446168</v>
      </c>
      <c r="B124" s="77" t="s">
        <v>282</v>
      </c>
      <c r="C124" s="82" t="s">
        <v>41</v>
      </c>
    </row>
    <row r="125" spans="1:3">
      <c r="A125" s="92">
        <v>20219935464</v>
      </c>
      <c r="B125" s="77" t="s">
        <v>276</v>
      </c>
      <c r="C125" s="82" t="s">
        <v>36</v>
      </c>
    </row>
    <row r="126" spans="1:3">
      <c r="A126" s="86">
        <v>20271532483</v>
      </c>
      <c r="B126" s="77" t="s">
        <v>53</v>
      </c>
      <c r="C126" s="82" t="s">
        <v>41</v>
      </c>
    </row>
    <row r="127" spans="1:3">
      <c r="A127" s="84">
        <v>30541849307</v>
      </c>
      <c r="B127" s="77" t="s">
        <v>287</v>
      </c>
      <c r="C127" s="82" t="s">
        <v>54</v>
      </c>
    </row>
    <row r="128" spans="1:3">
      <c r="A128" s="92">
        <v>20243132852</v>
      </c>
      <c r="B128" s="77" t="s">
        <v>591</v>
      </c>
      <c r="C128" s="82" t="s">
        <v>592</v>
      </c>
    </row>
    <row r="129" spans="1:3">
      <c r="A129" s="237">
        <v>30711510822</v>
      </c>
      <c r="B129" s="77" t="s">
        <v>454</v>
      </c>
      <c r="C129" s="82" t="s">
        <v>54</v>
      </c>
    </row>
    <row r="130" spans="1:3">
      <c r="A130" s="92">
        <v>30694549817</v>
      </c>
      <c r="B130" s="77" t="s">
        <v>251</v>
      </c>
      <c r="C130" s="82" t="s">
        <v>41</v>
      </c>
    </row>
    <row r="131" spans="1:3">
      <c r="A131" s="92">
        <v>30715819461</v>
      </c>
      <c r="B131" s="77" t="s">
        <v>533</v>
      </c>
      <c r="C131" s="82" t="s">
        <v>51</v>
      </c>
    </row>
    <row r="132" spans="1:3" ht="15.75" thickBot="1">
      <c r="A132" s="92">
        <v>30710374801</v>
      </c>
      <c r="B132" s="81" t="s">
        <v>159</v>
      </c>
      <c r="C132" s="82" t="s">
        <v>51</v>
      </c>
    </row>
    <row r="133" spans="1:3">
      <c r="A133" s="92">
        <v>30716884631</v>
      </c>
      <c r="B133" s="77" t="s">
        <v>536</v>
      </c>
      <c r="C133" s="78" t="s">
        <v>54</v>
      </c>
    </row>
    <row r="134" spans="1:3">
      <c r="A134" s="92">
        <v>27206941419</v>
      </c>
      <c r="B134" s="77" t="s">
        <v>520</v>
      </c>
      <c r="C134" s="82" t="s">
        <v>38</v>
      </c>
    </row>
    <row r="135" spans="1:3">
      <c r="A135" s="92">
        <v>30702966066</v>
      </c>
      <c r="B135" s="77" t="s">
        <v>240</v>
      </c>
      <c r="C135" s="82" t="s">
        <v>41</v>
      </c>
    </row>
    <row r="136" spans="1:3">
      <c r="A136" s="88">
        <v>23281233084</v>
      </c>
      <c r="B136" s="77" t="s">
        <v>184</v>
      </c>
      <c r="C136" s="82" t="s">
        <v>185</v>
      </c>
    </row>
    <row r="137" spans="1:3">
      <c r="A137" s="92">
        <v>20211398060</v>
      </c>
      <c r="B137" s="77" t="s">
        <v>387</v>
      </c>
      <c r="C137" s="82" t="s">
        <v>41</v>
      </c>
    </row>
    <row r="138" spans="1:3">
      <c r="A138" s="237">
        <v>30711727236</v>
      </c>
      <c r="B138" s="77" t="s">
        <v>349</v>
      </c>
      <c r="C138" s="82" t="s">
        <v>54</v>
      </c>
    </row>
    <row r="139" spans="1:3">
      <c r="A139" s="92">
        <v>30714318221</v>
      </c>
      <c r="B139" s="77" t="s">
        <v>292</v>
      </c>
      <c r="C139" s="82" t="s">
        <v>54</v>
      </c>
    </row>
    <row r="140" spans="1:3">
      <c r="A140" s="92">
        <v>20083442612</v>
      </c>
      <c r="B140" s="77" t="s">
        <v>442</v>
      </c>
      <c r="C140" s="82" t="s">
        <v>54</v>
      </c>
    </row>
    <row r="141" spans="1:3">
      <c r="A141" s="89">
        <v>30537882871</v>
      </c>
      <c r="B141" s="81" t="s">
        <v>121</v>
      </c>
      <c r="C141" s="82" t="s">
        <v>43</v>
      </c>
    </row>
    <row r="142" spans="1:3">
      <c r="A142" s="92">
        <v>30593630338</v>
      </c>
      <c r="B142" s="77" t="s">
        <v>393</v>
      </c>
      <c r="C142" s="82" t="s">
        <v>54</v>
      </c>
    </row>
    <row r="143" spans="1:3">
      <c r="A143" s="92">
        <v>30696676026</v>
      </c>
      <c r="B143" s="77" t="s">
        <v>541</v>
      </c>
      <c r="C143" s="82" t="s">
        <v>41</v>
      </c>
    </row>
    <row r="144" spans="1:3">
      <c r="A144" s="92">
        <v>30686489325</v>
      </c>
      <c r="B144" s="77" t="s">
        <v>471</v>
      </c>
      <c r="C144" s="82" t="s">
        <v>54</v>
      </c>
    </row>
    <row r="145" spans="1:3">
      <c r="A145" s="92">
        <v>30709131865</v>
      </c>
      <c r="B145" s="77" t="s">
        <v>265</v>
      </c>
      <c r="C145" s="82" t="s">
        <v>54</v>
      </c>
    </row>
    <row r="146" spans="1:3">
      <c r="A146" s="90">
        <v>20259499632</v>
      </c>
      <c r="B146" s="77" t="s">
        <v>182</v>
      </c>
      <c r="C146" s="82" t="s">
        <v>183</v>
      </c>
    </row>
    <row r="147" spans="1:3">
      <c r="A147" s="92">
        <v>30588092468</v>
      </c>
      <c r="B147" s="77" t="s">
        <v>341</v>
      </c>
      <c r="C147" s="82" t="s">
        <v>54</v>
      </c>
    </row>
    <row r="148" spans="1:3">
      <c r="A148" s="92">
        <v>30707118454</v>
      </c>
      <c r="B148" s="77" t="s">
        <v>462</v>
      </c>
      <c r="C148" s="82" t="s">
        <v>80</v>
      </c>
    </row>
    <row r="149" spans="1:3">
      <c r="A149" s="92">
        <v>30709368067</v>
      </c>
      <c r="B149" s="81" t="s">
        <v>160</v>
      </c>
      <c r="C149" s="82" t="s">
        <v>51</v>
      </c>
    </row>
    <row r="150" spans="1:3">
      <c r="A150" s="92">
        <v>20140958213</v>
      </c>
      <c r="B150" s="77" t="s">
        <v>406</v>
      </c>
      <c r="C150" s="82" t="s">
        <v>41</v>
      </c>
    </row>
    <row r="151" spans="1:3">
      <c r="A151" s="92">
        <v>30659276964</v>
      </c>
      <c r="B151" s="77" t="s">
        <v>531</v>
      </c>
      <c r="C151" s="82" t="s">
        <v>532</v>
      </c>
    </row>
    <row r="152" spans="1:3">
      <c r="A152" s="92">
        <v>20145036101</v>
      </c>
      <c r="B152" s="77" t="s">
        <v>289</v>
      </c>
      <c r="C152" s="82" t="s">
        <v>36</v>
      </c>
    </row>
    <row r="153" spans="1:3">
      <c r="A153" s="92">
        <v>30711328498</v>
      </c>
      <c r="B153" s="77" t="s">
        <v>599</v>
      </c>
      <c r="C153" s="82" t="s">
        <v>592</v>
      </c>
    </row>
    <row r="154" spans="1:3">
      <c r="A154" s="92">
        <v>30715537512</v>
      </c>
      <c r="B154" s="77" t="s">
        <v>444</v>
      </c>
      <c r="C154" s="82" t="s">
        <v>54</v>
      </c>
    </row>
    <row r="155" spans="1:3">
      <c r="A155" s="92">
        <v>30537679855</v>
      </c>
      <c r="B155" s="77" t="s">
        <v>411</v>
      </c>
      <c r="C155" s="82" t="s">
        <v>54</v>
      </c>
    </row>
    <row r="156" spans="1:3">
      <c r="A156" s="85" t="s">
        <v>70</v>
      </c>
      <c r="B156" s="101" t="s">
        <v>71</v>
      </c>
      <c r="C156" s="82" t="s">
        <v>36</v>
      </c>
    </row>
    <row r="157" spans="1:3">
      <c r="A157" s="84">
        <v>30708542349</v>
      </c>
      <c r="B157" s="77" t="s">
        <v>563</v>
      </c>
      <c r="C157" s="82" t="s">
        <v>36</v>
      </c>
    </row>
    <row r="158" spans="1:3">
      <c r="A158" s="237">
        <v>30526582884</v>
      </c>
      <c r="B158" s="77" t="s">
        <v>405</v>
      </c>
      <c r="C158" s="82" t="s">
        <v>36</v>
      </c>
    </row>
    <row r="159" spans="1:3">
      <c r="A159" s="92">
        <v>30577744579</v>
      </c>
      <c r="B159" s="77" t="s">
        <v>326</v>
      </c>
      <c r="C159" s="82" t="s">
        <v>36</v>
      </c>
    </row>
    <row r="160" spans="1:3">
      <c r="A160" s="92">
        <v>30715949292</v>
      </c>
      <c r="B160" s="77" t="s">
        <v>511</v>
      </c>
      <c r="C160" s="82" t="s">
        <v>124</v>
      </c>
    </row>
    <row r="161" spans="1:3">
      <c r="A161" s="90">
        <v>30715980807</v>
      </c>
      <c r="B161" s="77" t="s">
        <v>52</v>
      </c>
      <c r="C161" s="82" t="s">
        <v>41</v>
      </c>
    </row>
    <row r="162" spans="1:3">
      <c r="A162" s="84">
        <v>20359718765</v>
      </c>
      <c r="B162" s="77" t="s">
        <v>572</v>
      </c>
      <c r="C162" s="82" t="s">
        <v>54</v>
      </c>
    </row>
    <row r="163" spans="1:3">
      <c r="A163" s="92">
        <v>30643518364</v>
      </c>
      <c r="B163" s="77" t="s">
        <v>562</v>
      </c>
      <c r="C163" s="82" t="s">
        <v>41</v>
      </c>
    </row>
    <row r="164" spans="1:3">
      <c r="A164" s="92">
        <v>30692138747</v>
      </c>
      <c r="B164" s="77" t="s">
        <v>332</v>
      </c>
      <c r="C164" s="82" t="s">
        <v>54</v>
      </c>
    </row>
    <row r="165" spans="1:3">
      <c r="A165" s="237">
        <v>33712234429</v>
      </c>
      <c r="B165" s="77" t="s">
        <v>453</v>
      </c>
      <c r="C165" s="82" t="s">
        <v>54</v>
      </c>
    </row>
    <row r="166" spans="1:3">
      <c r="A166" s="92">
        <v>20353576012</v>
      </c>
      <c r="B166" s="77" t="s">
        <v>234</v>
      </c>
      <c r="C166" s="82" t="s">
        <v>54</v>
      </c>
    </row>
    <row r="167" spans="1:3">
      <c r="A167" s="92">
        <v>20343766441</v>
      </c>
      <c r="B167" s="77" t="s">
        <v>218</v>
      </c>
      <c r="C167" s="82" t="s">
        <v>177</v>
      </c>
    </row>
    <row r="168" spans="1:3">
      <c r="A168" s="89">
        <v>27062343449</v>
      </c>
      <c r="B168" s="81" t="s">
        <v>407</v>
      </c>
      <c r="C168" s="82" t="s">
        <v>36</v>
      </c>
    </row>
    <row r="169" spans="1:3">
      <c r="A169" s="92">
        <v>30676642230</v>
      </c>
      <c r="B169" s="77" t="s">
        <v>463</v>
      </c>
      <c r="C169" s="82" t="s">
        <v>54</v>
      </c>
    </row>
    <row r="170" spans="1:3">
      <c r="A170" s="92">
        <v>30709453293</v>
      </c>
      <c r="B170" s="77" t="s">
        <v>217</v>
      </c>
      <c r="C170" s="82" t="s">
        <v>54</v>
      </c>
    </row>
    <row r="171" spans="1:3">
      <c r="A171" s="237">
        <v>30714690554</v>
      </c>
      <c r="B171" s="77" t="s">
        <v>427</v>
      </c>
      <c r="C171" s="82" t="s">
        <v>54</v>
      </c>
    </row>
    <row r="172" spans="1:3">
      <c r="A172" s="92">
        <v>30716620634</v>
      </c>
      <c r="B172" s="77" t="s">
        <v>566</v>
      </c>
      <c r="C172" s="82" t="s">
        <v>54</v>
      </c>
    </row>
    <row r="173" spans="1:3">
      <c r="A173" s="237">
        <v>30705466021</v>
      </c>
      <c r="B173" s="77" t="s">
        <v>428</v>
      </c>
      <c r="C173" s="82" t="s">
        <v>41</v>
      </c>
    </row>
    <row r="174" spans="1:3">
      <c r="A174" s="92">
        <v>27301358852</v>
      </c>
      <c r="B174" s="77" t="s">
        <v>461</v>
      </c>
      <c r="C174" s="82" t="s">
        <v>36</v>
      </c>
    </row>
    <row r="175" spans="1:3">
      <c r="A175" s="92">
        <v>20314536852</v>
      </c>
      <c r="B175" s="77" t="s">
        <v>546</v>
      </c>
      <c r="C175" s="82" t="s">
        <v>36</v>
      </c>
    </row>
    <row r="176" spans="1:3">
      <c r="A176" s="92">
        <v>30710657250</v>
      </c>
      <c r="B176" s="77" t="s">
        <v>466</v>
      </c>
      <c r="C176" s="82" t="s">
        <v>54</v>
      </c>
    </row>
    <row r="177" spans="1:3">
      <c r="A177" s="89">
        <v>30657418877</v>
      </c>
      <c r="B177" s="81" t="s">
        <v>82</v>
      </c>
      <c r="C177" s="82" t="s">
        <v>80</v>
      </c>
    </row>
    <row r="178" spans="1:3">
      <c r="A178" s="92">
        <v>30708049928</v>
      </c>
      <c r="B178" s="77" t="s">
        <v>449</v>
      </c>
      <c r="C178" s="82" t="s">
        <v>80</v>
      </c>
    </row>
    <row r="179" spans="1:3">
      <c r="A179" s="92">
        <v>20284183534</v>
      </c>
      <c r="B179" s="77" t="s">
        <v>451</v>
      </c>
      <c r="C179" s="82" t="s">
        <v>54</v>
      </c>
    </row>
    <row r="180" spans="1:3">
      <c r="A180" s="90">
        <v>20115545397</v>
      </c>
      <c r="B180" s="81" t="s">
        <v>125</v>
      </c>
      <c r="C180" s="82" t="s">
        <v>51</v>
      </c>
    </row>
    <row r="181" spans="1:3">
      <c r="A181" s="92">
        <v>20211408511</v>
      </c>
      <c r="B181" s="77" t="s">
        <v>487</v>
      </c>
      <c r="C181" s="82" t="s">
        <v>54</v>
      </c>
    </row>
    <row r="182" spans="1:3">
      <c r="A182" s="90">
        <v>27242941301</v>
      </c>
      <c r="B182" s="77" t="s">
        <v>199</v>
      </c>
      <c r="C182" s="82" t="s">
        <v>38</v>
      </c>
    </row>
    <row r="183" spans="1:3">
      <c r="A183" s="92">
        <v>20344800473</v>
      </c>
      <c r="B183" s="77" t="s">
        <v>364</v>
      </c>
      <c r="C183" s="82" t="s">
        <v>41</v>
      </c>
    </row>
    <row r="184" spans="1:3">
      <c r="A184" s="88">
        <v>27204269527</v>
      </c>
      <c r="B184" s="77" t="s">
        <v>50</v>
      </c>
      <c r="C184" s="82" t="s">
        <v>51</v>
      </c>
    </row>
    <row r="185" spans="1:3">
      <c r="A185" s="92">
        <v>30522428163</v>
      </c>
      <c r="B185" s="77" t="s">
        <v>73</v>
      </c>
      <c r="C185" s="82" t="s">
        <v>80</v>
      </c>
    </row>
    <row r="186" spans="1:3">
      <c r="A186" s="92">
        <v>30685228501</v>
      </c>
      <c r="B186" s="81" t="s">
        <v>88</v>
      </c>
      <c r="C186" s="82" t="s">
        <v>80</v>
      </c>
    </row>
    <row r="187" spans="1:3">
      <c r="A187" s="92">
        <v>27061922984</v>
      </c>
      <c r="B187" s="77" t="s">
        <v>224</v>
      </c>
      <c r="C187" s="82" t="s">
        <v>41</v>
      </c>
    </row>
    <row r="188" spans="1:3">
      <c r="A188" s="92">
        <v>27121544917</v>
      </c>
      <c r="B188" s="77" t="s">
        <v>321</v>
      </c>
      <c r="C188" s="82" t="s">
        <v>38</v>
      </c>
    </row>
    <row r="189" spans="1:3">
      <c r="A189" s="92">
        <v>30715567578</v>
      </c>
      <c r="B189" s="77" t="s">
        <v>244</v>
      </c>
      <c r="C189" s="82" t="s">
        <v>54</v>
      </c>
    </row>
    <row r="190" spans="1:3">
      <c r="A190" s="92">
        <v>20186809565</v>
      </c>
      <c r="B190" s="77" t="s">
        <v>214</v>
      </c>
      <c r="C190" s="82" t="s">
        <v>41</v>
      </c>
    </row>
    <row r="191" spans="1:3">
      <c r="A191" s="92">
        <v>23405137119</v>
      </c>
      <c r="B191" s="77" t="s">
        <v>465</v>
      </c>
      <c r="C191" s="82" t="s">
        <v>36</v>
      </c>
    </row>
    <row r="192" spans="1:3">
      <c r="A192" s="92">
        <v>30594549712</v>
      </c>
      <c r="B192" s="77" t="s">
        <v>142</v>
      </c>
      <c r="C192" s="82" t="s">
        <v>54</v>
      </c>
    </row>
    <row r="193" spans="1:3">
      <c r="A193" s="89">
        <v>30708855975</v>
      </c>
      <c r="B193" s="77" t="s">
        <v>40</v>
      </c>
      <c r="C193" s="82" t="s">
        <v>41</v>
      </c>
    </row>
    <row r="194" spans="1:3">
      <c r="A194" s="88">
        <v>30546694263</v>
      </c>
      <c r="B194" s="77" t="s">
        <v>143</v>
      </c>
      <c r="C194" s="82" t="s">
        <v>80</v>
      </c>
    </row>
    <row r="195" spans="1:3">
      <c r="A195" s="92">
        <v>30709737348</v>
      </c>
      <c r="B195" s="77" t="s">
        <v>330</v>
      </c>
      <c r="C195" s="82" t="s">
        <v>41</v>
      </c>
    </row>
    <row r="196" spans="1:3">
      <c r="A196" s="92">
        <v>30690212265</v>
      </c>
      <c r="B196" s="77" t="s">
        <v>584</v>
      </c>
      <c r="C196" s="82" t="s">
        <v>36</v>
      </c>
    </row>
    <row r="197" spans="1:3">
      <c r="A197" s="92">
        <v>27304678165</v>
      </c>
      <c r="B197" s="77" t="s">
        <v>556</v>
      </c>
      <c r="C197" s="82" t="s">
        <v>41</v>
      </c>
    </row>
    <row r="198" spans="1:3">
      <c r="A198" s="90">
        <v>30711950113</v>
      </c>
      <c r="B198" s="77" t="s">
        <v>59</v>
      </c>
      <c r="C198" s="82" t="s">
        <v>41</v>
      </c>
    </row>
    <row r="199" spans="1:3">
      <c r="A199" s="92">
        <v>23076996989</v>
      </c>
      <c r="B199" s="77" t="s">
        <v>235</v>
      </c>
      <c r="C199" s="82" t="s">
        <v>54</v>
      </c>
    </row>
    <row r="200" spans="1:3">
      <c r="A200" s="237">
        <v>33709997489</v>
      </c>
      <c r="B200" s="77" t="s">
        <v>396</v>
      </c>
      <c r="C200" s="82" t="s">
        <v>41</v>
      </c>
    </row>
    <row r="201" spans="1:3">
      <c r="A201" s="92">
        <v>30715621866</v>
      </c>
      <c r="B201" s="77" t="s">
        <v>506</v>
      </c>
      <c r="C201" s="82" t="s">
        <v>124</v>
      </c>
    </row>
    <row r="202" spans="1:3">
      <c r="A202" s="92">
        <v>33710427629</v>
      </c>
      <c r="B202" s="77" t="s">
        <v>585</v>
      </c>
      <c r="C202" s="82" t="s">
        <v>36</v>
      </c>
    </row>
    <row r="203" spans="1:3">
      <c r="A203" s="92">
        <v>20323836427</v>
      </c>
      <c r="B203" s="77" t="s">
        <v>447</v>
      </c>
      <c r="C203" s="82" t="s">
        <v>41</v>
      </c>
    </row>
    <row r="204" spans="1:3">
      <c r="A204" s="90">
        <v>20292887648</v>
      </c>
      <c r="B204" s="77" t="s">
        <v>197</v>
      </c>
      <c r="C204" s="82" t="s">
        <v>41</v>
      </c>
    </row>
    <row r="205" spans="1:3">
      <c r="A205" s="92">
        <v>20077028545</v>
      </c>
      <c r="B205" s="77" t="s">
        <v>414</v>
      </c>
      <c r="C205" s="82" t="s">
        <v>54</v>
      </c>
    </row>
    <row r="206" spans="1:3">
      <c r="A206" s="92">
        <v>20410525888</v>
      </c>
      <c r="B206" s="77" t="s">
        <v>537</v>
      </c>
      <c r="C206" s="82" t="s">
        <v>41</v>
      </c>
    </row>
    <row r="207" spans="1:3">
      <c r="A207" s="92">
        <v>20239531963</v>
      </c>
      <c r="B207" s="77" t="s">
        <v>504</v>
      </c>
      <c r="C207" s="82" t="s">
        <v>41</v>
      </c>
    </row>
    <row r="208" spans="1:3">
      <c r="A208" s="88">
        <v>23920485979</v>
      </c>
      <c r="B208" s="77" t="s">
        <v>64</v>
      </c>
      <c r="C208" s="82" t="s">
        <v>41</v>
      </c>
    </row>
    <row r="209" spans="1:3">
      <c r="A209" s="92">
        <v>30714432865</v>
      </c>
      <c r="B209" s="77" t="s">
        <v>299</v>
      </c>
      <c r="C209" s="82" t="s">
        <v>54</v>
      </c>
    </row>
    <row r="210" spans="1:3">
      <c r="A210" s="92">
        <v>27365928016</v>
      </c>
      <c r="B210" s="77" t="s">
        <v>302</v>
      </c>
      <c r="C210" s="82" t="s">
        <v>177</v>
      </c>
    </row>
    <row r="211" spans="1:3">
      <c r="A211" s="237">
        <v>30712097600</v>
      </c>
      <c r="B211" s="77" t="s">
        <v>343</v>
      </c>
      <c r="C211" s="82" t="s">
        <v>54</v>
      </c>
    </row>
    <row r="212" spans="1:3">
      <c r="A212" s="92">
        <v>30712778403</v>
      </c>
      <c r="B212" s="81" t="s">
        <v>127</v>
      </c>
      <c r="C212" s="82" t="s">
        <v>51</v>
      </c>
    </row>
    <row r="213" spans="1:3">
      <c r="A213" s="237">
        <v>20181426846</v>
      </c>
      <c r="B213" s="77" t="s">
        <v>457</v>
      </c>
      <c r="C213" s="82" t="s">
        <v>54</v>
      </c>
    </row>
    <row r="214" spans="1:3">
      <c r="A214" s="230">
        <v>30663498513</v>
      </c>
      <c r="B214" s="231" t="s">
        <v>433</v>
      </c>
      <c r="C214" s="232" t="s">
        <v>374</v>
      </c>
    </row>
    <row r="215" spans="1:3">
      <c r="A215" s="237">
        <v>30671637689</v>
      </c>
      <c r="B215" s="77" t="s">
        <v>390</v>
      </c>
      <c r="C215" s="82" t="s">
        <v>54</v>
      </c>
    </row>
    <row r="216" spans="1:3">
      <c r="A216" s="92">
        <v>27147827682</v>
      </c>
      <c r="B216" s="81" t="s">
        <v>258</v>
      </c>
      <c r="C216" s="82" t="s">
        <v>38</v>
      </c>
    </row>
    <row r="217" spans="1:3">
      <c r="A217" s="92">
        <v>23175716009</v>
      </c>
      <c r="B217" s="77" t="s">
        <v>473</v>
      </c>
      <c r="C217" s="82" t="s">
        <v>36</v>
      </c>
    </row>
    <row r="218" spans="1:3">
      <c r="A218" s="92">
        <v>30715210904</v>
      </c>
      <c r="B218" s="77" t="s">
        <v>230</v>
      </c>
      <c r="C218" s="82" t="s">
        <v>41</v>
      </c>
    </row>
    <row r="219" spans="1:3">
      <c r="A219" s="92">
        <v>30716770881</v>
      </c>
      <c r="B219" s="77" t="s">
        <v>534</v>
      </c>
      <c r="C219" s="82" t="s">
        <v>54</v>
      </c>
    </row>
    <row r="220" spans="1:3">
      <c r="A220" s="92">
        <v>30710538014</v>
      </c>
      <c r="B220" s="77" t="s">
        <v>372</v>
      </c>
      <c r="C220" s="82" t="s">
        <v>80</v>
      </c>
    </row>
    <row r="221" spans="1:3">
      <c r="A221" s="237">
        <v>20351722585</v>
      </c>
      <c r="B221" s="77" t="s">
        <v>456</v>
      </c>
      <c r="C221" s="82" t="s">
        <v>41</v>
      </c>
    </row>
    <row r="222" spans="1:3">
      <c r="A222" s="237">
        <v>27165813893</v>
      </c>
      <c r="B222" s="77" t="s">
        <v>458</v>
      </c>
      <c r="C222" s="82" t="s">
        <v>41</v>
      </c>
    </row>
    <row r="223" spans="1:3">
      <c r="A223" s="84">
        <v>23219640269</v>
      </c>
      <c r="B223" s="77" t="s">
        <v>241</v>
      </c>
      <c r="C223" s="82" t="s">
        <v>41</v>
      </c>
    </row>
    <row r="224" spans="1:3">
      <c r="A224" s="92">
        <v>30710095171</v>
      </c>
      <c r="B224" s="77" t="s">
        <v>225</v>
      </c>
      <c r="C224" s="82" t="s">
        <v>41</v>
      </c>
    </row>
    <row r="225" spans="1:3">
      <c r="A225" s="92">
        <v>20295867931</v>
      </c>
      <c r="B225" s="77" t="s">
        <v>430</v>
      </c>
      <c r="C225" s="82" t="s">
        <v>54</v>
      </c>
    </row>
    <row r="226" spans="1:3">
      <c r="A226" s="92">
        <v>20361556691</v>
      </c>
      <c r="B226" s="77" t="s">
        <v>337</v>
      </c>
      <c r="C226" s="82" t="s">
        <v>54</v>
      </c>
    </row>
    <row r="227" spans="1:3">
      <c r="A227" s="92">
        <v>20313759246</v>
      </c>
      <c r="B227" s="81" t="s">
        <v>168</v>
      </c>
      <c r="C227" s="82" t="s">
        <v>169</v>
      </c>
    </row>
    <row r="228" spans="1:3">
      <c r="A228" s="92">
        <v>20186310838</v>
      </c>
      <c r="B228" s="77" t="s">
        <v>491</v>
      </c>
      <c r="C228" s="82" t="s">
        <v>41</v>
      </c>
    </row>
    <row r="229" spans="1:3">
      <c r="A229" s="92">
        <v>30576630057</v>
      </c>
      <c r="B229" s="77" t="s">
        <v>331</v>
      </c>
      <c r="C229" s="82" t="s">
        <v>54</v>
      </c>
    </row>
    <row r="230" spans="1:3">
      <c r="A230" s="89">
        <v>30714122718</v>
      </c>
      <c r="B230" s="77" t="s">
        <v>173</v>
      </c>
      <c r="C230" s="82" t="s">
        <v>41</v>
      </c>
    </row>
    <row r="231" spans="1:3">
      <c r="A231" s="88">
        <v>30714696153</v>
      </c>
      <c r="B231" s="77" t="s">
        <v>61</v>
      </c>
      <c r="C231" s="82" t="s">
        <v>41</v>
      </c>
    </row>
    <row r="232" spans="1:3">
      <c r="A232" s="92">
        <v>20242126158</v>
      </c>
      <c r="B232" s="77" t="s">
        <v>357</v>
      </c>
      <c r="C232" s="82" t="s">
        <v>41</v>
      </c>
    </row>
    <row r="233" spans="1:3">
      <c r="A233" s="92">
        <v>20309759444</v>
      </c>
      <c r="B233" s="77" t="s">
        <v>575</v>
      </c>
      <c r="C233" s="82" t="s">
        <v>41</v>
      </c>
    </row>
    <row r="234" spans="1:3">
      <c r="A234" s="92">
        <v>30712289046</v>
      </c>
      <c r="B234" s="77" t="s">
        <v>369</v>
      </c>
      <c r="C234" s="82" t="s">
        <v>54</v>
      </c>
    </row>
    <row r="235" spans="1:3">
      <c r="A235" s="92">
        <v>30687310434</v>
      </c>
      <c r="B235" s="77" t="s">
        <v>153</v>
      </c>
      <c r="C235" s="82" t="s">
        <v>54</v>
      </c>
    </row>
    <row r="236" spans="1:3">
      <c r="A236" s="92">
        <v>30687310434</v>
      </c>
      <c r="B236" s="77" t="s">
        <v>304</v>
      </c>
      <c r="C236" s="82" t="s">
        <v>54</v>
      </c>
    </row>
    <row r="237" spans="1:3">
      <c r="A237" s="92">
        <v>30515800219</v>
      </c>
      <c r="B237" s="77" t="s">
        <v>158</v>
      </c>
      <c r="C237" s="82" t="s">
        <v>54</v>
      </c>
    </row>
    <row r="238" spans="1:3">
      <c r="A238" s="92">
        <v>30651822021</v>
      </c>
      <c r="B238" s="77" t="s">
        <v>263</v>
      </c>
      <c r="C238" s="82" t="s">
        <v>41</v>
      </c>
    </row>
    <row r="239" spans="1:3">
      <c r="A239" s="89">
        <v>30598739540</v>
      </c>
      <c r="B239" s="81" t="s">
        <v>84</v>
      </c>
      <c r="C239" s="82" t="s">
        <v>80</v>
      </c>
    </row>
    <row r="240" spans="1:3">
      <c r="A240" s="237">
        <v>30554807301</v>
      </c>
      <c r="B240" s="77" t="s">
        <v>238</v>
      </c>
      <c r="C240" s="82" t="s">
        <v>54</v>
      </c>
    </row>
    <row r="241" spans="1:3">
      <c r="A241" s="92">
        <v>30697558868</v>
      </c>
      <c r="B241" s="77" t="s">
        <v>76</v>
      </c>
      <c r="C241" s="82" t="s">
        <v>80</v>
      </c>
    </row>
    <row r="242" spans="1:3">
      <c r="A242" s="92">
        <v>33708345399</v>
      </c>
      <c r="B242" s="77" t="s">
        <v>249</v>
      </c>
      <c r="C242" s="82" t="s">
        <v>41</v>
      </c>
    </row>
    <row r="243" spans="1:3">
      <c r="A243" s="92">
        <v>30999077508</v>
      </c>
      <c r="B243" s="81" t="s">
        <v>89</v>
      </c>
      <c r="C243" s="82" t="s">
        <v>80</v>
      </c>
    </row>
    <row r="244" spans="1:3">
      <c r="A244" s="92">
        <v>30708214813</v>
      </c>
      <c r="B244" s="77" t="s">
        <v>294</v>
      </c>
      <c r="C244" s="82" t="s">
        <v>41</v>
      </c>
    </row>
    <row r="245" spans="1:3">
      <c r="A245" s="92">
        <v>23368458449</v>
      </c>
      <c r="B245" s="77" t="s">
        <v>443</v>
      </c>
      <c r="C245" s="82" t="s">
        <v>36</v>
      </c>
    </row>
    <row r="246" spans="1:3">
      <c r="A246" s="92">
        <v>30707758682</v>
      </c>
      <c r="B246" s="77" t="s">
        <v>208</v>
      </c>
      <c r="C246" s="82" t="s">
        <v>80</v>
      </c>
    </row>
    <row r="247" spans="1:3">
      <c r="A247" s="89">
        <v>30712187316</v>
      </c>
      <c r="B247" s="77" t="s">
        <v>68</v>
      </c>
      <c r="C247" s="82" t="s">
        <v>41</v>
      </c>
    </row>
    <row r="248" spans="1:3">
      <c r="A248" s="92">
        <v>30547076679</v>
      </c>
      <c r="B248" s="77" t="s">
        <v>269</v>
      </c>
      <c r="C248" s="82" t="s">
        <v>54</v>
      </c>
    </row>
    <row r="249" spans="1:3">
      <c r="A249" s="92">
        <v>30715123483</v>
      </c>
      <c r="B249" s="77" t="s">
        <v>278</v>
      </c>
      <c r="C249" s="82" t="s">
        <v>36</v>
      </c>
    </row>
    <row r="250" spans="1:3">
      <c r="A250" s="92">
        <v>30708936762</v>
      </c>
      <c r="B250" s="77" t="s">
        <v>267</v>
      </c>
      <c r="C250" s="82" t="s">
        <v>54</v>
      </c>
    </row>
    <row r="251" spans="1:3">
      <c r="A251" s="92">
        <v>30715937006</v>
      </c>
      <c r="B251" s="77" t="s">
        <v>293</v>
      </c>
      <c r="C251" s="82" t="s">
        <v>41</v>
      </c>
    </row>
    <row r="252" spans="1:3">
      <c r="A252" s="92">
        <v>20167226524</v>
      </c>
      <c r="B252" s="77" t="s">
        <v>469</v>
      </c>
      <c r="C252" s="82" t="s">
        <v>54</v>
      </c>
    </row>
    <row r="253" spans="1:3">
      <c r="A253" s="92">
        <v>33707660509</v>
      </c>
      <c r="B253" s="77" t="s">
        <v>503</v>
      </c>
      <c r="C253" s="82" t="s">
        <v>54</v>
      </c>
    </row>
    <row r="254" spans="1:3">
      <c r="A254" s="92">
        <v>20244271740</v>
      </c>
      <c r="B254" s="77" t="s">
        <v>288</v>
      </c>
      <c r="C254" s="82" t="s">
        <v>41</v>
      </c>
    </row>
    <row r="255" spans="1:3">
      <c r="A255" s="92">
        <v>20182999661</v>
      </c>
      <c r="B255" s="81" t="s">
        <v>137</v>
      </c>
      <c r="C255" s="82" t="s">
        <v>54</v>
      </c>
    </row>
    <row r="256" spans="1:3">
      <c r="A256" s="92">
        <v>20924962756</v>
      </c>
      <c r="B256" s="77" t="s">
        <v>232</v>
      </c>
      <c r="C256" s="82" t="s">
        <v>41</v>
      </c>
    </row>
    <row r="257" spans="1:3">
      <c r="A257" s="92">
        <v>23941647804</v>
      </c>
      <c r="B257" s="81" t="s">
        <v>166</v>
      </c>
      <c r="C257" s="82" t="s">
        <v>38</v>
      </c>
    </row>
    <row r="258" spans="1:3">
      <c r="A258" s="84">
        <v>27310367813</v>
      </c>
      <c r="B258" s="77" t="s">
        <v>567</v>
      </c>
      <c r="C258" s="82" t="s">
        <v>41</v>
      </c>
    </row>
    <row r="259" spans="1:3">
      <c r="A259" s="84">
        <v>30709046779</v>
      </c>
      <c r="B259" s="77" t="s">
        <v>296</v>
      </c>
      <c r="C259" s="82" t="s">
        <v>41</v>
      </c>
    </row>
    <row r="260" spans="1:3">
      <c r="A260" s="84">
        <v>30711645884</v>
      </c>
      <c r="B260" s="77" t="s">
        <v>598</v>
      </c>
      <c r="C260" s="82" t="s">
        <v>54</v>
      </c>
    </row>
    <row r="261" spans="1:3">
      <c r="A261" s="85">
        <v>27304914071</v>
      </c>
      <c r="B261" s="81" t="s">
        <v>200</v>
      </c>
      <c r="C261" s="82" t="s">
        <v>43</v>
      </c>
    </row>
    <row r="262" spans="1:3">
      <c r="A262" s="84">
        <v>20220423655</v>
      </c>
      <c r="B262" s="81" t="s">
        <v>175</v>
      </c>
      <c r="C262" s="82" t="s">
        <v>41</v>
      </c>
    </row>
    <row r="263" spans="1:3">
      <c r="A263" s="204">
        <v>20393873583</v>
      </c>
      <c r="B263" s="77" t="s">
        <v>582</v>
      </c>
      <c r="C263" s="82" t="s">
        <v>54</v>
      </c>
    </row>
    <row r="264" spans="1:3">
      <c r="A264" s="84">
        <v>30525468956</v>
      </c>
      <c r="B264" s="77" t="s">
        <v>295</v>
      </c>
      <c r="C264" s="82" t="s">
        <v>41</v>
      </c>
    </row>
    <row r="265" spans="1:3">
      <c r="A265" s="204">
        <v>30701950883</v>
      </c>
      <c r="B265" s="77" t="s">
        <v>353</v>
      </c>
      <c r="C265" s="82" t="s">
        <v>54</v>
      </c>
    </row>
    <row r="266" spans="1:3">
      <c r="A266" s="92">
        <v>30540019297</v>
      </c>
      <c r="B266" s="77" t="s">
        <v>498</v>
      </c>
      <c r="C266" s="82" t="s">
        <v>54</v>
      </c>
    </row>
    <row r="267" spans="1:3">
      <c r="A267" s="84">
        <v>30686525607</v>
      </c>
      <c r="B267" s="77" t="s">
        <v>500</v>
      </c>
      <c r="C267" s="82" t="s">
        <v>54</v>
      </c>
    </row>
    <row r="268" spans="1:3">
      <c r="A268" s="92">
        <v>23945201304</v>
      </c>
      <c r="B268" s="77" t="s">
        <v>368</v>
      </c>
      <c r="C268" s="82" t="s">
        <v>41</v>
      </c>
    </row>
    <row r="269" spans="1:3">
      <c r="A269" s="204">
        <v>30712019359</v>
      </c>
      <c r="B269" s="77" t="s">
        <v>395</v>
      </c>
      <c r="C269" s="82" t="s">
        <v>41</v>
      </c>
    </row>
    <row r="270" spans="1:3">
      <c r="A270" s="84">
        <v>20160503336</v>
      </c>
      <c r="B270" s="77" t="s">
        <v>590</v>
      </c>
      <c r="C270" s="82" t="s">
        <v>54</v>
      </c>
    </row>
    <row r="271" spans="1:3">
      <c r="A271" s="84">
        <v>27129657710</v>
      </c>
      <c r="B271" s="77" t="s">
        <v>579</v>
      </c>
      <c r="C271" s="82" t="s">
        <v>41</v>
      </c>
    </row>
    <row r="272" spans="1:3">
      <c r="A272" s="90">
        <v>30711244383</v>
      </c>
      <c r="B272" s="77" t="s">
        <v>179</v>
      </c>
      <c r="C272" s="82" t="s">
        <v>80</v>
      </c>
    </row>
    <row r="273" spans="1:3">
      <c r="A273" s="92">
        <v>30709879258</v>
      </c>
      <c r="B273" s="77" t="s">
        <v>486</v>
      </c>
      <c r="C273" s="82" t="s">
        <v>36</v>
      </c>
    </row>
    <row r="274" spans="1:3">
      <c r="A274" s="92">
        <v>20180429388</v>
      </c>
      <c r="B274" s="77" t="s">
        <v>448</v>
      </c>
      <c r="C274" s="82" t="s">
        <v>41</v>
      </c>
    </row>
    <row r="275" spans="1:3">
      <c r="A275" s="92">
        <v>30716229552</v>
      </c>
      <c r="B275" s="77" t="s">
        <v>576</v>
      </c>
      <c r="C275" s="82" t="s">
        <v>54</v>
      </c>
    </row>
    <row r="276" spans="1:3">
      <c r="A276" s="92">
        <v>30643700952</v>
      </c>
      <c r="B276" s="77" t="s">
        <v>515</v>
      </c>
      <c r="C276" s="82" t="s">
        <v>41</v>
      </c>
    </row>
    <row r="277" spans="1:3">
      <c r="A277" s="92">
        <v>30712448586</v>
      </c>
      <c r="B277" s="77" t="s">
        <v>441</v>
      </c>
      <c r="C277" s="82" t="s">
        <v>54</v>
      </c>
    </row>
    <row r="278" spans="1:3">
      <c r="A278" s="92">
        <v>20929183143</v>
      </c>
      <c r="B278" s="77" t="s">
        <v>472</v>
      </c>
      <c r="C278" s="82" t="s">
        <v>54</v>
      </c>
    </row>
    <row r="279" spans="1:3">
      <c r="A279" s="88">
        <v>27385671526</v>
      </c>
      <c r="B279" s="77" t="s">
        <v>193</v>
      </c>
      <c r="C279" s="82" t="s">
        <v>41</v>
      </c>
    </row>
    <row r="280" spans="1:3">
      <c r="A280" s="84">
        <v>30657715383</v>
      </c>
      <c r="B280" s="77" t="s">
        <v>594</v>
      </c>
      <c r="C280" s="82" t="s">
        <v>54</v>
      </c>
    </row>
    <row r="281" spans="1:3">
      <c r="A281" s="92">
        <v>30715589032</v>
      </c>
      <c r="B281" s="77" t="s">
        <v>351</v>
      </c>
      <c r="C281" s="82" t="s">
        <v>41</v>
      </c>
    </row>
    <row r="282" spans="1:3">
      <c r="A282" s="92">
        <v>27119876171</v>
      </c>
      <c r="B282" s="77" t="s">
        <v>78</v>
      </c>
      <c r="C282" s="82" t="s">
        <v>80</v>
      </c>
    </row>
    <row r="283" spans="1:3">
      <c r="A283" s="92">
        <v>33708218699</v>
      </c>
      <c r="B283" s="77" t="s">
        <v>529</v>
      </c>
      <c r="C283" s="82" t="s">
        <v>54</v>
      </c>
    </row>
    <row r="284" spans="1:3">
      <c r="A284" s="92">
        <v>27251466756</v>
      </c>
      <c r="B284" s="77" t="s">
        <v>327</v>
      </c>
      <c r="C284" s="82" t="s">
        <v>38</v>
      </c>
    </row>
    <row r="285" spans="1:3">
      <c r="A285" s="92">
        <v>27101420391</v>
      </c>
      <c r="B285" s="77" t="s">
        <v>228</v>
      </c>
      <c r="C285" s="82" t="s">
        <v>41</v>
      </c>
    </row>
    <row r="286" spans="1:3">
      <c r="A286" s="92">
        <v>27228778937</v>
      </c>
      <c r="B286" s="77" t="s">
        <v>138</v>
      </c>
      <c r="C286" s="82" t="s">
        <v>41</v>
      </c>
    </row>
    <row r="287" spans="1:3">
      <c r="A287" s="92">
        <v>20202134700</v>
      </c>
      <c r="B287" s="81" t="s">
        <v>120</v>
      </c>
      <c r="C287" s="82" t="s">
        <v>43</v>
      </c>
    </row>
    <row r="288" spans="1:3">
      <c r="A288" s="84">
        <v>27256001980</v>
      </c>
      <c r="B288" s="77" t="s">
        <v>540</v>
      </c>
      <c r="C288" s="82" t="s">
        <v>38</v>
      </c>
    </row>
    <row r="289" spans="1:3">
      <c r="A289" s="92">
        <v>30678628324</v>
      </c>
      <c r="B289" s="77" t="s">
        <v>328</v>
      </c>
      <c r="C289" s="82" t="s">
        <v>54</v>
      </c>
    </row>
    <row r="290" spans="1:3">
      <c r="A290" s="237">
        <v>27232408737</v>
      </c>
      <c r="B290" s="77" t="s">
        <v>389</v>
      </c>
      <c r="C290" s="82" t="s">
        <v>54</v>
      </c>
    </row>
    <row r="291" spans="1:3">
      <c r="A291" s="92">
        <v>30705740670</v>
      </c>
      <c r="B291" s="77" t="s">
        <v>324</v>
      </c>
      <c r="C291" s="82" t="s">
        <v>54</v>
      </c>
    </row>
    <row r="292" spans="1:3">
      <c r="A292" s="92">
        <v>30710361351</v>
      </c>
      <c r="B292" s="77" t="s">
        <v>490</v>
      </c>
      <c r="C292" s="82" t="s">
        <v>54</v>
      </c>
    </row>
    <row r="293" spans="1:3">
      <c r="A293" s="92">
        <v>30612865333</v>
      </c>
      <c r="B293" s="77" t="s">
        <v>367</v>
      </c>
      <c r="C293" s="82" t="s">
        <v>54</v>
      </c>
    </row>
    <row r="294" spans="1:3">
      <c r="A294" s="92">
        <v>30707042679</v>
      </c>
      <c r="B294" s="77" t="s">
        <v>151</v>
      </c>
      <c r="C294" s="82" t="s">
        <v>41</v>
      </c>
    </row>
    <row r="295" spans="1:3">
      <c r="A295" s="237">
        <v>30710912579</v>
      </c>
      <c r="B295" s="77" t="s">
        <v>394</v>
      </c>
      <c r="C295" s="82" t="s">
        <v>41</v>
      </c>
    </row>
    <row r="296" spans="1:3">
      <c r="A296" s="84">
        <v>30658035033</v>
      </c>
      <c r="B296" s="77" t="s">
        <v>543</v>
      </c>
      <c r="C296" s="82" t="s">
        <v>80</v>
      </c>
    </row>
    <row r="297" spans="1:3">
      <c r="A297" s="84">
        <v>30546771314</v>
      </c>
      <c r="B297" s="77" t="s">
        <v>79</v>
      </c>
      <c r="C297" s="82" t="s">
        <v>80</v>
      </c>
    </row>
    <row r="298" spans="1:3">
      <c r="A298" s="84">
        <v>20299835260</v>
      </c>
      <c r="B298" s="77" t="s">
        <v>526</v>
      </c>
      <c r="C298" s="82" t="s">
        <v>41</v>
      </c>
    </row>
    <row r="299" spans="1:3">
      <c r="A299" s="84">
        <v>30710816049</v>
      </c>
      <c r="B299" s="77" t="s">
        <v>46</v>
      </c>
      <c r="C299" s="82" t="s">
        <v>41</v>
      </c>
    </row>
    <row r="300" spans="1:3">
      <c r="A300" s="84">
        <v>30703088534</v>
      </c>
      <c r="B300" s="77" t="s">
        <v>226</v>
      </c>
      <c r="C300" s="82" t="s">
        <v>41</v>
      </c>
    </row>
    <row r="301" spans="1:3">
      <c r="A301" s="92">
        <v>30711350213</v>
      </c>
      <c r="B301" s="77" t="s">
        <v>255</v>
      </c>
      <c r="C301" s="82" t="s">
        <v>41</v>
      </c>
    </row>
    <row r="302" spans="1:3">
      <c r="A302" s="92">
        <v>30709016012</v>
      </c>
      <c r="B302" s="77" t="s">
        <v>77</v>
      </c>
      <c r="C302" s="82" t="s">
        <v>80</v>
      </c>
    </row>
    <row r="303" spans="1:3">
      <c r="A303" s="84">
        <v>20182095215</v>
      </c>
      <c r="B303" s="77" t="s">
        <v>204</v>
      </c>
      <c r="C303" s="82" t="s">
        <v>205</v>
      </c>
    </row>
    <row r="304" spans="1:3">
      <c r="A304" s="198">
        <v>20265153209</v>
      </c>
      <c r="B304" s="77" t="s">
        <v>397</v>
      </c>
      <c r="C304" s="82" t="s">
        <v>36</v>
      </c>
    </row>
    <row r="305" spans="1:3">
      <c r="A305" s="84">
        <v>30685116657</v>
      </c>
      <c r="B305" s="77" t="s">
        <v>322</v>
      </c>
      <c r="C305" s="82" t="s">
        <v>54</v>
      </c>
    </row>
    <row r="306" spans="1:3">
      <c r="A306" s="84">
        <v>30715224468</v>
      </c>
      <c r="B306" s="77" t="s">
        <v>551</v>
      </c>
      <c r="C306" s="82" t="s">
        <v>41</v>
      </c>
    </row>
    <row r="307" spans="1:3">
      <c r="A307" s="86">
        <v>20291935401</v>
      </c>
      <c r="B307" s="81" t="s">
        <v>132</v>
      </c>
      <c r="C307" s="82" t="s">
        <v>41</v>
      </c>
    </row>
    <row r="308" spans="1:3">
      <c r="A308" s="92">
        <v>27250643182</v>
      </c>
      <c r="B308" s="77" t="s">
        <v>431</v>
      </c>
      <c r="C308" s="82" t="s">
        <v>54</v>
      </c>
    </row>
    <row r="309" spans="1:3">
      <c r="A309" s="84">
        <v>30708150351</v>
      </c>
      <c r="B309" s="77" t="s">
        <v>523</v>
      </c>
      <c r="C309" s="82" t="s">
        <v>54</v>
      </c>
    </row>
    <row r="310" spans="1:3">
      <c r="A310" s="84">
        <v>20127096733</v>
      </c>
      <c r="B310" s="77" t="s">
        <v>440</v>
      </c>
      <c r="C310" s="82" t="s">
        <v>41</v>
      </c>
    </row>
    <row r="311" spans="1:3">
      <c r="A311" s="84">
        <v>27202892936</v>
      </c>
      <c r="B311" s="77" t="s">
        <v>376</v>
      </c>
      <c r="C311" s="82" t="s">
        <v>41</v>
      </c>
    </row>
    <row r="312" spans="1:3">
      <c r="A312" s="84">
        <v>30709242888</v>
      </c>
      <c r="B312" s="77" t="s">
        <v>312</v>
      </c>
      <c r="C312" s="82" t="s">
        <v>41</v>
      </c>
    </row>
    <row r="313" spans="1:3">
      <c r="A313" s="84">
        <v>30708823151</v>
      </c>
      <c r="B313" s="77" t="s">
        <v>518</v>
      </c>
      <c r="C313" s="82" t="s">
        <v>41</v>
      </c>
    </row>
    <row r="314" spans="1:3">
      <c r="A314" s="84">
        <v>20045461611</v>
      </c>
      <c r="B314" s="77" t="s">
        <v>479</v>
      </c>
      <c r="C314" s="82" t="s">
        <v>54</v>
      </c>
    </row>
    <row r="315" spans="1:3">
      <c r="A315" s="238">
        <v>23306035444</v>
      </c>
      <c r="B315" s="77" t="s">
        <v>350</v>
      </c>
      <c r="C315" s="82" t="s">
        <v>41</v>
      </c>
    </row>
    <row r="316" spans="1:3">
      <c r="A316" s="92">
        <v>20174004146</v>
      </c>
      <c r="B316" s="77" t="s">
        <v>399</v>
      </c>
      <c r="C316" s="82" t="s">
        <v>36</v>
      </c>
    </row>
    <row r="317" spans="1:3">
      <c r="A317" s="92">
        <v>20334976433</v>
      </c>
      <c r="B317" s="77" t="s">
        <v>501</v>
      </c>
      <c r="C317" s="82" t="s">
        <v>36</v>
      </c>
    </row>
    <row r="318" spans="1:3">
      <c r="A318" s="84">
        <v>20315107807</v>
      </c>
      <c r="B318" s="77" t="s">
        <v>35</v>
      </c>
      <c r="C318" s="82" t="s">
        <v>36</v>
      </c>
    </row>
    <row r="319" spans="1:3">
      <c r="A319" s="92">
        <v>20363081755</v>
      </c>
      <c r="B319" s="77" t="s">
        <v>325</v>
      </c>
      <c r="C319" s="82" t="s">
        <v>36</v>
      </c>
    </row>
    <row r="320" spans="1:3">
      <c r="A320" s="88">
        <v>20232991527</v>
      </c>
      <c r="B320" s="77" t="s">
        <v>56</v>
      </c>
      <c r="C320" s="82" t="s">
        <v>41</v>
      </c>
    </row>
    <row r="321" spans="1:3">
      <c r="A321" s="92">
        <v>30715515012</v>
      </c>
      <c r="B321" s="77" t="s">
        <v>548</v>
      </c>
      <c r="C321" s="82" t="s">
        <v>124</v>
      </c>
    </row>
    <row r="322" spans="1:3">
      <c r="A322" s="92">
        <v>30714773255</v>
      </c>
      <c r="B322" s="77" t="s">
        <v>253</v>
      </c>
      <c r="C322" s="82" t="s">
        <v>54</v>
      </c>
    </row>
    <row r="323" spans="1:3">
      <c r="A323" s="90">
        <v>30715284142</v>
      </c>
      <c r="B323" s="77" t="s">
        <v>198</v>
      </c>
      <c r="C323" s="82" t="s">
        <v>54</v>
      </c>
    </row>
    <row r="324" spans="1:3">
      <c r="A324" s="92">
        <v>30717179389</v>
      </c>
      <c r="B324" s="77" t="s">
        <v>586</v>
      </c>
      <c r="C324" s="82" t="s">
        <v>54</v>
      </c>
    </row>
    <row r="325" spans="1:3">
      <c r="A325" s="92">
        <v>20171082464</v>
      </c>
      <c r="B325" s="77" t="s">
        <v>464</v>
      </c>
      <c r="C325" s="82" t="s">
        <v>54</v>
      </c>
    </row>
    <row r="326" spans="1:3">
      <c r="A326" s="84">
        <v>30709318965</v>
      </c>
      <c r="B326" s="77" t="s">
        <v>445</v>
      </c>
      <c r="C326" s="82" t="s">
        <v>41</v>
      </c>
    </row>
    <row r="327" spans="1:3">
      <c r="A327" s="92">
        <v>30702652975</v>
      </c>
      <c r="B327" s="77" t="s">
        <v>303</v>
      </c>
      <c r="C327" s="82" t="s">
        <v>39</v>
      </c>
    </row>
    <row r="328" spans="1:3">
      <c r="A328" s="88">
        <v>30715399519</v>
      </c>
      <c r="B328" s="81" t="s">
        <v>130</v>
      </c>
      <c r="C328" s="82" t="s">
        <v>131</v>
      </c>
    </row>
    <row r="329" spans="1:3">
      <c r="A329" s="92">
        <v>20222347719</v>
      </c>
      <c r="B329" s="77" t="s">
        <v>565</v>
      </c>
      <c r="C329" s="82" t="s">
        <v>54</v>
      </c>
    </row>
    <row r="330" spans="1:3">
      <c r="A330" s="92">
        <v>30536259194</v>
      </c>
      <c r="B330" s="81" t="s">
        <v>129</v>
      </c>
      <c r="C330" s="82" t="s">
        <v>36</v>
      </c>
    </row>
    <row r="331" spans="1:3">
      <c r="A331" s="238">
        <v>27209647252</v>
      </c>
      <c r="B331" s="77" t="s">
        <v>413</v>
      </c>
      <c r="C331" s="82" t="s">
        <v>41</v>
      </c>
    </row>
    <row r="332" spans="1:3">
      <c r="A332" s="92">
        <v>30646217977</v>
      </c>
      <c r="B332" s="77" t="s">
        <v>482</v>
      </c>
      <c r="C332" s="82" t="s">
        <v>80</v>
      </c>
    </row>
    <row r="333" spans="1:3">
      <c r="A333" s="92">
        <v>30500053522</v>
      </c>
      <c r="B333" s="77" t="s">
        <v>72</v>
      </c>
      <c r="C333" s="82" t="s">
        <v>80</v>
      </c>
    </row>
    <row r="334" spans="1:3">
      <c r="A334" s="92">
        <v>30546846217</v>
      </c>
      <c r="B334" s="81" t="s">
        <v>254</v>
      </c>
      <c r="C334" s="82" t="s">
        <v>80</v>
      </c>
    </row>
    <row r="335" spans="1:3">
      <c r="A335" s="84">
        <v>30717024393</v>
      </c>
      <c r="B335" s="77" t="s">
        <v>542</v>
      </c>
      <c r="C335" s="82" t="s">
        <v>54</v>
      </c>
    </row>
    <row r="336" spans="1:3">
      <c r="A336" s="84">
        <v>27405786066</v>
      </c>
      <c r="B336" s="77" t="s">
        <v>300</v>
      </c>
      <c r="C336" s="82" t="s">
        <v>54</v>
      </c>
    </row>
    <row r="337" spans="1:3">
      <c r="A337" s="84">
        <v>23383224829</v>
      </c>
      <c r="B337" s="77" t="s">
        <v>502</v>
      </c>
      <c r="C337" s="82" t="s">
        <v>38</v>
      </c>
    </row>
    <row r="338" spans="1:3">
      <c r="A338" s="84">
        <v>23411502619</v>
      </c>
      <c r="B338" s="77" t="s">
        <v>493</v>
      </c>
      <c r="C338" s="82" t="s">
        <v>38</v>
      </c>
    </row>
    <row r="339" spans="1:3">
      <c r="A339" s="84">
        <v>30711377944</v>
      </c>
      <c r="B339" s="77" t="s">
        <v>274</v>
      </c>
      <c r="C339" s="82" t="s">
        <v>54</v>
      </c>
    </row>
    <row r="340" spans="1:3">
      <c r="A340" s="84">
        <v>30678774495</v>
      </c>
      <c r="B340" s="77" t="s">
        <v>277</v>
      </c>
      <c r="C340" s="82" t="s">
        <v>54</v>
      </c>
    </row>
    <row r="341" spans="1:3">
      <c r="A341" s="84">
        <v>20238751560</v>
      </c>
      <c r="B341" s="77" t="s">
        <v>172</v>
      </c>
      <c r="C341" s="82" t="s">
        <v>54</v>
      </c>
    </row>
    <row r="342" spans="1:3">
      <c r="A342" s="92">
        <v>30661143610</v>
      </c>
      <c r="B342" s="77" t="s">
        <v>555</v>
      </c>
      <c r="C342" s="82" t="s">
        <v>41</v>
      </c>
    </row>
    <row r="343" spans="1:3">
      <c r="A343" s="92">
        <v>30714331082</v>
      </c>
      <c r="B343" s="77" t="s">
        <v>148</v>
      </c>
      <c r="C343" s="82" t="s">
        <v>41</v>
      </c>
    </row>
    <row r="344" spans="1:3">
      <c r="A344" s="92">
        <v>33707920349</v>
      </c>
      <c r="B344" s="77" t="s">
        <v>242</v>
      </c>
      <c r="C344" s="82" t="s">
        <v>41</v>
      </c>
    </row>
    <row r="345" spans="1:3">
      <c r="A345" s="237">
        <v>30661498575</v>
      </c>
      <c r="B345" s="81" t="s">
        <v>203</v>
      </c>
      <c r="C345" s="82" t="s">
        <v>41</v>
      </c>
    </row>
    <row r="346" spans="1:3">
      <c r="A346" s="237">
        <v>33716711469</v>
      </c>
      <c r="B346" s="77" t="s">
        <v>568</v>
      </c>
      <c r="C346" s="82" t="s">
        <v>41</v>
      </c>
    </row>
    <row r="347" spans="1:3">
      <c r="A347" s="86">
        <v>33709738459</v>
      </c>
      <c r="B347" s="77" t="s">
        <v>62</v>
      </c>
      <c r="C347" s="82" t="s">
        <v>41</v>
      </c>
    </row>
    <row r="348" spans="1:3">
      <c r="A348" s="92">
        <v>30696246234</v>
      </c>
      <c r="B348" s="81" t="s">
        <v>161</v>
      </c>
      <c r="C348" s="82" t="s">
        <v>41</v>
      </c>
    </row>
    <row r="349" spans="1:3">
      <c r="A349" s="92">
        <v>30565786306</v>
      </c>
      <c r="B349" s="77" t="s">
        <v>574</v>
      </c>
      <c r="C349" s="82" t="s">
        <v>80</v>
      </c>
    </row>
    <row r="350" spans="1:3">
      <c r="A350" s="92">
        <v>30683032227</v>
      </c>
      <c r="B350" s="77" t="s">
        <v>544</v>
      </c>
      <c r="C350" s="82" t="s">
        <v>80</v>
      </c>
    </row>
    <row r="351" spans="1:3">
      <c r="A351" s="92">
        <v>30585412453</v>
      </c>
      <c r="B351" s="77" t="s">
        <v>248</v>
      </c>
      <c r="C351" s="82" t="s">
        <v>80</v>
      </c>
    </row>
    <row r="352" spans="1:3">
      <c r="A352" s="92">
        <v>30590412631</v>
      </c>
      <c r="B352" s="77" t="s">
        <v>83</v>
      </c>
      <c r="C352" s="82" t="s">
        <v>80</v>
      </c>
    </row>
    <row r="353" spans="1:3">
      <c r="A353" s="92">
        <v>30546666189</v>
      </c>
      <c r="B353" s="81" t="s">
        <v>85</v>
      </c>
      <c r="C353" s="82" t="s">
        <v>80</v>
      </c>
    </row>
    <row r="354" spans="1:3">
      <c r="A354" s="90">
        <v>30608716390</v>
      </c>
      <c r="B354" s="81" t="s">
        <v>128</v>
      </c>
      <c r="C354" s="82" t="s">
        <v>80</v>
      </c>
    </row>
    <row r="355" spans="1:3">
      <c r="A355" s="92">
        <v>30658137642</v>
      </c>
      <c r="B355" s="81" t="s">
        <v>87</v>
      </c>
      <c r="C355" s="82" t="s">
        <v>80</v>
      </c>
    </row>
    <row r="356" spans="1:3">
      <c r="A356" s="92">
        <v>30707080198</v>
      </c>
      <c r="B356" s="77" t="s">
        <v>66</v>
      </c>
      <c r="C356" s="82" t="s">
        <v>41</v>
      </c>
    </row>
    <row r="357" spans="1:3">
      <c r="A357" s="89">
        <v>30643862928</v>
      </c>
      <c r="B357" s="81" t="s">
        <v>170</v>
      </c>
      <c r="C357" s="82" t="s">
        <v>41</v>
      </c>
    </row>
    <row r="358" spans="1:3">
      <c r="A358" s="92">
        <v>20330614014</v>
      </c>
      <c r="B358" s="77" t="s">
        <v>370</v>
      </c>
      <c r="C358" s="82" t="s">
        <v>41</v>
      </c>
    </row>
    <row r="359" spans="1:3">
      <c r="A359" s="92">
        <v>20277164192</v>
      </c>
      <c r="B359" s="81" t="s">
        <v>122</v>
      </c>
      <c r="C359" s="82" t="s">
        <v>43</v>
      </c>
    </row>
    <row r="360" spans="1:3">
      <c r="A360" s="92">
        <v>20043911369</v>
      </c>
      <c r="B360" s="77" t="s">
        <v>210</v>
      </c>
      <c r="C360" s="82" t="s">
        <v>41</v>
      </c>
    </row>
    <row r="361" spans="1:3">
      <c r="A361" s="92">
        <v>20275351254</v>
      </c>
      <c r="B361" s="77" t="s">
        <v>446</v>
      </c>
      <c r="C361" s="82" t="s">
        <v>41</v>
      </c>
    </row>
    <row r="362" spans="1:3">
      <c r="A362" s="92">
        <v>30695542476</v>
      </c>
      <c r="B362" s="77" t="s">
        <v>291</v>
      </c>
      <c r="C362" s="82" t="s">
        <v>43</v>
      </c>
    </row>
    <row r="363" spans="1:3">
      <c r="A363" s="92">
        <v>30587197215</v>
      </c>
      <c r="B363" s="77" t="s">
        <v>496</v>
      </c>
      <c r="C363" s="82" t="s">
        <v>54</v>
      </c>
    </row>
    <row r="364" spans="1:3">
      <c r="A364" s="92">
        <v>30591633984</v>
      </c>
      <c r="B364" s="77" t="s">
        <v>119</v>
      </c>
      <c r="C364" s="82" t="s">
        <v>41</v>
      </c>
    </row>
    <row r="365" spans="1:3">
      <c r="A365" s="92">
        <v>30716815710</v>
      </c>
      <c r="B365" s="77" t="s">
        <v>360</v>
      </c>
      <c r="C365" s="82" t="s">
        <v>51</v>
      </c>
    </row>
    <row r="366" spans="1:3">
      <c r="A366" s="84">
        <v>30605041287</v>
      </c>
      <c r="B366" s="77" t="s">
        <v>272</v>
      </c>
      <c r="C366" s="82" t="s">
        <v>54</v>
      </c>
    </row>
    <row r="367" spans="1:3">
      <c r="A367" s="84">
        <v>27218733803</v>
      </c>
      <c r="B367" s="77" t="s">
        <v>329</v>
      </c>
      <c r="C367" s="82" t="s">
        <v>51</v>
      </c>
    </row>
    <row r="368" spans="1:3">
      <c r="A368" s="204">
        <v>33693786369</v>
      </c>
      <c r="B368" s="77" t="s">
        <v>424</v>
      </c>
      <c r="C368" s="82" t="s">
        <v>54</v>
      </c>
    </row>
    <row r="369" spans="1:3">
      <c r="A369" s="84">
        <v>30627583873</v>
      </c>
      <c r="B369" s="77" t="s">
        <v>260</v>
      </c>
      <c r="C369" s="82" t="s">
        <v>54</v>
      </c>
    </row>
    <row r="370" spans="1:3">
      <c r="A370" s="84">
        <v>30715413678</v>
      </c>
      <c r="B370" s="77" t="s">
        <v>380</v>
      </c>
      <c r="C370" s="82" t="s">
        <v>54</v>
      </c>
    </row>
    <row r="371" spans="1:3">
      <c r="A371" s="84">
        <v>20108555417</v>
      </c>
      <c r="B371" s="77" t="s">
        <v>468</v>
      </c>
      <c r="C371" s="82" t="s">
        <v>41</v>
      </c>
    </row>
    <row r="372" spans="1:3">
      <c r="A372" s="84">
        <v>20280154602</v>
      </c>
      <c r="B372" s="77" t="s">
        <v>320</v>
      </c>
      <c r="C372" s="82" t="s">
        <v>36</v>
      </c>
    </row>
    <row r="373" spans="1:3">
      <c r="A373" s="198">
        <v>23282830299</v>
      </c>
      <c r="B373" s="231" t="s">
        <v>434</v>
      </c>
      <c r="C373" s="232" t="s">
        <v>41</v>
      </c>
    </row>
    <row r="374" spans="1:3">
      <c r="A374" s="92">
        <v>27316249154</v>
      </c>
      <c r="B374" s="77" t="s">
        <v>513</v>
      </c>
      <c r="C374" s="82" t="s">
        <v>41</v>
      </c>
    </row>
    <row r="375" spans="1:3">
      <c r="A375" s="92">
        <v>20274327678</v>
      </c>
      <c r="B375" s="77" t="s">
        <v>429</v>
      </c>
      <c r="C375" s="82" t="s">
        <v>36</v>
      </c>
    </row>
    <row r="376" spans="1:3">
      <c r="A376" s="92">
        <v>27182477368</v>
      </c>
      <c r="B376" s="77" t="s">
        <v>74</v>
      </c>
      <c r="C376" s="82" t="s">
        <v>80</v>
      </c>
    </row>
    <row r="377" spans="1:3">
      <c r="A377" s="92">
        <v>20307462207</v>
      </c>
      <c r="B377" s="77" t="s">
        <v>271</v>
      </c>
      <c r="C377" s="82" t="s">
        <v>54</v>
      </c>
    </row>
    <row r="378" spans="1:3">
      <c r="A378" s="92">
        <v>20113613646</v>
      </c>
      <c r="B378" s="77" t="s">
        <v>418</v>
      </c>
      <c r="C378" s="82" t="s">
        <v>54</v>
      </c>
    </row>
    <row r="379" spans="1:3">
      <c r="A379" s="92">
        <v>30601502085</v>
      </c>
      <c r="B379" s="77" t="s">
        <v>478</v>
      </c>
      <c r="C379" s="82" t="s">
        <v>54</v>
      </c>
    </row>
    <row r="380" spans="1:3">
      <c r="A380" s="92">
        <v>20184015820</v>
      </c>
      <c r="B380" s="77" t="s">
        <v>492</v>
      </c>
      <c r="C380" s="82" t="s">
        <v>54</v>
      </c>
    </row>
    <row r="381" spans="1:3">
      <c r="A381" s="92">
        <v>30646512952</v>
      </c>
      <c r="B381" s="77" t="s">
        <v>477</v>
      </c>
      <c r="C381" s="82" t="s">
        <v>54</v>
      </c>
    </row>
    <row r="382" spans="1:3">
      <c r="A382" s="92">
        <v>27279386715</v>
      </c>
      <c r="B382" s="77" t="s">
        <v>261</v>
      </c>
      <c r="C382" s="82" t="s">
        <v>54</v>
      </c>
    </row>
    <row r="383" spans="1:3">
      <c r="A383" s="92">
        <v>27370346742</v>
      </c>
      <c r="B383" s="77" t="s">
        <v>189</v>
      </c>
      <c r="C383" s="82" t="s">
        <v>177</v>
      </c>
    </row>
    <row r="384" spans="1:3">
      <c r="A384" s="92">
        <v>20046086806</v>
      </c>
      <c r="B384" s="77" t="s">
        <v>489</v>
      </c>
      <c r="C384" s="82" t="s">
        <v>54</v>
      </c>
    </row>
    <row r="385" spans="1:3">
      <c r="A385" s="88">
        <v>27265302225</v>
      </c>
      <c r="B385" s="81" t="s">
        <v>165</v>
      </c>
      <c r="C385" s="82" t="s">
        <v>41</v>
      </c>
    </row>
    <row r="386" spans="1:3">
      <c r="A386" s="92">
        <v>20264653313</v>
      </c>
      <c r="B386" s="77" t="s">
        <v>494</v>
      </c>
      <c r="C386" s="82" t="s">
        <v>36</v>
      </c>
    </row>
    <row r="387" spans="1:3">
      <c r="A387" s="92">
        <v>30577428618</v>
      </c>
      <c r="B387" s="77" t="s">
        <v>571</v>
      </c>
      <c r="C387" s="82" t="s">
        <v>54</v>
      </c>
    </row>
    <row r="388" spans="1:3">
      <c r="A388" s="92">
        <v>30715740806</v>
      </c>
      <c r="B388" s="77" t="s">
        <v>266</v>
      </c>
      <c r="C388" s="82" t="s">
        <v>54</v>
      </c>
    </row>
    <row r="389" spans="1:3">
      <c r="A389" s="92">
        <v>20362272441</v>
      </c>
      <c r="B389" s="77" t="s">
        <v>521</v>
      </c>
      <c r="C389" s="82" t="s">
        <v>41</v>
      </c>
    </row>
    <row r="390" spans="1:3">
      <c r="A390" s="92">
        <v>20253804336</v>
      </c>
      <c r="B390" s="77" t="s">
        <v>419</v>
      </c>
      <c r="C390" s="82" t="s">
        <v>41</v>
      </c>
    </row>
    <row r="391" spans="1:3">
      <c r="A391" s="92">
        <v>30707970010</v>
      </c>
      <c r="B391" s="77" t="s">
        <v>250</v>
      </c>
      <c r="C391" s="82" t="s">
        <v>41</v>
      </c>
    </row>
    <row r="392" spans="1:3">
      <c r="A392" s="92">
        <v>27368203829</v>
      </c>
      <c r="B392" s="77" t="s">
        <v>412</v>
      </c>
      <c r="C392" s="82" t="s">
        <v>41</v>
      </c>
    </row>
    <row r="393" spans="1:3">
      <c r="A393" s="92">
        <v>30709776564</v>
      </c>
      <c r="B393" s="77" t="s">
        <v>134</v>
      </c>
      <c r="C393" s="82" t="s">
        <v>135</v>
      </c>
    </row>
    <row r="394" spans="1:3">
      <c r="A394" s="237">
        <v>20285597405</v>
      </c>
      <c r="B394" s="77" t="s">
        <v>385</v>
      </c>
      <c r="C394" s="82" t="s">
        <v>54</v>
      </c>
    </row>
    <row r="395" spans="1:3">
      <c r="A395" s="237">
        <v>30716821478</v>
      </c>
      <c r="B395" s="77" t="s">
        <v>425</v>
      </c>
      <c r="C395" s="82" t="s">
        <v>41</v>
      </c>
    </row>
    <row r="396" spans="1:3">
      <c r="A396" s="89">
        <v>20182721787</v>
      </c>
      <c r="B396" s="81" t="s">
        <v>171</v>
      </c>
      <c r="C396" s="82" t="s">
        <v>41</v>
      </c>
    </row>
    <row r="397" spans="1:3">
      <c r="A397" s="92">
        <v>20289111329</v>
      </c>
      <c r="B397" s="77" t="s">
        <v>470</v>
      </c>
      <c r="C397" s="82" t="s">
        <v>41</v>
      </c>
    </row>
    <row r="398" spans="1:3">
      <c r="A398" s="92">
        <v>27233748205</v>
      </c>
      <c r="B398" s="77" t="s">
        <v>301</v>
      </c>
      <c r="C398" s="82" t="s">
        <v>41</v>
      </c>
    </row>
    <row r="399" spans="1:3">
      <c r="A399" s="92">
        <v>30707370552</v>
      </c>
      <c r="B399" s="77" t="s">
        <v>297</v>
      </c>
      <c r="C399" s="82" t="s">
        <v>41</v>
      </c>
    </row>
    <row r="400" spans="1:3">
      <c r="A400" s="92">
        <v>20142643384</v>
      </c>
      <c r="B400" s="77" t="s">
        <v>583</v>
      </c>
      <c r="C400" s="82" t="s">
        <v>41</v>
      </c>
    </row>
    <row r="401" spans="1:3">
      <c r="A401" s="92">
        <v>20202500138</v>
      </c>
      <c r="B401" s="81" t="s">
        <v>123</v>
      </c>
      <c r="C401" s="82" t="s">
        <v>124</v>
      </c>
    </row>
    <row r="402" spans="1:3">
      <c r="A402" s="92">
        <v>27181965709</v>
      </c>
      <c r="B402" s="77" t="s">
        <v>508</v>
      </c>
      <c r="C402" s="82" t="s">
        <v>36</v>
      </c>
    </row>
    <row r="403" spans="1:3">
      <c r="A403" s="92">
        <v>30715141201</v>
      </c>
      <c r="B403" s="77" t="s">
        <v>147</v>
      </c>
      <c r="C403" s="82" t="s">
        <v>41</v>
      </c>
    </row>
    <row r="404" spans="1:3">
      <c r="A404" s="92">
        <v>30709214078</v>
      </c>
      <c r="B404" s="77" t="s">
        <v>44</v>
      </c>
      <c r="C404" s="82" t="s">
        <v>41</v>
      </c>
    </row>
    <row r="405" spans="1:3">
      <c r="A405" s="89">
        <v>30711764921</v>
      </c>
      <c r="B405" s="77" t="s">
        <v>157</v>
      </c>
      <c r="C405" s="82" t="s">
        <v>41</v>
      </c>
    </row>
    <row r="406" spans="1:3">
      <c r="A406" s="92">
        <v>30710473990</v>
      </c>
      <c r="B406" s="77" t="s">
        <v>69</v>
      </c>
      <c r="C406" s="82" t="s">
        <v>54</v>
      </c>
    </row>
    <row r="407" spans="1:3">
      <c r="A407" s="92">
        <v>30711013969</v>
      </c>
      <c r="B407" s="77" t="s">
        <v>589</v>
      </c>
      <c r="C407" s="82" t="s">
        <v>36</v>
      </c>
    </row>
    <row r="408" spans="1:3">
      <c r="A408" s="92">
        <v>20319885812</v>
      </c>
      <c r="B408" s="77" t="s">
        <v>319</v>
      </c>
      <c r="C408" s="82" t="s">
        <v>41</v>
      </c>
    </row>
    <row r="409" spans="1:3">
      <c r="A409" s="92">
        <v>23106878269</v>
      </c>
      <c r="B409" s="77" t="s">
        <v>516</v>
      </c>
      <c r="C409" s="82" t="s">
        <v>41</v>
      </c>
    </row>
    <row r="410" spans="1:3">
      <c r="A410" s="92">
        <v>20133694146</v>
      </c>
      <c r="B410" s="77" t="s">
        <v>346</v>
      </c>
      <c r="C410" s="82" t="s">
        <v>54</v>
      </c>
    </row>
    <row r="411" spans="1:3">
      <c r="A411" s="92">
        <v>20117741398</v>
      </c>
      <c r="B411" s="77" t="s">
        <v>388</v>
      </c>
      <c r="C411" s="82" t="s">
        <v>54</v>
      </c>
    </row>
    <row r="412" spans="1:3">
      <c r="A412" s="92">
        <v>33716449829</v>
      </c>
      <c r="B412" s="77" t="s">
        <v>279</v>
      </c>
      <c r="C412" s="82" t="s">
        <v>36</v>
      </c>
    </row>
    <row r="413" spans="1:3">
      <c r="A413" s="237">
        <v>30642659312</v>
      </c>
      <c r="B413" s="77" t="s">
        <v>344</v>
      </c>
      <c r="C413" s="82" t="s">
        <v>41</v>
      </c>
    </row>
    <row r="414" spans="1:3">
      <c r="A414" s="89">
        <v>23233422029</v>
      </c>
      <c r="B414" s="81" t="s">
        <v>176</v>
      </c>
      <c r="C414" s="82" t="s">
        <v>41</v>
      </c>
    </row>
    <row r="415" spans="1:3">
      <c r="A415" s="92">
        <v>20183700805</v>
      </c>
      <c r="B415" s="77" t="s">
        <v>371</v>
      </c>
      <c r="C415" s="82" t="s">
        <v>38</v>
      </c>
    </row>
    <row r="416" spans="1:3">
      <c r="A416" s="92">
        <v>27313805293</v>
      </c>
      <c r="B416" s="77" t="s">
        <v>382</v>
      </c>
      <c r="C416" s="82" t="s">
        <v>54</v>
      </c>
    </row>
    <row r="417" spans="1:3">
      <c r="A417" s="92">
        <v>30708552808</v>
      </c>
      <c r="B417" s="77" t="s">
        <v>379</v>
      </c>
      <c r="C417" s="82" t="s">
        <v>54</v>
      </c>
    </row>
    <row r="418" spans="1:3">
      <c r="A418" s="88">
        <v>30715048066</v>
      </c>
      <c r="B418" s="77" t="s">
        <v>55</v>
      </c>
      <c r="C418" s="82" t="s">
        <v>54</v>
      </c>
    </row>
    <row r="419" spans="1:3">
      <c r="A419" s="92">
        <v>23122329119</v>
      </c>
      <c r="B419" s="77" t="s">
        <v>476</v>
      </c>
      <c r="C419" s="82" t="s">
        <v>54</v>
      </c>
    </row>
    <row r="420" spans="1:3">
      <c r="A420" s="92">
        <v>30710638973</v>
      </c>
      <c r="B420" s="77" t="s">
        <v>525</v>
      </c>
      <c r="C420" s="82" t="s">
        <v>54</v>
      </c>
    </row>
    <row r="421" spans="1:3">
      <c r="A421" s="89">
        <v>30595553535</v>
      </c>
      <c r="B421" s="81" t="s">
        <v>207</v>
      </c>
      <c r="C421" s="82" t="s">
        <v>181</v>
      </c>
    </row>
    <row r="422" spans="1:3">
      <c r="A422" s="92">
        <v>20044272009</v>
      </c>
      <c r="B422" s="77" t="s">
        <v>359</v>
      </c>
      <c r="C422" s="82" t="s">
        <v>51</v>
      </c>
    </row>
    <row r="423" spans="1:3">
      <c r="A423" s="92">
        <v>20254412490</v>
      </c>
      <c r="B423" s="77" t="s">
        <v>305</v>
      </c>
      <c r="C423" s="82" t="s">
        <v>54</v>
      </c>
    </row>
    <row r="424" spans="1:3">
      <c r="A424" s="90">
        <v>23111810184</v>
      </c>
      <c r="B424" s="77" t="s">
        <v>190</v>
      </c>
      <c r="C424" s="82" t="s">
        <v>80</v>
      </c>
    </row>
    <row r="425" spans="1:3">
      <c r="A425" s="92">
        <v>20394693864</v>
      </c>
      <c r="B425" s="77" t="s">
        <v>553</v>
      </c>
      <c r="C425" s="82" t="s">
        <v>54</v>
      </c>
    </row>
    <row r="426" spans="1:3">
      <c r="A426" s="92">
        <v>30711553564</v>
      </c>
      <c r="B426" s="77" t="s">
        <v>239</v>
      </c>
      <c r="C426" s="82" t="s">
        <v>41</v>
      </c>
    </row>
    <row r="427" spans="1:3">
      <c r="A427" s="92">
        <v>30588919826</v>
      </c>
      <c r="B427" s="77" t="s">
        <v>475</v>
      </c>
      <c r="C427" s="82" t="s">
        <v>54</v>
      </c>
    </row>
    <row r="428" spans="1:3">
      <c r="A428" s="92">
        <v>30586172308</v>
      </c>
      <c r="B428" s="77" t="s">
        <v>252</v>
      </c>
      <c r="C428" s="82" t="s">
        <v>51</v>
      </c>
    </row>
    <row r="429" spans="1:3">
      <c r="A429" s="92">
        <v>27217606255</v>
      </c>
      <c r="B429" s="77" t="s">
        <v>362</v>
      </c>
      <c r="C429" s="82" t="s">
        <v>41</v>
      </c>
    </row>
    <row r="430" spans="1:3">
      <c r="A430" s="92">
        <v>23255491784</v>
      </c>
      <c r="B430" s="77" t="s">
        <v>358</v>
      </c>
      <c r="C430" s="82" t="s">
        <v>41</v>
      </c>
    </row>
    <row r="431" spans="1:3">
      <c r="A431" s="92">
        <v>33693506099</v>
      </c>
      <c r="B431" s="77" t="s">
        <v>336</v>
      </c>
      <c r="C431" s="82" t="s">
        <v>54</v>
      </c>
    </row>
    <row r="432" spans="1:3">
      <c r="A432" s="92">
        <v>20268417762</v>
      </c>
      <c r="B432" s="77" t="s">
        <v>595</v>
      </c>
      <c r="C432" s="82" t="s">
        <v>54</v>
      </c>
    </row>
    <row r="433" spans="1:3">
      <c r="A433" s="92">
        <v>33710130189</v>
      </c>
      <c r="B433" s="77" t="s">
        <v>550</v>
      </c>
      <c r="C433" s="82" t="s">
        <v>41</v>
      </c>
    </row>
    <row r="434" spans="1:3">
      <c r="A434" s="92">
        <v>30690142860</v>
      </c>
      <c r="B434" s="77" t="s">
        <v>233</v>
      </c>
      <c r="C434" s="82" t="s">
        <v>36</v>
      </c>
    </row>
    <row r="435" spans="1:3">
      <c r="A435" s="92">
        <v>30710276273</v>
      </c>
      <c r="B435" s="77" t="s">
        <v>484</v>
      </c>
      <c r="C435" s="82" t="s">
        <v>36</v>
      </c>
    </row>
    <row r="436" spans="1:3">
      <c r="A436" s="92">
        <v>30709570664</v>
      </c>
      <c r="B436" s="77" t="s">
        <v>517</v>
      </c>
      <c r="C436" s="82" t="s">
        <v>41</v>
      </c>
    </row>
    <row r="437" spans="1:3">
      <c r="A437" s="92">
        <v>30638340689</v>
      </c>
      <c r="B437" s="77" t="s">
        <v>340</v>
      </c>
      <c r="C437" s="82" t="s">
        <v>41</v>
      </c>
    </row>
    <row r="438" spans="1:3">
      <c r="A438" s="92">
        <v>30709525839</v>
      </c>
      <c r="B438" s="77" t="s">
        <v>545</v>
      </c>
      <c r="C438" s="82" t="s">
        <v>41</v>
      </c>
    </row>
    <row r="439" spans="1:3">
      <c r="A439" s="237">
        <v>30710682026</v>
      </c>
      <c r="B439" s="77" t="s">
        <v>391</v>
      </c>
      <c r="C439" s="82" t="s">
        <v>54</v>
      </c>
    </row>
    <row r="440" spans="1:3">
      <c r="A440" s="92">
        <v>33709619719</v>
      </c>
      <c r="B440" s="77" t="s">
        <v>530</v>
      </c>
      <c r="C440" s="82" t="s">
        <v>54</v>
      </c>
    </row>
    <row r="441" spans="1:3">
      <c r="A441" s="92">
        <v>30645722554</v>
      </c>
      <c r="B441" s="77" t="s">
        <v>378</v>
      </c>
      <c r="C441" s="82" t="s">
        <v>54</v>
      </c>
    </row>
    <row r="442" spans="1:3">
      <c r="A442" s="92">
        <v>30715753541</v>
      </c>
      <c r="B442" s="77" t="s">
        <v>497</v>
      </c>
      <c r="C442" s="82" t="s">
        <v>54</v>
      </c>
    </row>
    <row r="443" spans="1:3">
      <c r="A443" s="92">
        <v>30598960093</v>
      </c>
      <c r="B443" s="77" t="s">
        <v>67</v>
      </c>
      <c r="C443" s="82" t="s">
        <v>41</v>
      </c>
    </row>
    <row r="444" spans="1:3">
      <c r="A444" s="92">
        <v>20351173913</v>
      </c>
      <c r="B444" s="77" t="s">
        <v>227</v>
      </c>
      <c r="C444" s="82" t="s">
        <v>41</v>
      </c>
    </row>
    <row r="445" spans="1:3">
      <c r="A445" s="92">
        <v>30702071506</v>
      </c>
      <c r="B445" s="77" t="s">
        <v>309</v>
      </c>
      <c r="C445" s="82" t="s">
        <v>54</v>
      </c>
    </row>
    <row r="446" spans="1:3">
      <c r="A446" s="92">
        <v>30711842809</v>
      </c>
      <c r="B446" s="77" t="s">
        <v>381</v>
      </c>
      <c r="C446" s="82" t="s">
        <v>54</v>
      </c>
    </row>
    <row r="447" spans="1:3">
      <c r="A447" s="92">
        <v>30654118767</v>
      </c>
      <c r="B447" s="77" t="s">
        <v>268</v>
      </c>
      <c r="C447" s="82" t="s">
        <v>41</v>
      </c>
    </row>
    <row r="448" spans="1:3">
      <c r="A448" s="239">
        <v>30716393360</v>
      </c>
      <c r="B448" s="77" t="s">
        <v>195</v>
      </c>
      <c r="C448" s="82" t="s">
        <v>41</v>
      </c>
    </row>
    <row r="449" spans="1:3">
      <c r="A449" s="92">
        <v>33715594949</v>
      </c>
      <c r="B449" s="77" t="s">
        <v>569</v>
      </c>
      <c r="C449" s="82" t="s">
        <v>124</v>
      </c>
    </row>
    <row r="450" spans="1:3">
      <c r="A450" s="90">
        <v>27066622997</v>
      </c>
      <c r="B450" s="77" t="s">
        <v>180</v>
      </c>
      <c r="C450" s="82" t="s">
        <v>181</v>
      </c>
    </row>
    <row r="451" spans="1:3">
      <c r="A451" s="92">
        <v>27283627573</v>
      </c>
      <c r="B451" s="77" t="s">
        <v>570</v>
      </c>
      <c r="C451" s="82" t="s">
        <v>124</v>
      </c>
    </row>
    <row r="452" spans="1:3">
      <c r="A452" s="237">
        <v>20300821872</v>
      </c>
      <c r="B452" s="77" t="s">
        <v>455</v>
      </c>
      <c r="C452" s="82" t="s">
        <v>54</v>
      </c>
    </row>
    <row r="453" spans="1:3">
      <c r="A453" s="92">
        <v>30715668994</v>
      </c>
      <c r="B453" s="77" t="s">
        <v>593</v>
      </c>
      <c r="C453" s="82" t="s">
        <v>41</v>
      </c>
    </row>
    <row r="454" spans="1:3">
      <c r="A454" s="92">
        <v>30577797281</v>
      </c>
      <c r="B454" s="77" t="s">
        <v>145</v>
      </c>
      <c r="C454" s="82" t="s">
        <v>80</v>
      </c>
    </row>
    <row r="455" spans="1:3">
      <c r="A455" s="92">
        <v>23250955529</v>
      </c>
      <c r="B455" s="77" t="s">
        <v>246</v>
      </c>
      <c r="C455" s="82" t="s">
        <v>54</v>
      </c>
    </row>
    <row r="456" spans="1:3">
      <c r="A456" s="92">
        <v>20314785593</v>
      </c>
      <c r="B456" s="77" t="s">
        <v>155</v>
      </c>
      <c r="C456" s="82" t="s">
        <v>41</v>
      </c>
    </row>
    <row r="457" spans="1:3">
      <c r="A457" s="92">
        <v>30715458744</v>
      </c>
      <c r="B457" s="77" t="s">
        <v>308</v>
      </c>
      <c r="C457" s="82" t="s">
        <v>54</v>
      </c>
    </row>
    <row r="458" spans="1:3">
      <c r="A458" s="238">
        <v>27267575997</v>
      </c>
      <c r="B458" s="77" t="s">
        <v>363</v>
      </c>
      <c r="C458" s="82" t="s">
        <v>36</v>
      </c>
    </row>
    <row r="459" spans="1:3">
      <c r="A459" s="92">
        <v>20310122212</v>
      </c>
      <c r="B459" s="77" t="s">
        <v>363</v>
      </c>
      <c r="C459" s="82" t="s">
        <v>41</v>
      </c>
    </row>
    <row r="460" spans="1:3">
      <c r="A460" s="92">
        <v>20229905199</v>
      </c>
      <c r="B460" s="77" t="s">
        <v>600</v>
      </c>
      <c r="C460" s="82" t="s">
        <v>54</v>
      </c>
    </row>
    <row r="461" spans="1:3">
      <c r="A461" s="92">
        <v>30505459179</v>
      </c>
      <c r="B461" s="77" t="s">
        <v>283</v>
      </c>
      <c r="C461" s="82" t="s">
        <v>41</v>
      </c>
    </row>
    <row r="462" spans="1:3">
      <c r="A462" s="92">
        <v>23145783224</v>
      </c>
      <c r="B462" s="77" t="s">
        <v>65</v>
      </c>
      <c r="C462" s="82" t="s">
        <v>41</v>
      </c>
    </row>
    <row r="463" spans="1:3">
      <c r="A463" s="92">
        <v>30710114176</v>
      </c>
      <c r="B463" s="77" t="s">
        <v>438</v>
      </c>
      <c r="C463" s="82" t="s">
        <v>54</v>
      </c>
    </row>
    <row r="464" spans="1:3">
      <c r="A464" s="92">
        <v>30700939797</v>
      </c>
      <c r="B464" s="77" t="s">
        <v>559</v>
      </c>
      <c r="C464" s="82" t="s">
        <v>41</v>
      </c>
    </row>
    <row r="465" spans="1:3">
      <c r="A465" s="92">
        <v>30710177658</v>
      </c>
      <c r="B465" s="77" t="s">
        <v>118</v>
      </c>
      <c r="C465" s="82" t="s">
        <v>41</v>
      </c>
    </row>
    <row r="466" spans="1:3">
      <c r="A466" s="92">
        <v>30687489221</v>
      </c>
      <c r="B466" s="77" t="s">
        <v>499</v>
      </c>
      <c r="C466" s="82" t="s">
        <v>36</v>
      </c>
    </row>
    <row r="467" spans="1:3">
      <c r="A467" s="237">
        <v>20283639941</v>
      </c>
      <c r="B467" s="77" t="s">
        <v>384</v>
      </c>
      <c r="C467" s="82" t="s">
        <v>54</v>
      </c>
    </row>
    <row r="468" spans="1:3">
      <c r="A468" s="89">
        <v>30708960736</v>
      </c>
      <c r="B468" s="81" t="s">
        <v>163</v>
      </c>
      <c r="C468" s="82" t="s">
        <v>41</v>
      </c>
    </row>
    <row r="469" spans="1:3">
      <c r="A469" s="92">
        <v>33716532769</v>
      </c>
      <c r="B469" s="77" t="s">
        <v>311</v>
      </c>
      <c r="C469" s="82" t="s">
        <v>41</v>
      </c>
    </row>
    <row r="470" spans="1:3">
      <c r="A470" s="92">
        <v>30639453738</v>
      </c>
      <c r="B470" s="77" t="s">
        <v>140</v>
      </c>
      <c r="C470" s="82" t="s">
        <v>39</v>
      </c>
    </row>
    <row r="471" spans="1:3">
      <c r="A471" s="92">
        <v>30639453975</v>
      </c>
      <c r="B471" s="77" t="s">
        <v>139</v>
      </c>
      <c r="C471" s="82" t="s">
        <v>39</v>
      </c>
    </row>
    <row r="472" spans="1:3">
      <c r="A472" s="92">
        <v>30678814357</v>
      </c>
      <c r="B472" s="77" t="s">
        <v>117</v>
      </c>
      <c r="C472" s="82" t="s">
        <v>39</v>
      </c>
    </row>
    <row r="473" spans="1:3">
      <c r="A473" s="92">
        <v>30712450408</v>
      </c>
      <c r="B473" s="77" t="s">
        <v>404</v>
      </c>
      <c r="C473" s="82" t="s">
        <v>54</v>
      </c>
    </row>
    <row r="474" spans="1:3">
      <c r="A474" s="92">
        <v>30716018373</v>
      </c>
      <c r="B474" s="77" t="s">
        <v>298</v>
      </c>
      <c r="C474" s="82" t="s">
        <v>36</v>
      </c>
    </row>
    <row r="475" spans="1:3">
      <c r="A475" s="92">
        <v>30616031143</v>
      </c>
      <c r="B475" s="77" t="s">
        <v>141</v>
      </c>
      <c r="C475" s="82" t="s">
        <v>54</v>
      </c>
    </row>
    <row r="476" spans="1:3">
      <c r="A476" s="92">
        <v>30683612916</v>
      </c>
      <c r="B476" s="77" t="s">
        <v>580</v>
      </c>
      <c r="C476" s="82" t="s">
        <v>36</v>
      </c>
    </row>
    <row r="477" spans="1:3">
      <c r="A477" s="92">
        <v>30711188416</v>
      </c>
      <c r="B477" s="77" t="s">
        <v>421</v>
      </c>
      <c r="C477" s="82" t="s">
        <v>36</v>
      </c>
    </row>
    <row r="478" spans="1:3">
      <c r="A478" s="92">
        <v>30711811253</v>
      </c>
      <c r="B478" s="77" t="s">
        <v>416</v>
      </c>
      <c r="C478" s="82" t="s">
        <v>41</v>
      </c>
    </row>
    <row r="479" spans="1:3">
      <c r="A479" s="89">
        <v>30712305513</v>
      </c>
      <c r="B479" s="81" t="s">
        <v>167</v>
      </c>
      <c r="C479" s="82" t="s">
        <v>41</v>
      </c>
    </row>
    <row r="480" spans="1:3">
      <c r="A480" s="92">
        <v>20131067446</v>
      </c>
      <c r="B480" s="77" t="s">
        <v>420</v>
      </c>
      <c r="C480" s="82" t="s">
        <v>41</v>
      </c>
    </row>
    <row r="481" spans="1:3">
      <c r="A481" s="92">
        <v>30646150406</v>
      </c>
      <c r="B481" s="77" t="s">
        <v>146</v>
      </c>
      <c r="C481" s="82" t="s">
        <v>41</v>
      </c>
    </row>
    <row r="482" spans="1:3">
      <c r="A482" s="92">
        <v>27299725761</v>
      </c>
      <c r="B482" s="77" t="s">
        <v>524</v>
      </c>
      <c r="C482" s="82" t="s">
        <v>41</v>
      </c>
    </row>
    <row r="483" spans="1:3">
      <c r="A483" s="92">
        <v>30531602273</v>
      </c>
      <c r="B483" s="81" t="s">
        <v>86</v>
      </c>
      <c r="C483" s="82" t="s">
        <v>80</v>
      </c>
    </row>
    <row r="484" spans="1:3">
      <c r="A484" s="238">
        <v>30556565798</v>
      </c>
      <c r="B484" s="77" t="s">
        <v>243</v>
      </c>
      <c r="C484" s="82" t="s">
        <v>36</v>
      </c>
    </row>
    <row r="485" spans="1:3">
      <c r="A485" s="88">
        <v>20257137326</v>
      </c>
      <c r="B485" s="77" t="s">
        <v>178</v>
      </c>
      <c r="C485" s="82" t="s">
        <v>41</v>
      </c>
    </row>
    <row r="486" spans="1:3">
      <c r="A486" s="92">
        <v>20216451679</v>
      </c>
      <c r="B486" s="77" t="s">
        <v>480</v>
      </c>
      <c r="C486" s="82" t="s">
        <v>41</v>
      </c>
    </row>
    <row r="487" spans="1:3">
      <c r="A487" s="237">
        <v>27415594742</v>
      </c>
      <c r="B487" s="77" t="s">
        <v>426</v>
      </c>
      <c r="C487" s="82" t="s">
        <v>41</v>
      </c>
    </row>
    <row r="488" spans="1:3">
      <c r="A488" s="89">
        <v>20247225243</v>
      </c>
      <c r="B488" s="77" t="s">
        <v>45</v>
      </c>
      <c r="C488" s="82" t="s">
        <v>41</v>
      </c>
    </row>
    <row r="489" spans="1:3">
      <c r="A489" s="92">
        <v>30561769644</v>
      </c>
      <c r="B489" s="77" t="s">
        <v>450</v>
      </c>
      <c r="C489" s="82" t="s">
        <v>54</v>
      </c>
    </row>
    <row r="490" spans="1:3">
      <c r="A490" s="92">
        <v>27247019370</v>
      </c>
      <c r="B490" s="77" t="s">
        <v>474</v>
      </c>
      <c r="C490" s="82" t="s">
        <v>41</v>
      </c>
    </row>
    <row r="491" spans="1:3">
      <c r="A491" s="92">
        <v>30707977120</v>
      </c>
      <c r="B491" s="77" t="s">
        <v>573</v>
      </c>
      <c r="C491" s="82" t="s">
        <v>54</v>
      </c>
    </row>
    <row r="492" spans="1:3">
      <c r="A492" s="88">
        <v>27211421202</v>
      </c>
      <c r="B492" s="77" t="s">
        <v>188</v>
      </c>
      <c r="C492" s="82" t="s">
        <v>41</v>
      </c>
    </row>
    <row r="493" spans="1:3">
      <c r="A493" s="92">
        <v>30540059078</v>
      </c>
      <c r="B493" s="77" t="s">
        <v>527</v>
      </c>
      <c r="C493" s="82" t="s">
        <v>54</v>
      </c>
    </row>
    <row r="494" spans="1:3">
      <c r="A494" s="92">
        <v>30714950750</v>
      </c>
      <c r="B494" s="77" t="s">
        <v>339</v>
      </c>
      <c r="C494" s="82" t="s">
        <v>41</v>
      </c>
    </row>
    <row r="495" spans="1:3">
      <c r="A495" s="92">
        <v>20317488476</v>
      </c>
      <c r="B495" s="77" t="s">
        <v>259</v>
      </c>
      <c r="C495" s="82" t="s">
        <v>41</v>
      </c>
    </row>
    <row r="496" spans="1:3">
      <c r="A496" s="92">
        <v>27256759646</v>
      </c>
      <c r="B496" s="77" t="s">
        <v>505</v>
      </c>
      <c r="C496" s="82" t="s">
        <v>41</v>
      </c>
    </row>
    <row r="497" spans="1:3">
      <c r="A497" s="238">
        <v>20321447997</v>
      </c>
      <c r="B497" s="77" t="s">
        <v>400</v>
      </c>
      <c r="C497" s="82" t="s">
        <v>54</v>
      </c>
    </row>
    <row r="498" spans="1:3">
      <c r="A498" s="92">
        <v>27237719145</v>
      </c>
      <c r="B498" s="77" t="s">
        <v>547</v>
      </c>
      <c r="C498" s="82" t="s">
        <v>41</v>
      </c>
    </row>
    <row r="499" spans="1:3">
      <c r="A499" s="92">
        <v>27169596439</v>
      </c>
      <c r="B499" s="77" t="s">
        <v>467</v>
      </c>
      <c r="C499" s="82" t="s">
        <v>54</v>
      </c>
    </row>
    <row r="500" spans="1:3">
      <c r="A500" s="89">
        <v>23929701364</v>
      </c>
      <c r="B500" s="81" t="s">
        <v>206</v>
      </c>
      <c r="C500" s="82" t="s">
        <v>36</v>
      </c>
    </row>
    <row r="501" spans="1:3">
      <c r="A501" s="92">
        <v>30714867349</v>
      </c>
      <c r="B501" s="77" t="s">
        <v>264</v>
      </c>
      <c r="C501" s="82" t="s">
        <v>54</v>
      </c>
    </row>
    <row r="502" spans="1:3">
      <c r="A502" s="92">
        <v>30708534907</v>
      </c>
      <c r="B502" s="77" t="s">
        <v>510</v>
      </c>
      <c r="C502" s="82" t="s">
        <v>41</v>
      </c>
    </row>
    <row r="503" spans="1:3">
      <c r="A503" s="92">
        <v>20231247239</v>
      </c>
      <c r="B503" s="77" t="s">
        <v>156</v>
      </c>
      <c r="C503" s="82" t="s">
        <v>41</v>
      </c>
    </row>
    <row r="504" spans="1:3">
      <c r="A504" s="92">
        <v>30717172651</v>
      </c>
      <c r="B504" s="77" t="s">
        <v>554</v>
      </c>
      <c r="C504" s="82" t="s">
        <v>41</v>
      </c>
    </row>
    <row r="505" spans="1:3">
      <c r="A505" s="84">
        <v>20332986636</v>
      </c>
      <c r="B505" s="77" t="s">
        <v>452</v>
      </c>
      <c r="C505" s="82" t="s">
        <v>36</v>
      </c>
    </row>
    <row r="506" spans="1:3">
      <c r="A506" s="92">
        <v>20167787372</v>
      </c>
      <c r="B506" s="77" t="s">
        <v>588</v>
      </c>
      <c r="C506" s="82" t="s">
        <v>36</v>
      </c>
    </row>
    <row r="507" spans="1:3">
      <c r="A507" s="92">
        <v>20921994908</v>
      </c>
      <c r="B507" s="77" t="s">
        <v>557</v>
      </c>
      <c r="C507" s="82" t="s">
        <v>54</v>
      </c>
    </row>
    <row r="508" spans="1:3">
      <c r="A508" s="92">
        <v>20168475803</v>
      </c>
      <c r="B508" s="77" t="s">
        <v>314</v>
      </c>
      <c r="C508" s="82" t="s">
        <v>54</v>
      </c>
    </row>
    <row r="509" spans="1:3">
      <c r="A509" s="92">
        <v>27944827345</v>
      </c>
      <c r="B509" s="77" t="s">
        <v>601</v>
      </c>
      <c r="C509" s="82" t="s">
        <v>54</v>
      </c>
    </row>
    <row r="510" spans="1:3">
      <c r="A510" s="92">
        <v>30708375582</v>
      </c>
      <c r="B510" s="77" t="s">
        <v>602</v>
      </c>
      <c r="C510" s="82" t="s">
        <v>36</v>
      </c>
    </row>
    <row r="511" spans="1:3">
      <c r="A511" s="92">
        <v>23936845509</v>
      </c>
      <c r="B511" s="77" t="s">
        <v>603</v>
      </c>
      <c r="C511" s="82" t="s">
        <v>54</v>
      </c>
    </row>
    <row r="512" spans="1:3">
      <c r="A512" s="92">
        <v>30707927409</v>
      </c>
      <c r="B512" s="77" t="s">
        <v>604</v>
      </c>
      <c r="C512" s="82" t="s">
        <v>36</v>
      </c>
    </row>
    <row r="513" spans="1:3">
      <c r="A513" s="92">
        <v>30626009618</v>
      </c>
      <c r="B513" s="77" t="s">
        <v>605</v>
      </c>
      <c r="C513" s="82" t="s">
        <v>36</v>
      </c>
    </row>
    <row r="514" spans="1:3">
      <c r="A514" s="92">
        <v>30709904872</v>
      </c>
      <c r="B514" s="77" t="s">
        <v>606</v>
      </c>
      <c r="C514" s="82" t="s">
        <v>36</v>
      </c>
    </row>
    <row r="515" spans="1:3">
      <c r="A515" s="92">
        <v>30643922157</v>
      </c>
      <c r="B515" s="77" t="s">
        <v>607</v>
      </c>
      <c r="C515" s="82" t="s">
        <v>36</v>
      </c>
    </row>
    <row r="516" spans="1:3">
      <c r="A516" s="92">
        <v>33717383139</v>
      </c>
      <c r="B516" s="77" t="s">
        <v>608</v>
      </c>
      <c r="C516" s="82" t="s">
        <v>54</v>
      </c>
    </row>
    <row r="517" spans="1:3">
      <c r="A517" s="92">
        <v>30708847247</v>
      </c>
      <c r="B517" s="77" t="s">
        <v>609</v>
      </c>
      <c r="C517" s="82" t="s">
        <v>36</v>
      </c>
    </row>
    <row r="518" spans="1:3">
      <c r="A518" s="92">
        <v>33710271149</v>
      </c>
      <c r="B518" s="77" t="s">
        <v>610</v>
      </c>
      <c r="C518" s="82" t="s">
        <v>54</v>
      </c>
    </row>
    <row r="519" spans="1:3">
      <c r="A519" s="92">
        <v>20396584809</v>
      </c>
      <c r="B519" s="77" t="s">
        <v>612</v>
      </c>
      <c r="C519" s="82" t="s">
        <v>41</v>
      </c>
    </row>
    <row r="520" spans="1:3">
      <c r="A520" s="92">
        <v>30709879258</v>
      </c>
      <c r="B520" s="77" t="s">
        <v>613</v>
      </c>
      <c r="C520" s="82" t="s">
        <v>36</v>
      </c>
    </row>
    <row r="521" spans="1:3">
      <c r="A521" s="92">
        <v>30711296987</v>
      </c>
      <c r="B521" s="77" t="s">
        <v>614</v>
      </c>
      <c r="C521" s="82" t="s">
        <v>54</v>
      </c>
    </row>
    <row r="522" spans="1:3">
      <c r="A522" s="92">
        <v>20392730444</v>
      </c>
      <c r="B522" s="77" t="s">
        <v>611</v>
      </c>
      <c r="C522" s="82" t="s">
        <v>36</v>
      </c>
    </row>
    <row r="523" spans="1:3">
      <c r="A523" s="92">
        <v>30715393251</v>
      </c>
      <c r="B523" s="77" t="s">
        <v>615</v>
      </c>
      <c r="C523" s="82" t="s">
        <v>54</v>
      </c>
    </row>
    <row r="524" spans="1:3">
      <c r="A524" s="92">
        <v>27119878468</v>
      </c>
      <c r="B524" s="77" t="s">
        <v>616</v>
      </c>
      <c r="C524" s="82" t="s">
        <v>41</v>
      </c>
    </row>
    <row r="525" spans="1:3">
      <c r="A525" s="92">
        <v>30715869663</v>
      </c>
      <c r="B525" s="77" t="s">
        <v>617</v>
      </c>
      <c r="C525" s="82" t="s">
        <v>54</v>
      </c>
    </row>
    <row r="526" spans="1:3">
      <c r="A526" s="92">
        <v>20224819049</v>
      </c>
      <c r="B526" s="77" t="s">
        <v>618</v>
      </c>
      <c r="C526" s="82" t="s">
        <v>54</v>
      </c>
    </row>
    <row r="527" spans="1:3">
      <c r="A527" s="92">
        <v>20920321292</v>
      </c>
      <c r="B527" s="77" t="s">
        <v>619</v>
      </c>
      <c r="C527" s="82" t="s">
        <v>54</v>
      </c>
    </row>
    <row r="528" spans="1:3">
      <c r="A528" s="92">
        <v>30526874249</v>
      </c>
      <c r="B528" s="77" t="s">
        <v>620</v>
      </c>
      <c r="C528" s="82" t="s">
        <v>54</v>
      </c>
    </row>
    <row r="529" spans="1:3">
      <c r="A529" s="92">
        <v>20181517957</v>
      </c>
      <c r="B529" s="77" t="s">
        <v>621</v>
      </c>
      <c r="C529" s="82" t="s">
        <v>41</v>
      </c>
    </row>
    <row r="530" spans="1:3">
      <c r="A530" s="92">
        <v>30606274161</v>
      </c>
      <c r="B530" s="77" t="s">
        <v>622</v>
      </c>
      <c r="C530" s="82" t="s">
        <v>80</v>
      </c>
    </row>
    <row r="531" spans="1:3">
      <c r="A531" s="92">
        <v>20426451167</v>
      </c>
      <c r="B531" s="77" t="s">
        <v>623</v>
      </c>
      <c r="C531" s="82" t="s">
        <v>36</v>
      </c>
    </row>
    <row r="532" spans="1:3">
      <c r="A532" s="92">
        <v>23928499804</v>
      </c>
      <c r="B532" s="77" t="s">
        <v>624</v>
      </c>
      <c r="C532" s="82" t="s">
        <v>54</v>
      </c>
    </row>
    <row r="533" spans="1:3">
      <c r="A533" s="92">
        <v>30581106234</v>
      </c>
      <c r="B533" s="77" t="s">
        <v>625</v>
      </c>
      <c r="C533" s="82" t="s">
        <v>36</v>
      </c>
    </row>
    <row r="534" spans="1:3">
      <c r="A534" s="92">
        <v>23324039759</v>
      </c>
      <c r="B534" s="77" t="s">
        <v>626</v>
      </c>
      <c r="C534" s="82" t="s">
        <v>54</v>
      </c>
    </row>
    <row r="535" spans="1:3">
      <c r="A535" s="92">
        <v>33531122599</v>
      </c>
      <c r="B535" s="77" t="s">
        <v>627</v>
      </c>
      <c r="C535" s="82" t="s">
        <v>36</v>
      </c>
    </row>
    <row r="536" spans="1:3">
      <c r="A536" s="92">
        <v>20272865869</v>
      </c>
      <c r="B536" s="77" t="s">
        <v>628</v>
      </c>
      <c r="C536" s="82" t="s">
        <v>41</v>
      </c>
    </row>
    <row r="537" spans="1:3">
      <c r="A537" s="92">
        <v>20259150249</v>
      </c>
      <c r="B537" s="77" t="s">
        <v>629</v>
      </c>
      <c r="C537" s="82" t="s">
        <v>54</v>
      </c>
    </row>
    <row r="538" spans="1:3">
      <c r="A538" s="92">
        <v>30693066022</v>
      </c>
      <c r="B538" s="77" t="s">
        <v>630</v>
      </c>
      <c r="C538" s="82" t="s">
        <v>54</v>
      </c>
    </row>
    <row r="539" spans="1:3">
      <c r="A539" s="92">
        <v>30612099614</v>
      </c>
      <c r="B539" s="77" t="s">
        <v>631</v>
      </c>
      <c r="C539" s="82" t="s">
        <v>80</v>
      </c>
    </row>
    <row r="540" spans="1:3">
      <c r="A540" s="92">
        <v>20410096103</v>
      </c>
      <c r="B540" s="77" t="s">
        <v>632</v>
      </c>
      <c r="C540" s="82" t="s">
        <v>54</v>
      </c>
    </row>
    <row r="541" spans="1:3">
      <c r="A541" s="92">
        <v>30711416656</v>
      </c>
      <c r="B541" s="77" t="s">
        <v>633</v>
      </c>
      <c r="C541" s="82" t="s">
        <v>80</v>
      </c>
    </row>
    <row r="542" spans="1:3">
      <c r="A542" s="92">
        <v>30712529721</v>
      </c>
      <c r="B542" s="77" t="s">
        <v>634</v>
      </c>
      <c r="C542" s="82" t="s">
        <v>80</v>
      </c>
    </row>
    <row r="543" spans="1:3">
      <c r="A543" s="92">
        <v>30707513094</v>
      </c>
      <c r="B543" s="77" t="s">
        <v>635</v>
      </c>
      <c r="C543" s="82" t="s">
        <v>80</v>
      </c>
    </row>
    <row r="544" spans="1:3">
      <c r="A544" s="92">
        <v>30571766287</v>
      </c>
      <c r="B544" s="77" t="s">
        <v>636</v>
      </c>
      <c r="C544" s="82" t="s">
        <v>80</v>
      </c>
    </row>
    <row r="545" spans="1:3">
      <c r="A545" s="92">
        <v>30712136754</v>
      </c>
      <c r="B545" s="77" t="s">
        <v>639</v>
      </c>
      <c r="C545" s="82" t="s">
        <v>80</v>
      </c>
    </row>
    <row r="546" spans="1:3">
      <c r="A546" s="92">
        <v>30636196858</v>
      </c>
      <c r="B546" s="77" t="s">
        <v>1170</v>
      </c>
      <c r="C546" s="82" t="s">
        <v>80</v>
      </c>
    </row>
    <row r="547" spans="1:3">
      <c r="A547" s="92">
        <v>30604958640</v>
      </c>
      <c r="B547" s="77" t="s">
        <v>1171</v>
      </c>
      <c r="C547" s="82" t="s">
        <v>80</v>
      </c>
    </row>
    <row r="548" spans="1:3">
      <c r="A548" s="92"/>
      <c r="B548" s="77"/>
      <c r="C548" s="82"/>
    </row>
    <row r="549" spans="1:3">
      <c r="A549" s="92"/>
      <c r="B549" s="77"/>
      <c r="C549" s="82"/>
    </row>
    <row r="550" spans="1:3">
      <c r="A550" s="92"/>
      <c r="B550" s="77"/>
      <c r="C550" s="82"/>
    </row>
    <row r="551" spans="1:3">
      <c r="A551" s="92"/>
      <c r="B551" s="77"/>
      <c r="C551" s="82"/>
    </row>
    <row r="552" spans="1:3">
      <c r="A552" s="92"/>
      <c r="B552" s="77"/>
      <c r="C552" s="82"/>
    </row>
    <row r="553" spans="1:3">
      <c r="A553" s="92"/>
      <c r="B553" s="77"/>
      <c r="C553" s="82"/>
    </row>
    <row r="554" spans="1:3">
      <c r="A554" s="92"/>
      <c r="B554" s="77"/>
      <c r="C554" s="82"/>
    </row>
    <row r="555" spans="1:3">
      <c r="A555" s="92"/>
      <c r="B555" s="77"/>
      <c r="C555" s="82"/>
    </row>
    <row r="556" spans="1:3">
      <c r="A556" s="92"/>
      <c r="B556" s="77"/>
      <c r="C556" s="82"/>
    </row>
    <row r="557" spans="1:3">
      <c r="A557" s="92"/>
      <c r="B557" s="77"/>
      <c r="C557" s="82"/>
    </row>
    <row r="558" spans="1:3">
      <c r="A558" s="92"/>
      <c r="B558" s="77"/>
      <c r="C558" s="82"/>
    </row>
    <row r="559" spans="1:3">
      <c r="A559" s="92"/>
      <c r="B559" s="77"/>
      <c r="C559" s="82"/>
    </row>
    <row r="560" spans="1:3">
      <c r="A560" s="92"/>
      <c r="B560" s="77"/>
      <c r="C560" s="82"/>
    </row>
    <row r="561" spans="1:3">
      <c r="A561" s="92"/>
      <c r="B561" s="77"/>
      <c r="C561" s="82"/>
    </row>
    <row r="562" spans="1:3">
      <c r="A562" s="92"/>
      <c r="B562" s="77"/>
      <c r="C562" s="82"/>
    </row>
    <row r="563" spans="1:3">
      <c r="A563" s="92"/>
      <c r="B563" s="77"/>
      <c r="C563" s="82"/>
    </row>
    <row r="564" spans="1:3">
      <c r="A564" s="92"/>
      <c r="B564" s="77"/>
      <c r="C564" s="82"/>
    </row>
    <row r="565" spans="1:3">
      <c r="A565" s="92"/>
      <c r="B565" s="77"/>
      <c r="C565" s="82"/>
    </row>
    <row r="566" spans="1:3">
      <c r="A566" s="92"/>
      <c r="B566" s="77"/>
      <c r="C566" s="82"/>
    </row>
    <row r="567" spans="1:3">
      <c r="A567" s="92"/>
      <c r="B567" s="77"/>
      <c r="C567" s="82"/>
    </row>
    <row r="568" spans="1:3">
      <c r="A568" s="92"/>
      <c r="B568" s="77"/>
      <c r="C568" s="82"/>
    </row>
    <row r="569" spans="1:3">
      <c r="A569" s="92"/>
      <c r="B569" s="77"/>
      <c r="C569" s="82"/>
    </row>
    <row r="570" spans="1:3">
      <c r="A570" s="92"/>
      <c r="B570" s="77"/>
      <c r="C570" s="82"/>
    </row>
    <row r="571" spans="1:3">
      <c r="A571" s="92"/>
      <c r="B571" s="77"/>
      <c r="C571" s="82"/>
    </row>
    <row r="572" spans="1:3">
      <c r="A572" s="92"/>
      <c r="B572" s="77"/>
      <c r="C572" s="82"/>
    </row>
    <row r="573" spans="1:3">
      <c r="A573" s="92"/>
      <c r="B573" s="77"/>
      <c r="C573" s="82"/>
    </row>
    <row r="574" spans="1:3">
      <c r="A574" s="92"/>
      <c r="B574" s="77"/>
      <c r="C574" s="82"/>
    </row>
    <row r="575" spans="1:3">
      <c r="A575" s="92"/>
      <c r="B575" s="77"/>
      <c r="C575" s="82"/>
    </row>
    <row r="576" spans="1:3">
      <c r="A576" s="92"/>
      <c r="B576" s="77"/>
      <c r="C576" s="82"/>
    </row>
    <row r="577" spans="1:3">
      <c r="A577" s="92"/>
      <c r="B577" s="77"/>
      <c r="C577" s="82"/>
    </row>
    <row r="578" spans="1:3">
      <c r="A578" s="92"/>
      <c r="B578" s="77"/>
      <c r="C578" s="82"/>
    </row>
    <row r="579" spans="1:3">
      <c r="A579" s="92"/>
      <c r="B579" s="77"/>
      <c r="C579" s="82"/>
    </row>
    <row r="580" spans="1:3">
      <c r="A580" s="92"/>
      <c r="B580" s="77"/>
      <c r="C580" s="82"/>
    </row>
    <row r="581" spans="1:3">
      <c r="A581" s="92"/>
      <c r="B581" s="77"/>
      <c r="C581" s="82"/>
    </row>
    <row r="582" spans="1:3">
      <c r="A582" s="92"/>
      <c r="B582" s="77"/>
      <c r="C582" s="82"/>
    </row>
    <row r="583" spans="1:3">
      <c r="A583" s="92"/>
      <c r="B583" s="77"/>
      <c r="C583" s="82"/>
    </row>
    <row r="584" spans="1:3">
      <c r="A584" s="92"/>
      <c r="B584" s="77"/>
      <c r="C584" s="82"/>
    </row>
    <row r="585" spans="1:3">
      <c r="A585" s="92"/>
      <c r="B585" s="77"/>
      <c r="C585" s="82"/>
    </row>
    <row r="586" spans="1:3">
      <c r="A586" s="92"/>
      <c r="B586" s="77"/>
      <c r="C586" s="82"/>
    </row>
    <row r="587" spans="1:3">
      <c r="A587" s="92"/>
      <c r="B587" s="77"/>
      <c r="C587" s="82"/>
    </row>
    <row r="588" spans="1:3">
      <c r="A588" s="92"/>
      <c r="B588" s="77"/>
      <c r="C588" s="82"/>
    </row>
    <row r="589" spans="1:3">
      <c r="A589" s="92"/>
      <c r="B589" s="77"/>
      <c r="C589" s="82"/>
    </row>
    <row r="590" spans="1:3">
      <c r="A590" s="92"/>
      <c r="B590" s="77"/>
      <c r="C590" s="82"/>
    </row>
    <row r="591" spans="1:3">
      <c r="A591" s="92"/>
      <c r="B591" s="77"/>
      <c r="C591" s="82"/>
    </row>
    <row r="592" spans="1:3">
      <c r="A592" s="92"/>
      <c r="B592" s="77"/>
      <c r="C592" s="82"/>
    </row>
    <row r="593" spans="1:3">
      <c r="A593" s="92"/>
      <c r="B593" s="77"/>
      <c r="C593" s="82"/>
    </row>
    <row r="594" spans="1:3">
      <c r="A594" s="92"/>
      <c r="B594" s="77"/>
      <c r="C594" s="82"/>
    </row>
    <row r="595" spans="1:3">
      <c r="A595" s="92"/>
      <c r="B595" s="77"/>
      <c r="C595" s="82"/>
    </row>
    <row r="596" spans="1:3">
      <c r="A596" s="92"/>
      <c r="B596" s="77"/>
      <c r="C596" s="82"/>
    </row>
    <row r="597" spans="1:3">
      <c r="A597" s="92"/>
      <c r="B597" s="77"/>
      <c r="C597" s="82"/>
    </row>
    <row r="598" spans="1:3">
      <c r="A598" s="92"/>
      <c r="B598" s="77"/>
      <c r="C598" s="82"/>
    </row>
    <row r="599" spans="1:3">
      <c r="A599" s="92"/>
      <c r="B599" s="77"/>
      <c r="C599" s="82"/>
    </row>
    <row r="600" spans="1:3">
      <c r="A600" s="92"/>
      <c r="B600" s="77"/>
      <c r="C600" s="82"/>
    </row>
    <row r="601" spans="1:3">
      <c r="A601" s="92"/>
      <c r="B601" s="77"/>
      <c r="C601" s="82"/>
    </row>
    <row r="602" spans="1:3">
      <c r="A602" s="92"/>
      <c r="B602" s="77"/>
      <c r="C602" s="82"/>
    </row>
    <row r="603" spans="1:3">
      <c r="A603" s="92"/>
      <c r="B603" s="77"/>
      <c r="C603" s="82"/>
    </row>
    <row r="604" spans="1:3">
      <c r="A604" s="92"/>
      <c r="B604" s="77"/>
      <c r="C604" s="82"/>
    </row>
    <row r="605" spans="1:3">
      <c r="A605" s="92"/>
      <c r="B605" s="77"/>
      <c r="C605" s="82"/>
    </row>
    <row r="606" spans="1:3">
      <c r="A606" s="92"/>
      <c r="B606" s="77"/>
      <c r="C606" s="82"/>
    </row>
    <row r="607" spans="1:3">
      <c r="A607" s="92"/>
      <c r="B607" s="77"/>
      <c r="C607" s="82"/>
    </row>
    <row r="608" spans="1:3">
      <c r="A608" s="92"/>
      <c r="B608" s="77"/>
      <c r="C608" s="82"/>
    </row>
    <row r="609" spans="1:3">
      <c r="A609" s="92"/>
      <c r="B609" s="77"/>
      <c r="C609" s="82"/>
    </row>
    <row r="610" spans="1:3">
      <c r="A610" s="92"/>
      <c r="B610" s="77"/>
      <c r="C610" s="82"/>
    </row>
    <row r="611" spans="1:3">
      <c r="A611" s="92"/>
      <c r="B611" s="77"/>
      <c r="C611" s="82"/>
    </row>
    <row r="612" spans="1:3">
      <c r="A612" s="92"/>
      <c r="B612" s="77"/>
      <c r="C612" s="82"/>
    </row>
    <row r="613" spans="1:3">
      <c r="A613" s="92"/>
      <c r="B613" s="77"/>
      <c r="C613" s="82"/>
    </row>
    <row r="614" spans="1:3">
      <c r="A614" s="92"/>
      <c r="B614" s="77"/>
      <c r="C614" s="82"/>
    </row>
    <row r="615" spans="1:3">
      <c r="A615" s="92"/>
      <c r="B615" s="77"/>
      <c r="C615" s="82"/>
    </row>
    <row r="616" spans="1:3">
      <c r="A616" s="92"/>
      <c r="B616" s="77"/>
      <c r="C616" s="82"/>
    </row>
    <row r="617" spans="1:3">
      <c r="A617" s="92"/>
      <c r="B617" s="77"/>
      <c r="C617" s="82"/>
    </row>
    <row r="618" spans="1:3">
      <c r="A618" s="92"/>
      <c r="B618" s="77"/>
      <c r="C618" s="82"/>
    </row>
    <row r="619" spans="1:3">
      <c r="A619" s="92"/>
      <c r="B619" s="77"/>
      <c r="C619" s="82"/>
    </row>
    <row r="620" spans="1:3">
      <c r="A620" s="92"/>
      <c r="B620" s="77"/>
      <c r="C620" s="82"/>
    </row>
    <row r="621" spans="1:3">
      <c r="A621" s="92"/>
      <c r="B621" s="77"/>
      <c r="C621" s="82"/>
    </row>
    <row r="622" spans="1:3">
      <c r="A622" s="92"/>
      <c r="B622" s="77"/>
      <c r="C622" s="82"/>
    </row>
    <row r="623" spans="1:3">
      <c r="A623" s="92"/>
      <c r="B623" s="77"/>
      <c r="C623" s="82"/>
    </row>
    <row r="624" spans="1:3">
      <c r="A624" s="92"/>
      <c r="B624" s="77"/>
      <c r="C624" s="82"/>
    </row>
    <row r="625" spans="1:3">
      <c r="A625" s="92"/>
      <c r="B625" s="77"/>
      <c r="C625" s="82"/>
    </row>
    <row r="626" spans="1:3">
      <c r="A626" s="92"/>
      <c r="B626" s="77"/>
      <c r="C626" s="82"/>
    </row>
    <row r="627" spans="1:3">
      <c r="A627" s="92"/>
      <c r="B627" s="77"/>
      <c r="C627" s="82"/>
    </row>
    <row r="628" spans="1:3">
      <c r="A628" s="92"/>
      <c r="B628" s="77"/>
      <c r="C628" s="82"/>
    </row>
    <row r="629" spans="1:3">
      <c r="A629" s="92"/>
      <c r="B629" s="77"/>
      <c r="C629" s="82"/>
    </row>
    <row r="630" spans="1:3">
      <c r="A630" s="92"/>
      <c r="B630" s="77"/>
      <c r="C630" s="82"/>
    </row>
    <row r="631" spans="1:3">
      <c r="A631" s="92"/>
      <c r="B631" s="77"/>
      <c r="C631" s="82"/>
    </row>
    <row r="632" spans="1:3">
      <c r="A632" s="92"/>
      <c r="B632" s="77"/>
      <c r="C632" s="82"/>
    </row>
    <row r="633" spans="1:3">
      <c r="A633" s="92"/>
      <c r="B633" s="77"/>
      <c r="C633" s="82"/>
    </row>
    <row r="634" spans="1:3">
      <c r="A634" s="92"/>
      <c r="B634" s="77"/>
      <c r="C634" s="82"/>
    </row>
    <row r="635" spans="1:3">
      <c r="A635" s="92"/>
      <c r="B635" s="77"/>
      <c r="C635" s="82"/>
    </row>
    <row r="636" spans="1:3">
      <c r="A636" s="92"/>
      <c r="B636" s="77"/>
      <c r="C636" s="82"/>
    </row>
    <row r="637" spans="1:3">
      <c r="A637" s="92"/>
      <c r="B637" s="77"/>
      <c r="C637" s="82"/>
    </row>
    <row r="638" spans="1:3">
      <c r="A638" s="92"/>
      <c r="B638" s="77"/>
      <c r="C638" s="82"/>
    </row>
    <row r="639" spans="1:3">
      <c r="A639" s="92"/>
      <c r="B639" s="77"/>
      <c r="C639" s="82"/>
    </row>
    <row r="640" spans="1:3">
      <c r="A640" s="92"/>
      <c r="B640" s="77"/>
      <c r="C640" s="82"/>
    </row>
    <row r="641" spans="1:3">
      <c r="A641" s="92"/>
      <c r="B641" s="77"/>
      <c r="C641" s="82"/>
    </row>
    <row r="642" spans="1:3">
      <c r="A642" s="92"/>
      <c r="B642" s="77"/>
      <c r="C642" s="82"/>
    </row>
    <row r="643" spans="1:3">
      <c r="A643" s="92"/>
      <c r="B643" s="77"/>
      <c r="C643" s="82"/>
    </row>
    <row r="644" spans="1:3">
      <c r="A644" s="92"/>
      <c r="B644" s="77"/>
      <c r="C644" s="82"/>
    </row>
    <row r="645" spans="1:3">
      <c r="A645" s="92"/>
      <c r="B645" s="77"/>
      <c r="C645" s="82"/>
    </row>
    <row r="646" spans="1:3">
      <c r="A646" s="92"/>
      <c r="B646" s="77"/>
      <c r="C646" s="82"/>
    </row>
    <row r="647" spans="1:3">
      <c r="A647" s="92"/>
      <c r="B647" s="77"/>
      <c r="C647" s="82"/>
    </row>
    <row r="648" spans="1:3">
      <c r="A648" s="92"/>
      <c r="B648" s="77"/>
      <c r="C648" s="82"/>
    </row>
    <row r="649" spans="1:3">
      <c r="A649" s="92"/>
      <c r="B649" s="77"/>
      <c r="C649" s="82"/>
    </row>
    <row r="650" spans="1:3">
      <c r="A650" s="92"/>
      <c r="B650" s="77"/>
      <c r="C650" s="82"/>
    </row>
    <row r="651" spans="1:3">
      <c r="A651" s="92"/>
      <c r="B651" s="77"/>
      <c r="C651" s="82"/>
    </row>
    <row r="652" spans="1:3">
      <c r="A652" s="92"/>
      <c r="B652" s="77"/>
      <c r="C652" s="82"/>
    </row>
    <row r="653" spans="1:3">
      <c r="A653" s="92"/>
      <c r="B653" s="77"/>
      <c r="C653" s="82"/>
    </row>
    <row r="654" spans="1:3">
      <c r="A654" s="92"/>
      <c r="B654" s="77"/>
      <c r="C654" s="82"/>
    </row>
    <row r="655" spans="1:3">
      <c r="A655" s="92"/>
      <c r="B655" s="77"/>
      <c r="C655" s="82"/>
    </row>
    <row r="656" spans="1:3">
      <c r="A656" s="92"/>
      <c r="B656" s="77"/>
      <c r="C656" s="82"/>
    </row>
    <row r="657" spans="1:3">
      <c r="A657" s="92"/>
      <c r="B657" s="77"/>
      <c r="C657" s="82"/>
    </row>
    <row r="658" spans="1:3">
      <c r="A658" s="92"/>
      <c r="B658" s="77"/>
      <c r="C658" s="82"/>
    </row>
    <row r="659" spans="1:3">
      <c r="A659" s="92"/>
      <c r="B659" s="77"/>
      <c r="C659" s="82"/>
    </row>
    <row r="660" spans="1:3">
      <c r="A660" s="92"/>
      <c r="B660" s="77"/>
      <c r="C660" s="82"/>
    </row>
    <row r="661" spans="1:3">
      <c r="A661" s="92"/>
      <c r="B661" s="77"/>
      <c r="C661" s="82"/>
    </row>
    <row r="662" spans="1:3">
      <c r="A662" s="92"/>
      <c r="B662" s="77"/>
      <c r="C662" s="82"/>
    </row>
    <row r="663" spans="1:3">
      <c r="A663" s="92"/>
      <c r="B663" s="77"/>
      <c r="C663" s="82"/>
    </row>
    <row r="664" spans="1:3">
      <c r="A664" s="92"/>
      <c r="B664" s="77"/>
      <c r="C664" s="82"/>
    </row>
    <row r="665" spans="1:3">
      <c r="A665" s="92"/>
      <c r="B665" s="77"/>
      <c r="C665" s="82"/>
    </row>
    <row r="666" spans="1:3">
      <c r="A666" s="92"/>
      <c r="B666" s="77"/>
      <c r="C666" s="82"/>
    </row>
    <row r="667" spans="1:3">
      <c r="A667" s="92"/>
      <c r="B667" s="77"/>
      <c r="C667" s="82"/>
    </row>
    <row r="668" spans="1:3">
      <c r="A668" s="92"/>
      <c r="B668" s="77"/>
      <c r="C668" s="82"/>
    </row>
    <row r="669" spans="1:3">
      <c r="A669" s="92"/>
      <c r="B669" s="77"/>
      <c r="C669" s="82"/>
    </row>
    <row r="670" spans="1:3">
      <c r="A670" s="92"/>
      <c r="B670" s="77"/>
      <c r="C670" s="82"/>
    </row>
    <row r="671" spans="1:3">
      <c r="A671" s="92"/>
      <c r="B671" s="77"/>
      <c r="C671" s="82"/>
    </row>
    <row r="672" spans="1:3">
      <c r="A672" s="92"/>
      <c r="B672" s="77"/>
      <c r="C672" s="82"/>
    </row>
    <row r="673" spans="1:3">
      <c r="A673" s="92"/>
      <c r="B673" s="77"/>
      <c r="C673" s="82"/>
    </row>
    <row r="674" spans="1:3">
      <c r="A674" s="92"/>
      <c r="B674" s="77"/>
      <c r="C674" s="82"/>
    </row>
    <row r="675" spans="1:3">
      <c r="A675" s="92"/>
      <c r="B675" s="77"/>
      <c r="C675" s="82"/>
    </row>
    <row r="676" spans="1:3">
      <c r="A676" s="92"/>
      <c r="B676" s="77"/>
      <c r="C676" s="82"/>
    </row>
    <row r="677" spans="1:3">
      <c r="A677" s="92"/>
      <c r="B677" s="77"/>
      <c r="C677" s="82"/>
    </row>
    <row r="678" spans="1:3">
      <c r="A678" s="92"/>
      <c r="B678" s="77"/>
      <c r="C678" s="82"/>
    </row>
    <row r="679" spans="1:3">
      <c r="A679" s="92"/>
      <c r="B679" s="77"/>
      <c r="C679" s="82"/>
    </row>
    <row r="680" spans="1:3">
      <c r="A680" s="92"/>
      <c r="B680" s="77"/>
      <c r="C680" s="82"/>
    </row>
    <row r="681" spans="1:3">
      <c r="A681" s="92"/>
      <c r="B681" s="77"/>
      <c r="C681" s="82"/>
    </row>
    <row r="682" spans="1:3">
      <c r="A682" s="92"/>
      <c r="B682" s="77"/>
      <c r="C682" s="82"/>
    </row>
    <row r="683" spans="1:3">
      <c r="A683" s="92"/>
      <c r="B683" s="77"/>
      <c r="C683" s="82"/>
    </row>
    <row r="684" spans="1:3">
      <c r="A684" s="92"/>
      <c r="B684" s="77"/>
      <c r="C684" s="82"/>
    </row>
    <row r="685" spans="1:3">
      <c r="A685" s="92"/>
      <c r="B685" s="77"/>
      <c r="C685" s="82"/>
    </row>
    <row r="686" spans="1:3">
      <c r="A686" s="92"/>
      <c r="B686" s="77"/>
      <c r="C686" s="82"/>
    </row>
    <row r="687" spans="1:3">
      <c r="A687" s="92"/>
      <c r="B687" s="77"/>
      <c r="C687" s="82"/>
    </row>
    <row r="688" spans="1:3">
      <c r="A688" s="92"/>
      <c r="B688" s="77"/>
      <c r="C688" s="82"/>
    </row>
    <row r="689" spans="1:3">
      <c r="A689" s="92"/>
      <c r="B689" s="77"/>
      <c r="C689" s="82"/>
    </row>
    <row r="690" spans="1:3">
      <c r="A690" s="92"/>
      <c r="B690" s="77"/>
      <c r="C690" s="82"/>
    </row>
    <row r="691" spans="1:3">
      <c r="A691" s="92"/>
      <c r="B691" s="77"/>
      <c r="C691" s="82"/>
    </row>
    <row r="692" spans="1:3">
      <c r="A692" s="92"/>
      <c r="B692" s="77"/>
      <c r="C692" s="82"/>
    </row>
    <row r="693" spans="1:3">
      <c r="A693" s="92"/>
      <c r="B693" s="77"/>
      <c r="C693" s="82"/>
    </row>
    <row r="694" spans="1:3">
      <c r="A694" s="92"/>
      <c r="B694" s="77"/>
      <c r="C694" s="82"/>
    </row>
    <row r="695" spans="1:3">
      <c r="A695" s="92"/>
      <c r="B695" s="77"/>
      <c r="C695" s="82"/>
    </row>
    <row r="696" spans="1:3">
      <c r="A696" s="92"/>
      <c r="B696" s="77"/>
      <c r="C696" s="82"/>
    </row>
    <row r="697" spans="1:3">
      <c r="A697" s="92"/>
      <c r="B697" s="77"/>
      <c r="C697" s="82"/>
    </row>
    <row r="698" spans="1:3">
      <c r="A698" s="92"/>
      <c r="B698" s="77"/>
      <c r="C698" s="82"/>
    </row>
    <row r="699" spans="1:3">
      <c r="A699" s="92"/>
      <c r="B699" s="77"/>
      <c r="C699" s="82"/>
    </row>
    <row r="700" spans="1:3">
      <c r="A700" s="92"/>
      <c r="B700" s="77"/>
      <c r="C700" s="82"/>
    </row>
    <row r="701" spans="1:3">
      <c r="A701" s="92"/>
      <c r="B701" s="77"/>
      <c r="C701" s="82"/>
    </row>
    <row r="702" spans="1:3">
      <c r="A702" s="92"/>
      <c r="B702" s="77"/>
      <c r="C702" s="82"/>
    </row>
    <row r="703" spans="1:3">
      <c r="A703" s="92"/>
      <c r="B703" s="77"/>
      <c r="C703" s="82"/>
    </row>
    <row r="704" spans="1:3">
      <c r="A704" s="92"/>
      <c r="B704" s="77"/>
      <c r="C704" s="82"/>
    </row>
    <row r="705" spans="1:3">
      <c r="A705" s="92"/>
      <c r="B705" s="77"/>
      <c r="C705" s="82"/>
    </row>
    <row r="706" spans="1:3">
      <c r="A706" s="92"/>
      <c r="B706" s="77"/>
      <c r="C706" s="82"/>
    </row>
    <row r="707" spans="1:3">
      <c r="A707" s="92"/>
      <c r="B707" s="77"/>
      <c r="C707" s="82"/>
    </row>
    <row r="708" spans="1:3">
      <c r="A708" s="92"/>
      <c r="B708" s="77"/>
      <c r="C708" s="82"/>
    </row>
    <row r="709" spans="1:3">
      <c r="A709" s="92"/>
      <c r="B709" s="77"/>
      <c r="C709" s="82"/>
    </row>
    <row r="710" spans="1:3">
      <c r="A710" s="92"/>
      <c r="B710" s="77"/>
      <c r="C710" s="82"/>
    </row>
    <row r="711" spans="1:3">
      <c r="A711" s="92"/>
      <c r="B711" s="77"/>
      <c r="C711" s="82"/>
    </row>
    <row r="712" spans="1:3">
      <c r="A712" s="92"/>
      <c r="B712" s="77"/>
      <c r="C712" s="82"/>
    </row>
    <row r="713" spans="1:3">
      <c r="A713" s="92"/>
      <c r="B713" s="77"/>
      <c r="C713" s="82"/>
    </row>
    <row r="714" spans="1:3">
      <c r="A714" s="92"/>
      <c r="B714" s="77"/>
      <c r="C714" s="82"/>
    </row>
    <row r="715" spans="1:3">
      <c r="A715" s="92"/>
      <c r="B715" s="77"/>
      <c r="C715" s="82"/>
    </row>
    <row r="716" spans="1:3">
      <c r="A716" s="92"/>
      <c r="B716" s="77"/>
      <c r="C716" s="82"/>
    </row>
    <row r="717" spans="1:3">
      <c r="A717" s="92"/>
      <c r="B717" s="77"/>
      <c r="C717" s="82"/>
    </row>
    <row r="718" spans="1:3">
      <c r="A718" s="92"/>
      <c r="B718" s="77"/>
      <c r="C718" s="82"/>
    </row>
    <row r="719" spans="1:3">
      <c r="A719" s="92"/>
      <c r="B719" s="77"/>
      <c r="C719" s="82"/>
    </row>
    <row r="720" spans="1:3">
      <c r="A720" s="92"/>
      <c r="B720" s="77"/>
      <c r="C720" s="82"/>
    </row>
    <row r="721" spans="1:3">
      <c r="A721" s="92"/>
      <c r="B721" s="77"/>
      <c r="C721" s="82"/>
    </row>
    <row r="722" spans="1:3">
      <c r="A722" s="92"/>
      <c r="B722" s="77"/>
      <c r="C722" s="82"/>
    </row>
    <row r="723" spans="1:3">
      <c r="A723" s="92"/>
      <c r="B723" s="77"/>
      <c r="C723" s="82"/>
    </row>
    <row r="724" spans="1:3">
      <c r="A724" s="92"/>
      <c r="B724" s="77"/>
      <c r="C724" s="82"/>
    </row>
    <row r="725" spans="1:3">
      <c r="A725" s="92"/>
      <c r="B725" s="77"/>
      <c r="C725" s="82"/>
    </row>
    <row r="726" spans="1:3">
      <c r="A726" s="92"/>
      <c r="B726" s="77"/>
      <c r="C726" s="82"/>
    </row>
    <row r="727" spans="1:3">
      <c r="A727" s="92"/>
      <c r="B727" s="77"/>
      <c r="C727" s="82"/>
    </row>
    <row r="728" spans="1:3">
      <c r="A728" s="92"/>
      <c r="B728" s="77"/>
      <c r="C728" s="82"/>
    </row>
    <row r="729" spans="1:3">
      <c r="A729" s="92"/>
      <c r="B729" s="77"/>
      <c r="C729" s="82"/>
    </row>
    <row r="730" spans="1:3">
      <c r="A730" s="92"/>
      <c r="B730" s="77"/>
      <c r="C730" s="82"/>
    </row>
    <row r="731" spans="1:3">
      <c r="A731" s="92"/>
      <c r="B731" s="77"/>
      <c r="C731" s="82"/>
    </row>
    <row r="732" spans="1:3">
      <c r="A732" s="92"/>
      <c r="B732" s="77"/>
      <c r="C732" s="82"/>
    </row>
    <row r="733" spans="1:3">
      <c r="A733" s="92"/>
      <c r="B733" s="77"/>
      <c r="C733" s="82"/>
    </row>
    <row r="734" spans="1:3">
      <c r="A734" s="92"/>
      <c r="B734" s="77"/>
      <c r="C734" s="82"/>
    </row>
    <row r="735" spans="1:3">
      <c r="A735" s="92"/>
      <c r="B735" s="77"/>
      <c r="C735" s="82"/>
    </row>
    <row r="736" spans="1:3">
      <c r="A736" s="92"/>
      <c r="B736" s="77"/>
      <c r="C736" s="82"/>
    </row>
    <row r="737" spans="1:3">
      <c r="A737" s="92"/>
      <c r="B737" s="77"/>
      <c r="C737" s="82"/>
    </row>
    <row r="738" spans="1:3">
      <c r="A738" s="92"/>
      <c r="B738" s="77"/>
      <c r="C738" s="82"/>
    </row>
    <row r="739" spans="1:3">
      <c r="A739" s="92"/>
      <c r="B739" s="77"/>
      <c r="C739" s="82"/>
    </row>
    <row r="740" spans="1:3">
      <c r="A740" s="92"/>
      <c r="B740" s="77"/>
      <c r="C740" s="82"/>
    </row>
    <row r="741" spans="1:3">
      <c r="A741" s="92"/>
      <c r="B741" s="77"/>
      <c r="C741" s="82"/>
    </row>
    <row r="742" spans="1:3">
      <c r="A742" s="92"/>
      <c r="B742" s="77"/>
      <c r="C742" s="82"/>
    </row>
    <row r="743" spans="1:3">
      <c r="A743" s="92"/>
      <c r="B743" s="77"/>
      <c r="C743" s="82"/>
    </row>
    <row r="744" spans="1:3">
      <c r="A744" s="92"/>
      <c r="B744" s="77"/>
      <c r="C744" s="82"/>
    </row>
    <row r="745" spans="1:3">
      <c r="A745" s="92"/>
      <c r="B745" s="77"/>
      <c r="C745" s="82"/>
    </row>
    <row r="746" spans="1:3">
      <c r="A746" s="92"/>
      <c r="B746" s="77"/>
      <c r="C746" s="82"/>
    </row>
    <row r="747" spans="1:3">
      <c r="A747" s="92"/>
      <c r="B747" s="77"/>
      <c r="C747" s="82"/>
    </row>
    <row r="748" spans="1:3">
      <c r="A748" s="92"/>
      <c r="B748" s="77"/>
      <c r="C748" s="82"/>
    </row>
    <row r="749" spans="1:3">
      <c r="A749" s="92"/>
      <c r="B749" s="77"/>
      <c r="C749" s="82"/>
    </row>
    <row r="750" spans="1:3">
      <c r="A750" s="92"/>
      <c r="B750" s="77"/>
      <c r="C750" s="82"/>
    </row>
    <row r="751" spans="1:3">
      <c r="A751" s="92"/>
      <c r="B751" s="77"/>
      <c r="C751" s="82"/>
    </row>
    <row r="752" spans="1:3">
      <c r="A752" s="92"/>
      <c r="B752" s="77"/>
      <c r="C752" s="82"/>
    </row>
    <row r="753" spans="1:3">
      <c r="A753" s="92"/>
      <c r="B753" s="77"/>
      <c r="C753" s="82"/>
    </row>
    <row r="754" spans="1:3">
      <c r="A754" s="92"/>
      <c r="B754" s="77"/>
      <c r="C754" s="82"/>
    </row>
    <row r="755" spans="1:3">
      <c r="A755" s="92"/>
      <c r="B755" s="77"/>
      <c r="C755" s="82"/>
    </row>
    <row r="756" spans="1:3">
      <c r="A756" s="92"/>
      <c r="B756" s="77"/>
      <c r="C756" s="82"/>
    </row>
    <row r="757" spans="1:3">
      <c r="A757" s="92"/>
      <c r="B757" s="77"/>
      <c r="C757" s="82"/>
    </row>
    <row r="758" spans="1:3">
      <c r="A758" s="92"/>
      <c r="B758" s="77"/>
      <c r="C758" s="82"/>
    </row>
    <row r="759" spans="1:3">
      <c r="A759" s="92"/>
      <c r="B759" s="77"/>
      <c r="C759" s="82"/>
    </row>
    <row r="760" spans="1:3">
      <c r="A760" s="92"/>
      <c r="B760" s="77"/>
      <c r="C760" s="82"/>
    </row>
    <row r="761" spans="1:3">
      <c r="A761" s="92"/>
      <c r="B761" s="77"/>
      <c r="C761" s="82"/>
    </row>
    <row r="762" spans="1:3">
      <c r="A762" s="92"/>
      <c r="B762" s="77"/>
      <c r="C762" s="82"/>
    </row>
    <row r="763" spans="1:3">
      <c r="A763" s="92"/>
      <c r="B763" s="77"/>
      <c r="C763" s="82"/>
    </row>
    <row r="764" spans="1:3">
      <c r="A764" s="92"/>
      <c r="B764" s="77"/>
      <c r="C764" s="82"/>
    </row>
    <row r="765" spans="1:3">
      <c r="A765" s="92"/>
      <c r="B765" s="77"/>
      <c r="C765" s="82"/>
    </row>
    <row r="766" spans="1:3">
      <c r="A766" s="92"/>
      <c r="B766" s="77"/>
      <c r="C766" s="82"/>
    </row>
    <row r="767" spans="1:3">
      <c r="A767" s="92"/>
      <c r="B767" s="77"/>
      <c r="C767" s="82"/>
    </row>
    <row r="768" spans="1:3">
      <c r="A768" s="92"/>
      <c r="B768" s="77"/>
      <c r="C768" s="82"/>
    </row>
    <row r="769" spans="1:3">
      <c r="A769" s="92"/>
      <c r="B769" s="77"/>
      <c r="C769" s="82"/>
    </row>
    <row r="770" spans="1:3">
      <c r="A770" s="92"/>
      <c r="B770" s="77"/>
      <c r="C770" s="82"/>
    </row>
    <row r="771" spans="1:3">
      <c r="A771" s="92"/>
      <c r="B771" s="77"/>
      <c r="C771" s="82"/>
    </row>
    <row r="772" spans="1:3">
      <c r="A772" s="92"/>
      <c r="B772" s="77"/>
      <c r="C772" s="82"/>
    </row>
    <row r="773" spans="1:3">
      <c r="A773" s="92"/>
      <c r="B773" s="77"/>
      <c r="C773" s="82"/>
    </row>
    <row r="774" spans="1:3">
      <c r="A774" s="92"/>
      <c r="B774" s="77"/>
      <c r="C774" s="82"/>
    </row>
    <row r="775" spans="1:3">
      <c r="A775" s="92"/>
      <c r="B775" s="77"/>
      <c r="C775" s="82"/>
    </row>
    <row r="776" spans="1:3">
      <c r="A776" s="92"/>
      <c r="B776" s="77"/>
      <c r="C776" s="82"/>
    </row>
    <row r="777" spans="1:3">
      <c r="A777" s="92"/>
      <c r="B777" s="77"/>
      <c r="C777" s="82"/>
    </row>
    <row r="778" spans="1:3">
      <c r="A778" s="92"/>
      <c r="B778" s="77"/>
      <c r="C778" s="82"/>
    </row>
    <row r="779" spans="1:3">
      <c r="A779" s="92"/>
      <c r="B779" s="77"/>
      <c r="C779" s="82"/>
    </row>
    <row r="780" spans="1:3">
      <c r="A780" s="92"/>
      <c r="B780" s="77"/>
      <c r="C780" s="82"/>
    </row>
    <row r="781" spans="1:3">
      <c r="A781" s="92"/>
      <c r="B781" s="77"/>
      <c r="C781" s="82"/>
    </row>
    <row r="782" spans="1:3">
      <c r="A782" s="92"/>
      <c r="B782" s="77"/>
      <c r="C782" s="82"/>
    </row>
    <row r="783" spans="1:3">
      <c r="A783" s="92"/>
      <c r="B783" s="77"/>
      <c r="C783" s="82"/>
    </row>
    <row r="784" spans="1:3">
      <c r="A784" s="92"/>
      <c r="B784" s="77"/>
      <c r="C784" s="82"/>
    </row>
    <row r="785" spans="1:3">
      <c r="A785" s="92"/>
      <c r="B785" s="77"/>
      <c r="C785" s="82"/>
    </row>
    <row r="786" spans="1:3">
      <c r="A786" s="92"/>
      <c r="B786" s="77"/>
      <c r="C786" s="82"/>
    </row>
    <row r="787" spans="1:3">
      <c r="A787" s="92"/>
      <c r="B787" s="77"/>
      <c r="C787" s="82"/>
    </row>
    <row r="788" spans="1:3">
      <c r="A788" s="92"/>
      <c r="B788" s="77"/>
      <c r="C788" s="82"/>
    </row>
    <row r="789" spans="1:3">
      <c r="A789" s="92"/>
      <c r="B789" s="77"/>
      <c r="C789" s="82"/>
    </row>
    <row r="790" spans="1:3">
      <c r="A790" s="92"/>
      <c r="B790" s="77"/>
      <c r="C790" s="82"/>
    </row>
    <row r="791" spans="1:3">
      <c r="A791" s="92"/>
      <c r="B791" s="77"/>
      <c r="C791" s="82"/>
    </row>
    <row r="792" spans="1:3">
      <c r="A792" s="92"/>
      <c r="B792" s="77"/>
      <c r="C792" s="82"/>
    </row>
    <row r="793" spans="1:3">
      <c r="A793" s="92"/>
      <c r="B793" s="77"/>
      <c r="C793" s="82"/>
    </row>
    <row r="794" spans="1:3">
      <c r="A794" s="92"/>
      <c r="B794" s="77"/>
      <c r="C794" s="82"/>
    </row>
    <row r="795" spans="1:3">
      <c r="A795" s="92"/>
      <c r="B795" s="77"/>
      <c r="C795" s="82"/>
    </row>
    <row r="796" spans="1:3">
      <c r="A796" s="92"/>
      <c r="B796" s="77"/>
      <c r="C796" s="82"/>
    </row>
    <row r="797" spans="1:3">
      <c r="A797" s="92"/>
      <c r="B797" s="77"/>
      <c r="C797" s="82"/>
    </row>
    <row r="798" spans="1:3">
      <c r="A798" s="92"/>
      <c r="B798" s="77"/>
      <c r="C798" s="82"/>
    </row>
  </sheetData>
  <autoFilter ref="A3:C540"/>
  <sortState ref="A5:C508">
    <sortCondition ref="B5:B508"/>
  </sortState>
  <conditionalFormatting sqref="A10">
    <cfRule type="expression" dxfId="56" priority="83" stopIfTrue="1">
      <formula>AB10="ERROR CUIT"</formula>
    </cfRule>
  </conditionalFormatting>
  <conditionalFormatting sqref="A55 A62">
    <cfRule type="expression" dxfId="55" priority="82" stopIfTrue="1">
      <formula>Y55="ERROR CUIT"</formula>
    </cfRule>
  </conditionalFormatting>
  <conditionalFormatting sqref="A57">
    <cfRule type="expression" dxfId="54" priority="81" stopIfTrue="1">
      <formula>Y57="ERROR CUIT"</formula>
    </cfRule>
  </conditionalFormatting>
  <conditionalFormatting sqref="A58">
    <cfRule type="expression" dxfId="53" priority="80" stopIfTrue="1">
      <formula>Y58="ERROR CUIT"</formula>
    </cfRule>
  </conditionalFormatting>
  <conditionalFormatting sqref="A92">
    <cfRule type="expression" dxfId="52" priority="79" stopIfTrue="1">
      <formula>AB92="ERROR CUIT"</formula>
    </cfRule>
  </conditionalFormatting>
  <conditionalFormatting sqref="A93">
    <cfRule type="expression" dxfId="51" priority="78" stopIfTrue="1">
      <formula>AB93="ERROR CUIT"</formula>
    </cfRule>
  </conditionalFormatting>
  <conditionalFormatting sqref="A94">
    <cfRule type="expression" dxfId="50" priority="77" stopIfTrue="1">
      <formula>AB94="ERROR CUIT"</formula>
    </cfRule>
  </conditionalFormatting>
  <conditionalFormatting sqref="A95">
    <cfRule type="expression" dxfId="49" priority="76" stopIfTrue="1">
      <formula>AB95="ERROR CUIT"</formula>
    </cfRule>
  </conditionalFormatting>
  <conditionalFormatting sqref="A76">
    <cfRule type="expression" dxfId="48" priority="75" stopIfTrue="1">
      <formula>AB76="ERROR CUIT"</formula>
    </cfRule>
  </conditionalFormatting>
  <conditionalFormatting sqref="A77">
    <cfRule type="expression" dxfId="47" priority="74" stopIfTrue="1">
      <formula>AB77="ERROR CUIT"</formula>
    </cfRule>
  </conditionalFormatting>
  <conditionalFormatting sqref="A79">
    <cfRule type="expression" dxfId="46" priority="73" stopIfTrue="1">
      <formula>AB79="ERROR CUIT"</formula>
    </cfRule>
  </conditionalFormatting>
  <conditionalFormatting sqref="A89">
    <cfRule type="expression" dxfId="45" priority="72" stopIfTrue="1">
      <formula>AB89="ERROR CUIT"</formula>
    </cfRule>
  </conditionalFormatting>
  <conditionalFormatting sqref="A81">
    <cfRule type="expression" dxfId="44" priority="71" stopIfTrue="1">
      <formula>AB81="ERROR CUIT"</formula>
    </cfRule>
  </conditionalFormatting>
  <conditionalFormatting sqref="A82">
    <cfRule type="expression" dxfId="43" priority="70" stopIfTrue="1">
      <formula>AB82="ERROR CUIT"</formula>
    </cfRule>
  </conditionalFormatting>
  <conditionalFormatting sqref="A83">
    <cfRule type="expression" dxfId="42" priority="69" stopIfTrue="1">
      <formula>AB83="ERROR CUIT"</formula>
    </cfRule>
  </conditionalFormatting>
  <conditionalFormatting sqref="A84">
    <cfRule type="expression" dxfId="41" priority="68" stopIfTrue="1">
      <formula>AB84="ERROR CUIT"</formula>
    </cfRule>
  </conditionalFormatting>
  <conditionalFormatting sqref="A85">
    <cfRule type="expression" dxfId="40" priority="67" stopIfTrue="1">
      <formula>AB85="ERROR CUIT"</formula>
    </cfRule>
  </conditionalFormatting>
  <conditionalFormatting sqref="A86">
    <cfRule type="expression" dxfId="39" priority="66" stopIfTrue="1">
      <formula>AB86="ERROR CUIT"</formula>
    </cfRule>
  </conditionalFormatting>
  <conditionalFormatting sqref="A87">
    <cfRule type="expression" dxfId="38" priority="65" stopIfTrue="1">
      <formula>AB87="ERROR CUIT"</formula>
    </cfRule>
  </conditionalFormatting>
  <conditionalFormatting sqref="A88">
    <cfRule type="expression" dxfId="37" priority="64" stopIfTrue="1">
      <formula>AB88="ERROR CUIT"</formula>
    </cfRule>
  </conditionalFormatting>
  <conditionalFormatting sqref="A107">
    <cfRule type="expression" dxfId="36" priority="63" stopIfTrue="1">
      <formula>AB107="ERROR CUIT"</formula>
    </cfRule>
  </conditionalFormatting>
  <conditionalFormatting sqref="A80 A119">
    <cfRule type="expression" dxfId="35" priority="57" stopIfTrue="1">
      <formula>AC80="ERROR CUIT"</formula>
    </cfRule>
  </conditionalFormatting>
  <conditionalFormatting sqref="A12">
    <cfRule type="expression" dxfId="34" priority="56" stopIfTrue="1">
      <formula>AC12="ERROR CUIT"</formula>
    </cfRule>
  </conditionalFormatting>
  <conditionalFormatting sqref="A13">
    <cfRule type="expression" dxfId="33" priority="55" stopIfTrue="1">
      <formula>AC13="ERROR CUIT"</formula>
    </cfRule>
  </conditionalFormatting>
  <conditionalFormatting sqref="A21">
    <cfRule type="expression" dxfId="32" priority="54" stopIfTrue="1">
      <formula>AC21="ERROR CUIT"</formula>
    </cfRule>
  </conditionalFormatting>
  <conditionalFormatting sqref="A22">
    <cfRule type="expression" dxfId="31" priority="53" stopIfTrue="1">
      <formula>AC22="ERROR CUIT"</formula>
    </cfRule>
  </conditionalFormatting>
  <conditionalFormatting sqref="A23">
    <cfRule type="expression" dxfId="30" priority="52" stopIfTrue="1">
      <formula>AC23="ERROR CUIT"</formula>
    </cfRule>
  </conditionalFormatting>
  <conditionalFormatting sqref="A24">
    <cfRule type="expression" dxfId="29" priority="51" stopIfTrue="1">
      <formula>AC24="ERROR CUIT"</formula>
    </cfRule>
  </conditionalFormatting>
  <conditionalFormatting sqref="A15">
    <cfRule type="expression" dxfId="28" priority="50" stopIfTrue="1">
      <formula>AG26="ERROR CUIT"</formula>
    </cfRule>
  </conditionalFormatting>
  <conditionalFormatting sqref="A16">
    <cfRule type="expression" dxfId="27" priority="49" stopIfTrue="1">
      <formula>AC16="ERROR CUIT"</formula>
    </cfRule>
  </conditionalFormatting>
  <conditionalFormatting sqref="A17">
    <cfRule type="expression" dxfId="26" priority="48" stopIfTrue="1">
      <formula>AC17="ERROR CUIT"</formula>
    </cfRule>
  </conditionalFormatting>
  <conditionalFormatting sqref="A18">
    <cfRule type="expression" dxfId="25" priority="47" stopIfTrue="1">
      <formula>AC18="ERROR CUIT"</formula>
    </cfRule>
  </conditionalFormatting>
  <conditionalFormatting sqref="A19">
    <cfRule type="expression" dxfId="24" priority="46" stopIfTrue="1">
      <formula>AC19="ERROR CUIT"</formula>
    </cfRule>
  </conditionalFormatting>
  <conditionalFormatting sqref="A123">
    <cfRule type="expression" dxfId="23" priority="39" stopIfTrue="1">
      <formula>AC121="ERROR CUIT"</formula>
    </cfRule>
  </conditionalFormatting>
  <conditionalFormatting sqref="A124">
    <cfRule type="expression" dxfId="22" priority="38" stopIfTrue="1">
      <formula>AC122="ERROR CUIT"</formula>
    </cfRule>
  </conditionalFormatting>
  <conditionalFormatting sqref="A125">
    <cfRule type="expression" dxfId="21" priority="37" stopIfTrue="1">
      <formula>AC123="ERROR CUIT"</formula>
    </cfRule>
  </conditionalFormatting>
  <conditionalFormatting sqref="A27">
    <cfRule type="expression" dxfId="20" priority="25" stopIfTrue="1">
      <formula>AC27="ERROR CUIT"</formula>
    </cfRule>
  </conditionalFormatting>
  <conditionalFormatting sqref="A75">
    <cfRule type="expression" dxfId="19" priority="24" stopIfTrue="1">
      <formula>AC75="ERROR CUIT"</formula>
    </cfRule>
  </conditionalFormatting>
  <conditionalFormatting sqref="A110">
    <cfRule type="expression" dxfId="18" priority="19" stopIfTrue="1">
      <formula>AC110="ERROR CUIT"</formula>
    </cfRule>
  </conditionalFormatting>
  <conditionalFormatting sqref="A110">
    <cfRule type="expression" dxfId="17" priority="18" stopIfTrue="1">
      <formula>AC110="ERROR CUIT"</formula>
    </cfRule>
  </conditionalFormatting>
  <conditionalFormatting sqref="A111">
    <cfRule type="expression" dxfId="16" priority="17" stopIfTrue="1">
      <formula>AC111="ERROR CUIT"</formula>
    </cfRule>
  </conditionalFormatting>
  <conditionalFormatting sqref="A112">
    <cfRule type="expression" dxfId="15" priority="16" stopIfTrue="1">
      <formula>AC112="ERROR CUIT"</formula>
    </cfRule>
  </conditionalFormatting>
  <conditionalFormatting sqref="A113">
    <cfRule type="expression" dxfId="14" priority="15" stopIfTrue="1">
      <formula>AC113="ERROR CUIT"</formula>
    </cfRule>
  </conditionalFormatting>
  <conditionalFormatting sqref="A114">
    <cfRule type="expression" dxfId="13" priority="14" stopIfTrue="1">
      <formula>AC114="ERROR CUIT"</formula>
    </cfRule>
  </conditionalFormatting>
  <conditionalFormatting sqref="A115">
    <cfRule type="expression" dxfId="12" priority="13" stopIfTrue="1">
      <formula>AC115="ERROR CUIT"</formula>
    </cfRule>
  </conditionalFormatting>
  <conditionalFormatting sqref="A116">
    <cfRule type="expression" dxfId="11" priority="12" stopIfTrue="1">
      <formula>AC116="ERROR CUIT"</formula>
    </cfRule>
  </conditionalFormatting>
  <conditionalFormatting sqref="A117">
    <cfRule type="expression" dxfId="10" priority="11" stopIfTrue="1">
      <formula>AC117="ERROR CUIT"</formula>
    </cfRule>
  </conditionalFormatting>
  <conditionalFormatting sqref="A118">
    <cfRule type="expression" dxfId="9" priority="10" stopIfTrue="1">
      <formula>AC118="ERROR CUIT"</formula>
    </cfRule>
  </conditionalFormatting>
  <conditionalFormatting sqref="A118">
    <cfRule type="expression" dxfId="8" priority="9" stopIfTrue="1">
      <formula>AC118="ERROR CUIT"</formula>
    </cfRule>
  </conditionalFormatting>
  <conditionalFormatting sqref="A59">
    <cfRule type="expression" dxfId="7" priority="8" stopIfTrue="1">
      <formula>Z59="ERROR CUIT"</formula>
    </cfRule>
  </conditionalFormatting>
  <conditionalFormatting sqref="A60">
    <cfRule type="expression" dxfId="6" priority="7" stopIfTrue="1">
      <formula>Z60="ERROR CUIT"</formula>
    </cfRule>
  </conditionalFormatting>
  <conditionalFormatting sqref="A61">
    <cfRule type="expression" dxfId="5" priority="6" stopIfTrue="1">
      <formula>Z61="ERROR CUIT"</formula>
    </cfRule>
  </conditionalFormatting>
  <conditionalFormatting sqref="A63">
    <cfRule type="expression" dxfId="4" priority="5" stopIfTrue="1">
      <formula>Z63="ERROR CUIT"</formula>
    </cfRule>
  </conditionalFormatting>
  <conditionalFormatting sqref="A64">
    <cfRule type="expression" dxfId="3" priority="4" stopIfTrue="1">
      <formula>AC64="ERROR CUIT"</formula>
    </cfRule>
  </conditionalFormatting>
  <conditionalFormatting sqref="A65">
    <cfRule type="expression" dxfId="2" priority="3" stopIfTrue="1">
      <formula>AC65="ERROR CUIT"</formula>
    </cfRule>
  </conditionalFormatting>
  <conditionalFormatting sqref="A120">
    <cfRule type="expression" dxfId="1" priority="2" stopIfTrue="1">
      <formula>AC120="ERROR CUIT"</formula>
    </cfRule>
  </conditionalFormatting>
  <conditionalFormatting sqref="A121">
    <cfRule type="expression" dxfId="0" priority="1" stopIfTrue="1">
      <formula>AC121="ERROR CUIT"</formula>
    </cfRule>
  </conditionalFormatting>
  <dataValidations count="3">
    <dataValidation type="textLength" operator="equal" showErrorMessage="1" errorTitle="Error" error="Ingrese un número entero entre 1 a 99.999.999.999.999.999.999" sqref="A97 A14 A123:A125 A17:A20 A59:A61 A27 A75 A63:A65 A110:A119">
      <formula1>11</formula1>
    </dataValidation>
    <dataValidation type="textLength" allowBlank="1" showInputMessage="1" showErrorMessage="1" sqref="B1:B48 B54:B1048576">
      <formula1>0</formula1>
      <formula2>30</formula2>
    </dataValidation>
    <dataValidation type="whole" showErrorMessage="1" errorTitle="Error" error="Ingrese un número entero entre 1 a 99.999.999.999.999.999.999" sqref="A88">
      <formula1>1</formula1>
      <formula2>100000000000000000000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2"/>
  <sheetViews>
    <sheetView topLeftCell="A34" zoomScaleNormal="100" workbookViewId="0">
      <selection activeCell="K20" sqref="K20"/>
    </sheetView>
  </sheetViews>
  <sheetFormatPr baseColWidth="10" defaultColWidth="9.140625" defaultRowHeight="15"/>
  <cols>
    <col min="1" max="1" width="23.28515625" style="58" customWidth="1"/>
    <col min="2" max="2" width="15.42578125" style="7" customWidth="1"/>
    <col min="3" max="3" width="14.28515625" style="7" customWidth="1"/>
    <col min="4" max="4" width="14" style="36" customWidth="1"/>
    <col min="5" max="5" width="27.85546875" customWidth="1"/>
    <col min="6" max="6" width="13.7109375" style="7" customWidth="1"/>
    <col min="7" max="7" width="12.85546875" style="7" customWidth="1"/>
    <col min="8" max="8" width="12.28515625" style="7" customWidth="1"/>
    <col min="9" max="9" width="15.42578125" customWidth="1"/>
    <col min="10" max="10" width="9.140625" bestFit="1" customWidth="1"/>
    <col min="11" max="11" width="10.140625" customWidth="1"/>
    <col min="12" max="12" width="7.28515625" bestFit="1" customWidth="1"/>
    <col min="13" max="13" width="9.85546875" bestFit="1" customWidth="1"/>
    <col min="14" max="14" width="11.7109375" customWidth="1"/>
    <col min="15" max="16" width="14.7109375" customWidth="1"/>
  </cols>
  <sheetData>
    <row r="1" spans="1:16" ht="21.75" thickBot="1">
      <c r="A1" s="320" t="s">
        <v>28</v>
      </c>
      <c r="B1" s="320"/>
      <c r="C1" s="320"/>
      <c r="D1" s="320"/>
      <c r="E1" s="320"/>
      <c r="F1" s="320"/>
      <c r="G1" s="320"/>
      <c r="H1" s="320"/>
      <c r="I1" s="320"/>
      <c r="J1" s="321">
        <v>45474</v>
      </c>
      <c r="K1" s="321"/>
      <c r="L1" s="321"/>
      <c r="M1" s="321"/>
      <c r="N1" s="321"/>
    </row>
    <row r="2" spans="1:16" ht="18.75">
      <c r="A2" s="57"/>
      <c r="B2" s="9"/>
      <c r="C2" s="9"/>
      <c r="D2" s="35"/>
      <c r="E2" s="214"/>
      <c r="F2" s="45"/>
      <c r="G2" s="46"/>
      <c r="H2" s="46"/>
      <c r="I2" s="10"/>
      <c r="J2" s="10"/>
      <c r="K2" s="8"/>
      <c r="L2" s="11"/>
    </row>
    <row r="3" spans="1:16" ht="15.75" thickBot="1">
      <c r="F3" s="47"/>
      <c r="G3" s="48"/>
      <c r="H3" s="49"/>
      <c r="I3" s="18"/>
      <c r="J3" s="11"/>
      <c r="K3" s="11"/>
    </row>
    <row r="4" spans="1:16" ht="16.5" thickBot="1">
      <c r="A4" s="325" t="s">
        <v>6</v>
      </c>
      <c r="B4" s="326"/>
      <c r="C4" s="326"/>
      <c r="D4" s="326"/>
      <c r="E4" s="326"/>
      <c r="F4" s="326"/>
      <c r="G4" s="326"/>
      <c r="H4" s="326"/>
      <c r="I4" s="326"/>
      <c r="J4" s="326"/>
      <c r="K4" s="326"/>
      <c r="L4" s="326"/>
      <c r="M4" s="326"/>
      <c r="N4" s="327"/>
    </row>
    <row r="5" spans="1:16" ht="15.75" thickBot="1">
      <c r="A5" s="59"/>
      <c r="B5" s="3"/>
      <c r="C5" s="3"/>
      <c r="D5" s="37"/>
      <c r="E5" s="3"/>
      <c r="F5" s="31"/>
      <c r="G5" s="31"/>
      <c r="H5" s="31"/>
      <c r="I5" s="3"/>
      <c r="J5" s="1"/>
      <c r="K5" s="1"/>
    </row>
    <row r="6" spans="1:16" ht="16.5" thickBot="1">
      <c r="A6" s="322" t="s">
        <v>20</v>
      </c>
      <c r="B6" s="323"/>
      <c r="C6" s="324"/>
      <c r="D6" s="37"/>
      <c r="E6" s="3"/>
      <c r="F6" s="31"/>
      <c r="G6" s="31"/>
      <c r="H6" s="31"/>
      <c r="I6" s="3"/>
      <c r="J6" s="1"/>
      <c r="K6" s="1"/>
    </row>
    <row r="7" spans="1:16" ht="15.75" thickBot="1">
      <c r="A7" s="60" t="s">
        <v>1</v>
      </c>
      <c r="B7" s="30" t="s">
        <v>17</v>
      </c>
      <c r="C7" s="30" t="s">
        <v>5</v>
      </c>
      <c r="D7" s="38" t="s">
        <v>7</v>
      </c>
      <c r="E7" s="24" t="s">
        <v>19</v>
      </c>
      <c r="F7" s="30" t="s">
        <v>8</v>
      </c>
      <c r="G7" s="30" t="s">
        <v>9</v>
      </c>
      <c r="H7" s="30" t="s">
        <v>10</v>
      </c>
      <c r="I7" s="30" t="s">
        <v>11</v>
      </c>
      <c r="J7" s="30" t="s">
        <v>12</v>
      </c>
      <c r="K7" s="30" t="s">
        <v>13</v>
      </c>
      <c r="L7" s="30" t="s">
        <v>14</v>
      </c>
      <c r="M7" s="30" t="s">
        <v>30</v>
      </c>
      <c r="N7" s="30" t="s">
        <v>15</v>
      </c>
      <c r="O7" s="30" t="s">
        <v>4</v>
      </c>
      <c r="P7" s="30" t="s">
        <v>2</v>
      </c>
    </row>
    <row r="8" spans="1:16" ht="15" customHeight="1">
      <c r="A8" s="200"/>
      <c r="B8" s="21"/>
      <c r="C8" s="202"/>
      <c r="D8" s="204"/>
      <c r="E8" s="203" t="e">
        <f>VLOOKUP(D8,Configuracion!$A$4:$C$591,2,FALSE)</f>
        <v>#N/A</v>
      </c>
      <c r="F8" s="207"/>
      <c r="G8" s="50">
        <f t="shared" ref="G8:G10" si="0">F8*21%</f>
        <v>0</v>
      </c>
      <c r="H8" s="50"/>
      <c r="I8" s="50"/>
      <c r="J8" s="50"/>
      <c r="K8" s="222"/>
      <c r="L8" s="50"/>
      <c r="M8" s="228"/>
      <c r="N8" s="50"/>
      <c r="O8" s="205">
        <f t="shared" ref="O8:O10" si="1">SUM(F8:N8)</f>
        <v>0</v>
      </c>
      <c r="P8" s="210" t="e">
        <f>VLOOKUP(D8,Configuracion!$A$4:$C$591,3,FALSE)</f>
        <v>#N/A</v>
      </c>
    </row>
    <row r="9" spans="1:16" ht="15" customHeight="1">
      <c r="A9" s="200"/>
      <c r="B9" s="21"/>
      <c r="C9" s="202"/>
      <c r="D9" s="204"/>
      <c r="E9" s="203" t="e">
        <f>VLOOKUP(D9,Configuracion!$A$4:$C$591,2,FALSE)</f>
        <v>#N/A</v>
      </c>
      <c r="F9" s="207"/>
      <c r="G9" s="50">
        <f t="shared" si="0"/>
        <v>0</v>
      </c>
      <c r="H9" s="50"/>
      <c r="I9" s="50"/>
      <c r="J9" s="50"/>
      <c r="K9" s="222"/>
      <c r="L9" s="50"/>
      <c r="M9" s="228"/>
      <c r="N9" s="50"/>
      <c r="O9" s="205">
        <f t="shared" si="1"/>
        <v>0</v>
      </c>
      <c r="P9" s="210" t="e">
        <f>VLOOKUP(D9,Configuracion!$A$4:$C$591,3,FALSE)</f>
        <v>#N/A</v>
      </c>
    </row>
    <row r="10" spans="1:16" s="23" customFormat="1" ht="15" customHeight="1">
      <c r="A10" s="200"/>
      <c r="B10" s="21"/>
      <c r="C10" s="202"/>
      <c r="D10" s="204"/>
      <c r="E10" s="203" t="e">
        <f>VLOOKUP(D10,Configuracion!$A$4:$C$591,2,FALSE)</f>
        <v>#N/A</v>
      </c>
      <c r="F10" s="207"/>
      <c r="G10" s="50">
        <f t="shared" si="0"/>
        <v>0</v>
      </c>
      <c r="H10" s="50"/>
      <c r="I10" s="50"/>
      <c r="J10" s="50"/>
      <c r="K10" s="222"/>
      <c r="L10" s="50"/>
      <c r="M10" s="228"/>
      <c r="N10" s="50"/>
      <c r="O10" s="205">
        <f t="shared" si="1"/>
        <v>0</v>
      </c>
      <c r="P10" s="210" t="e">
        <f>VLOOKUP(D10,Configuracion!$A$4:$C$591,3,FALSE)</f>
        <v>#N/A</v>
      </c>
    </row>
    <row r="11" spans="1:16" ht="15" customHeight="1" thickBot="1">
      <c r="A11" s="200"/>
      <c r="B11" s="21"/>
      <c r="C11" s="202"/>
      <c r="D11" s="204"/>
      <c r="E11" s="203" t="e">
        <f>VLOOKUP(D11,Configuracion!$A$4:$C$591,2,FALSE)</f>
        <v>#N/A</v>
      </c>
      <c r="F11" s="207"/>
      <c r="G11" s="50">
        <f>F11*21%</f>
        <v>0</v>
      </c>
      <c r="H11" s="50"/>
      <c r="I11" s="50"/>
      <c r="J11" s="50"/>
      <c r="K11" s="222"/>
      <c r="L11" s="50"/>
      <c r="M11" s="228"/>
      <c r="N11" s="50"/>
      <c r="O11" s="205">
        <f>SUM(F11:N11)</f>
        <v>0</v>
      </c>
      <c r="P11" s="210" t="e">
        <f>VLOOKUP(D11,Configuracion!$A$4:$C$591,3,FALSE)</f>
        <v>#N/A</v>
      </c>
    </row>
    <row r="12" spans="1:16" ht="15.75" customHeight="1" thickBot="1">
      <c r="A12" s="331" t="s">
        <v>4</v>
      </c>
      <c r="B12" s="332"/>
      <c r="C12" s="332"/>
      <c r="D12" s="332"/>
      <c r="E12" s="333"/>
      <c r="F12" s="34">
        <f t="shared" ref="F12:O12" si="2">SUM(F8:F11)</f>
        <v>0</v>
      </c>
      <c r="G12" s="34">
        <f t="shared" si="2"/>
        <v>0</v>
      </c>
      <c r="H12" s="34">
        <f t="shared" si="2"/>
        <v>0</v>
      </c>
      <c r="I12" s="34">
        <f t="shared" si="2"/>
        <v>0</v>
      </c>
      <c r="J12" s="34">
        <f t="shared" si="2"/>
        <v>0</v>
      </c>
      <c r="K12" s="34">
        <f t="shared" si="2"/>
        <v>0</v>
      </c>
      <c r="L12" s="34">
        <f t="shared" si="2"/>
        <v>0</v>
      </c>
      <c r="M12" s="34">
        <f t="shared" si="2"/>
        <v>0</v>
      </c>
      <c r="N12" s="34">
        <f t="shared" si="2"/>
        <v>0</v>
      </c>
      <c r="O12" s="34">
        <f t="shared" si="2"/>
        <v>0</v>
      </c>
    </row>
    <row r="13" spans="1:16" ht="15.75" customHeight="1" thickBot="1">
      <c r="F13" s="25" t="s">
        <v>3</v>
      </c>
      <c r="G13" s="334">
        <f>G12+H12+I12</f>
        <v>0</v>
      </c>
      <c r="H13" s="335"/>
      <c r="I13" s="336"/>
    </row>
    <row r="14" spans="1:16" ht="15.75" thickBot="1">
      <c r="K14" t="s">
        <v>104</v>
      </c>
    </row>
    <row r="15" spans="1:16" ht="16.5" thickBot="1">
      <c r="A15" s="322" t="s">
        <v>29</v>
      </c>
      <c r="B15" s="323"/>
      <c r="C15" s="324"/>
      <c r="F15" s="4"/>
      <c r="G15" s="5"/>
      <c r="H15" s="5"/>
      <c r="I15" s="5"/>
    </row>
    <row r="16" spans="1:16">
      <c r="A16" s="61" t="s">
        <v>1</v>
      </c>
      <c r="B16" s="26" t="s">
        <v>17</v>
      </c>
      <c r="C16" s="26" t="s">
        <v>16</v>
      </c>
      <c r="D16" s="40" t="s">
        <v>7</v>
      </c>
      <c r="E16" s="26" t="s">
        <v>19</v>
      </c>
      <c r="F16" s="26" t="s">
        <v>4</v>
      </c>
      <c r="G16" s="246" t="s">
        <v>2</v>
      </c>
      <c r="H16" s="5"/>
      <c r="I16" s="5"/>
      <c r="J16" s="229"/>
      <c r="K16" s="229"/>
    </row>
    <row r="17" spans="1:15">
      <c r="A17" s="247"/>
      <c r="B17" s="20"/>
      <c r="C17" s="206"/>
      <c r="D17" s="198"/>
      <c r="E17" s="198" t="e">
        <f>VLOOKUP(D17,Configuracion!$A$4:$C$591,2,FALSE)</f>
        <v>#N/A</v>
      </c>
      <c r="F17" s="22"/>
      <c r="G17" s="210" t="e">
        <f>VLOOKUP(D17,Configuracion!$A$4:$C$591,3,FALSE)</f>
        <v>#N/A</v>
      </c>
      <c r="H17" s="235"/>
    </row>
    <row r="18" spans="1:15">
      <c r="A18" s="211"/>
      <c r="B18" s="20"/>
      <c r="C18" s="206"/>
      <c r="D18" s="198"/>
      <c r="E18" s="198" t="e">
        <f>VLOOKUP(D18,Configuracion!$A$4:$C$591,2,FALSE)</f>
        <v>#N/A</v>
      </c>
      <c r="F18" s="22"/>
      <c r="G18" s="210" t="e">
        <f>VLOOKUP(D18,Configuracion!$A$4:$C$591,3,FALSE)</f>
        <v>#N/A</v>
      </c>
      <c r="H18" s="5"/>
      <c r="I18" s="5"/>
    </row>
    <row r="19" spans="1:15">
      <c r="A19" s="211"/>
      <c r="B19" s="20"/>
      <c r="C19" s="206"/>
      <c r="D19" s="198"/>
      <c r="E19" s="198" t="e">
        <f>VLOOKUP(D19,Configuracion!$A$4:$C$591,2,FALSE)</f>
        <v>#N/A</v>
      </c>
      <c r="F19" s="22"/>
      <c r="G19" s="210" t="e">
        <f>VLOOKUP(D19,Configuracion!$A$4:$C$591,3,FALSE)</f>
        <v>#N/A</v>
      </c>
      <c r="H19" s="5"/>
      <c r="I19" s="5"/>
    </row>
    <row r="20" spans="1:15">
      <c r="A20" s="211"/>
      <c r="B20" s="20"/>
      <c r="C20" s="206"/>
      <c r="D20" s="198"/>
      <c r="E20" s="198" t="e">
        <f>VLOOKUP(D20,Configuracion!$A$4:$C$591,2,FALSE)</f>
        <v>#N/A</v>
      </c>
      <c r="F20" s="22"/>
      <c r="G20" s="210" t="e">
        <f>VLOOKUP(D20,Configuracion!$A$4:$C$591,3,FALSE)</f>
        <v>#N/A</v>
      </c>
      <c r="H20" s="5"/>
      <c r="I20" s="5"/>
    </row>
    <row r="21" spans="1:15">
      <c r="A21" s="211"/>
      <c r="B21" s="20"/>
      <c r="C21" s="206"/>
      <c r="D21" s="198"/>
      <c r="E21" s="198" t="e">
        <f>VLOOKUP(D21,Configuracion!$A$4:$C$591,2,FALSE)</f>
        <v>#N/A</v>
      </c>
      <c r="F21" s="22"/>
      <c r="G21" s="210" t="e">
        <f>VLOOKUP(D21,Configuracion!$A$4:$C$591,3,FALSE)</f>
        <v>#N/A</v>
      </c>
      <c r="H21" s="5"/>
      <c r="I21" s="5"/>
    </row>
    <row r="22" spans="1:15">
      <c r="A22" s="211"/>
      <c r="B22" s="20"/>
      <c r="C22" s="206"/>
      <c r="D22" s="198"/>
      <c r="E22" s="198" t="e">
        <f>VLOOKUP(D22,Configuracion!$A$4:$C$591,2,FALSE)</f>
        <v>#N/A</v>
      </c>
      <c r="F22" s="22"/>
      <c r="G22" s="210" t="e">
        <f>VLOOKUP(D22,Configuracion!$A$4:$C$591,3,FALSE)</f>
        <v>#N/A</v>
      </c>
      <c r="H22" s="5"/>
      <c r="I22" s="5"/>
    </row>
    <row r="23" spans="1:15">
      <c r="A23" s="211"/>
      <c r="B23" s="20"/>
      <c r="C23" s="206"/>
      <c r="D23" s="198"/>
      <c r="E23" s="198" t="e">
        <f>VLOOKUP(D23,Configuracion!$A$4:$C$591,2,FALSE)</f>
        <v>#N/A</v>
      </c>
      <c r="F23" s="22"/>
      <c r="G23" s="210" t="e">
        <f>VLOOKUP(D23,Configuracion!$A$4:$C$591,3,FALSE)</f>
        <v>#N/A</v>
      </c>
      <c r="H23" s="5"/>
      <c r="I23" s="5"/>
    </row>
    <row r="24" spans="1:15">
      <c r="A24" s="211"/>
      <c r="B24" s="20"/>
      <c r="C24" s="206"/>
      <c r="D24" s="198"/>
      <c r="E24" s="198" t="e">
        <f>VLOOKUP(D24,Configuracion!$A$4:$C$591,2,FALSE)</f>
        <v>#N/A</v>
      </c>
      <c r="F24" s="22"/>
      <c r="G24" s="210" t="e">
        <f>VLOOKUP(D24,Configuracion!$A$4:$C$591,3,FALSE)</f>
        <v>#N/A</v>
      </c>
      <c r="H24" s="5"/>
      <c r="I24" s="5"/>
    </row>
    <row r="25" spans="1:15" ht="15.75" thickBot="1">
      <c r="A25" s="328" t="s">
        <v>4</v>
      </c>
      <c r="B25" s="329"/>
      <c r="C25" s="329"/>
      <c r="D25" s="329"/>
      <c r="E25" s="330"/>
      <c r="F25" s="34">
        <f>SUM(F17:F24)</f>
        <v>0</v>
      </c>
      <c r="G25" s="5"/>
      <c r="H25" s="5"/>
      <c r="I25" s="5"/>
    </row>
    <row r="26" spans="1:15" ht="15.75" thickBot="1">
      <c r="A26" s="32"/>
      <c r="B26" s="32"/>
      <c r="D26" s="41"/>
      <c r="E26" s="33"/>
      <c r="F26" s="51"/>
      <c r="G26" s="5"/>
      <c r="H26" s="5"/>
      <c r="I26" s="5"/>
    </row>
    <row r="27" spans="1:15" ht="16.5" thickBot="1">
      <c r="A27" s="322" t="s">
        <v>22</v>
      </c>
      <c r="B27" s="323"/>
      <c r="C27" s="324"/>
      <c r="D27" s="95"/>
      <c r="E27" s="56"/>
      <c r="F27" s="55"/>
      <c r="G27" s="5"/>
      <c r="H27" s="5"/>
      <c r="I27" s="5"/>
    </row>
    <row r="28" spans="1:15">
      <c r="A28" s="67" t="s">
        <v>1</v>
      </c>
      <c r="B28" s="319" t="s">
        <v>24</v>
      </c>
      <c r="C28" s="319"/>
      <c r="D28" s="68" t="s">
        <v>7</v>
      </c>
      <c r="E28" s="69" t="s">
        <v>19</v>
      </c>
      <c r="F28" s="69" t="s">
        <v>25</v>
      </c>
      <c r="G28" s="69" t="s">
        <v>3</v>
      </c>
      <c r="H28" s="69" t="s">
        <v>21</v>
      </c>
      <c r="I28" s="70" t="s">
        <v>23</v>
      </c>
      <c r="J28" s="229"/>
      <c r="K28" s="229"/>
      <c r="L28" s="229"/>
      <c r="M28" s="229"/>
      <c r="O28" s="147"/>
    </row>
    <row r="29" spans="1:15" ht="15.75">
      <c r="A29" s="221">
        <v>45485</v>
      </c>
      <c r="B29" s="318">
        <v>59644</v>
      </c>
      <c r="C29" s="318"/>
      <c r="D29" s="39">
        <v>30522428163</v>
      </c>
      <c r="E29" s="39" t="str">
        <f>VLOOKUP(D29,Configuracion!$A$4:$C$591,2,FALSE)</f>
        <v>GALENO ARGENTINA SA</v>
      </c>
      <c r="F29" s="219">
        <v>7473.09</v>
      </c>
      <c r="G29" s="219">
        <v>40200.089999999997</v>
      </c>
      <c r="H29" s="219">
        <v>3736.76</v>
      </c>
      <c r="I29" s="220">
        <v>3828.58</v>
      </c>
      <c r="J29" s="12"/>
      <c r="K29" s="12"/>
      <c r="L29" s="13"/>
      <c r="M29" s="2"/>
      <c r="N29" s="2"/>
    </row>
    <row r="30" spans="1:15" ht="15.75">
      <c r="A30" s="221">
        <v>45475</v>
      </c>
      <c r="B30" s="318">
        <v>55614</v>
      </c>
      <c r="C30" s="318"/>
      <c r="D30" s="39">
        <v>30522428163</v>
      </c>
      <c r="E30" s="39" t="str">
        <f>VLOOKUP(D30,Configuracion!$A$4:$C$591,2,FALSE)</f>
        <v>GALENO ARGENTINA SA</v>
      </c>
      <c r="F30" s="219">
        <v>0</v>
      </c>
      <c r="G30" s="219">
        <v>23887.32</v>
      </c>
      <c r="H30" s="219">
        <v>2016.31</v>
      </c>
      <c r="I30" s="220">
        <v>2274.98</v>
      </c>
      <c r="J30" s="12"/>
      <c r="K30" s="12"/>
      <c r="L30" s="13"/>
      <c r="M30" s="2"/>
      <c r="N30" s="2"/>
    </row>
    <row r="31" spans="1:15" ht="15.75">
      <c r="A31" s="221">
        <v>45485</v>
      </c>
      <c r="B31" s="318">
        <v>59642</v>
      </c>
      <c r="C31" s="318"/>
      <c r="D31" s="39">
        <v>30522428163</v>
      </c>
      <c r="E31" s="39" t="str">
        <f>VLOOKUP(D31,Configuracion!$A$4:$C$591,2,FALSE)</f>
        <v>GALENO ARGENTINA SA</v>
      </c>
      <c r="F31" s="219">
        <v>18354.61</v>
      </c>
      <c r="G31" s="219">
        <v>102601.53</v>
      </c>
      <c r="H31" s="219">
        <v>9177.2999999999993</v>
      </c>
      <c r="I31" s="220">
        <v>9771.57</v>
      </c>
      <c r="J31" s="12"/>
      <c r="K31" s="12"/>
      <c r="L31" s="13"/>
      <c r="M31" s="2"/>
      <c r="N31" s="2"/>
    </row>
    <row r="32" spans="1:15" ht="15.75">
      <c r="A32" s="221">
        <v>45481</v>
      </c>
      <c r="B32" s="318">
        <v>57001</v>
      </c>
      <c r="C32" s="318"/>
      <c r="D32" s="39">
        <v>30522428163</v>
      </c>
      <c r="E32" s="39" t="str">
        <f>VLOOKUP(D32,Configuracion!$A$4:$C$591,2,FALSE)</f>
        <v>GALENO ARGENTINA SA</v>
      </c>
      <c r="F32" s="219">
        <v>183170</v>
      </c>
      <c r="G32" s="219">
        <v>972505.93</v>
      </c>
      <c r="H32" s="219">
        <v>91585</v>
      </c>
      <c r="I32" s="220">
        <v>92619.61</v>
      </c>
      <c r="J32" s="12"/>
      <c r="K32" s="12"/>
      <c r="L32" s="13"/>
      <c r="M32" s="2"/>
      <c r="N32" s="2"/>
    </row>
    <row r="33" spans="1:14" ht="15.75">
      <c r="A33" s="221">
        <v>45481</v>
      </c>
      <c r="B33" s="318">
        <v>56919</v>
      </c>
      <c r="C33" s="318"/>
      <c r="D33" s="39">
        <v>30522428163</v>
      </c>
      <c r="E33" s="39" t="str">
        <f>VLOOKUP(D33,Configuracion!$A$4:$C$591,2,FALSE)</f>
        <v>GALENO ARGENTINA SA</v>
      </c>
      <c r="F33" s="219">
        <v>26347.77</v>
      </c>
      <c r="G33" s="219">
        <v>138325.79</v>
      </c>
      <c r="H33" s="219">
        <v>13173.88</v>
      </c>
      <c r="I33" s="220">
        <v>13173.88</v>
      </c>
      <c r="J33" s="12"/>
      <c r="K33" s="12"/>
      <c r="L33" s="13"/>
      <c r="M33" s="2"/>
      <c r="N33" s="2"/>
    </row>
    <row r="34" spans="1:14" ht="15.75">
      <c r="A34" s="221">
        <v>45481</v>
      </c>
      <c r="B34" s="318">
        <v>57034</v>
      </c>
      <c r="C34" s="318"/>
      <c r="D34" s="39">
        <v>30522428163</v>
      </c>
      <c r="E34" s="39" t="str">
        <f>VLOOKUP(D34,Configuracion!$A$4:$C$591,2,FALSE)</f>
        <v>GALENO ARGENTINA SA</v>
      </c>
      <c r="F34" s="219">
        <v>6749.88</v>
      </c>
      <c r="G34" s="219">
        <v>120681.51</v>
      </c>
      <c r="H34" s="219">
        <v>3371.67</v>
      </c>
      <c r="I34" s="220">
        <v>11493.48</v>
      </c>
      <c r="J34" s="12"/>
      <c r="K34" s="12"/>
      <c r="L34" s="13"/>
      <c r="M34" s="2"/>
      <c r="N34" s="2"/>
    </row>
    <row r="35" spans="1:14" ht="15.75">
      <c r="A35" s="221">
        <v>45468</v>
      </c>
      <c r="B35" s="318">
        <v>53218</v>
      </c>
      <c r="C35" s="318"/>
      <c r="D35" s="39">
        <v>30522428163</v>
      </c>
      <c r="E35" s="39" t="str">
        <f>VLOOKUP(D35,Configuracion!$A$4:$C$591,2,FALSE)</f>
        <v>GALENO ARGENTINA SA</v>
      </c>
      <c r="F35" s="219">
        <v>738.13</v>
      </c>
      <c r="G35" s="219">
        <v>4747.7299999999996</v>
      </c>
      <c r="H35" s="219">
        <v>369.06</v>
      </c>
      <c r="I35" s="220">
        <v>452.16</v>
      </c>
      <c r="J35" s="12"/>
      <c r="K35" s="12"/>
      <c r="L35" s="13"/>
      <c r="M35" s="2"/>
      <c r="N35" s="2"/>
    </row>
    <row r="36" spans="1:14" ht="15.75">
      <c r="A36" s="221">
        <v>45450</v>
      </c>
      <c r="B36" s="318">
        <v>47651</v>
      </c>
      <c r="C36" s="318"/>
      <c r="D36" s="39">
        <v>30522428163</v>
      </c>
      <c r="E36" s="39" t="str">
        <f>VLOOKUP(D36,Configuracion!$A$4:$C$591,2,FALSE)</f>
        <v>GALENO ARGENTINA SA</v>
      </c>
      <c r="F36" s="219">
        <v>225303.14</v>
      </c>
      <c r="G36" s="219">
        <v>1182841.49</v>
      </c>
      <c r="H36" s="219">
        <v>112651.57</v>
      </c>
      <c r="I36" s="220">
        <v>112651.57</v>
      </c>
      <c r="J36" s="12"/>
      <c r="K36" s="12"/>
      <c r="L36" s="13"/>
      <c r="M36" s="2"/>
      <c r="N36" s="2"/>
    </row>
    <row r="37" spans="1:14" ht="15.75">
      <c r="A37" s="221">
        <v>45484</v>
      </c>
      <c r="B37" s="318">
        <v>59037</v>
      </c>
      <c r="C37" s="318"/>
      <c r="D37" s="39">
        <v>30522428163</v>
      </c>
      <c r="E37" s="39" t="str">
        <f>VLOOKUP(D37,Configuracion!$A$4:$C$591,2,FALSE)</f>
        <v>GALENO ARGENTINA SA</v>
      </c>
      <c r="F37" s="219">
        <v>165627.85999999999</v>
      </c>
      <c r="G37" s="219">
        <v>871890.5</v>
      </c>
      <c r="H37" s="219">
        <v>83037.19</v>
      </c>
      <c r="I37" s="220">
        <v>83037.19</v>
      </c>
      <c r="J37" s="12"/>
      <c r="K37" s="12"/>
      <c r="L37" s="13"/>
      <c r="M37" s="2"/>
      <c r="N37" s="2"/>
    </row>
    <row r="38" spans="1:14" ht="15.75">
      <c r="A38" s="221">
        <v>45484</v>
      </c>
      <c r="B38" s="318">
        <v>59039</v>
      </c>
      <c r="C38" s="318"/>
      <c r="D38" s="39">
        <v>30522428163</v>
      </c>
      <c r="E38" s="39" t="str">
        <f>VLOOKUP(D38,Configuracion!$A$4:$C$591,2,FALSE)</f>
        <v>GALENO ARGENTINA SA</v>
      </c>
      <c r="F38" s="219">
        <v>598347.1</v>
      </c>
      <c r="G38" s="219">
        <v>3141322.31</v>
      </c>
      <c r="H38" s="219">
        <v>299173.55</v>
      </c>
      <c r="I38" s="220">
        <v>299173.55</v>
      </c>
      <c r="J38" s="12"/>
      <c r="K38" s="12"/>
      <c r="L38" s="13"/>
      <c r="M38" s="2"/>
      <c r="N38" s="2"/>
    </row>
    <row r="39" spans="1:14" ht="15.75">
      <c r="A39" s="221">
        <v>45481</v>
      </c>
      <c r="B39" s="318">
        <v>57177</v>
      </c>
      <c r="C39" s="318"/>
      <c r="D39" s="39">
        <v>30522428163</v>
      </c>
      <c r="E39" s="39" t="str">
        <f>VLOOKUP(D39,Configuracion!$A$4:$C$591,2,FALSE)</f>
        <v>GALENO ARGENTINA SA</v>
      </c>
      <c r="F39" s="219">
        <v>24231.4</v>
      </c>
      <c r="G39" s="219">
        <v>127214.88</v>
      </c>
      <c r="H39" s="219">
        <v>12115.7</v>
      </c>
      <c r="I39" s="220">
        <v>12115.7</v>
      </c>
      <c r="J39" s="12"/>
      <c r="K39" s="12"/>
      <c r="L39" s="13"/>
      <c r="M39" s="2"/>
      <c r="N39" s="2"/>
    </row>
    <row r="40" spans="1:14" ht="15.75">
      <c r="A40" s="221">
        <v>45481</v>
      </c>
      <c r="B40" s="318">
        <v>57324</v>
      </c>
      <c r="C40" s="318"/>
      <c r="D40" s="39">
        <v>30522428163</v>
      </c>
      <c r="E40" s="39" t="str">
        <f>VLOOKUP(D40,Configuracion!$A$4:$C$591,2,FALSE)</f>
        <v>GALENO ARGENTINA SA</v>
      </c>
      <c r="F40" s="219">
        <v>38148.76</v>
      </c>
      <c r="G40" s="219">
        <v>214599.17</v>
      </c>
      <c r="H40" s="219">
        <v>19074.38</v>
      </c>
      <c r="I40" s="220">
        <v>20438.02</v>
      </c>
      <c r="J40" s="12"/>
      <c r="K40" s="12"/>
      <c r="L40" s="13"/>
      <c r="M40" s="2"/>
      <c r="N40" s="2"/>
    </row>
    <row r="41" spans="1:14" ht="15.75">
      <c r="A41" s="221">
        <v>45450</v>
      </c>
      <c r="B41" s="318">
        <v>47626</v>
      </c>
      <c r="C41" s="318"/>
      <c r="D41" s="39">
        <v>30522428163</v>
      </c>
      <c r="E41" s="39" t="str">
        <f>VLOOKUP(D41,Configuracion!$A$4:$C$591,2,FALSE)</f>
        <v>GALENO ARGENTINA SA</v>
      </c>
      <c r="F41" s="219">
        <v>85190.91</v>
      </c>
      <c r="G41" s="219">
        <v>447252.27</v>
      </c>
      <c r="H41" s="219">
        <v>42595.45</v>
      </c>
      <c r="I41" s="220">
        <v>42595.45</v>
      </c>
      <c r="J41" s="12"/>
      <c r="K41" s="12"/>
      <c r="L41" s="13"/>
      <c r="M41" s="2"/>
      <c r="N41" s="2"/>
    </row>
    <row r="42" spans="1:14" ht="15.75">
      <c r="A42" s="221">
        <v>45481</v>
      </c>
      <c r="B42" s="318">
        <v>57131</v>
      </c>
      <c r="C42" s="318"/>
      <c r="D42" s="39">
        <v>30522428163</v>
      </c>
      <c r="E42" s="39" t="str">
        <f>VLOOKUP(D42,Configuracion!$A$4:$C$591,2,FALSE)</f>
        <v>GALENO ARGENTINA SA</v>
      </c>
      <c r="F42" s="219">
        <v>28430.79</v>
      </c>
      <c r="G42" s="219">
        <v>149256.20000000001</v>
      </c>
      <c r="H42" s="219">
        <v>14214.88</v>
      </c>
      <c r="I42" s="220">
        <v>14214.88</v>
      </c>
      <c r="J42" s="12"/>
      <c r="K42" s="12"/>
      <c r="L42" s="13"/>
      <c r="M42" s="2"/>
      <c r="N42" s="2"/>
    </row>
    <row r="43" spans="1:14" ht="15.75">
      <c r="A43" s="221">
        <v>45447</v>
      </c>
      <c r="B43" s="318">
        <v>46820</v>
      </c>
      <c r="C43" s="318"/>
      <c r="D43" s="39">
        <v>30522428163</v>
      </c>
      <c r="E43" s="39" t="str">
        <f>VLOOKUP(D43,Configuracion!$A$4:$C$591,2,FALSE)</f>
        <v>GALENO ARGENTINA SA</v>
      </c>
      <c r="F43" s="219">
        <v>211272.07</v>
      </c>
      <c r="G43" s="219">
        <v>1132698.3500000001</v>
      </c>
      <c r="H43" s="219">
        <v>107876.03</v>
      </c>
      <c r="I43" s="220">
        <v>107876.03</v>
      </c>
      <c r="J43" s="12"/>
      <c r="K43" s="12"/>
      <c r="L43" s="13"/>
      <c r="M43" s="2"/>
      <c r="N43" s="2"/>
    </row>
    <row r="44" spans="1:14" ht="15.75">
      <c r="A44" s="221">
        <v>45434</v>
      </c>
      <c r="B44" s="318">
        <v>43441</v>
      </c>
      <c r="C44" s="318"/>
      <c r="D44" s="39">
        <v>30522428163</v>
      </c>
      <c r="E44" s="39" t="str">
        <f>VLOOKUP(D44,Configuracion!$A$4:$C$591,2,FALSE)</f>
        <v>GALENO ARGENTINA SA</v>
      </c>
      <c r="F44" s="219">
        <v>63662.81</v>
      </c>
      <c r="G44" s="219">
        <v>334229.75</v>
      </c>
      <c r="H44" s="219">
        <v>31831.4</v>
      </c>
      <c r="I44" s="220">
        <v>31831.4</v>
      </c>
      <c r="J44" s="12"/>
      <c r="K44" s="12"/>
      <c r="L44" s="13"/>
      <c r="M44" s="2"/>
      <c r="N44" s="2"/>
    </row>
    <row r="45" spans="1:14" ht="15.75">
      <c r="A45" s="221">
        <v>45478</v>
      </c>
      <c r="B45" s="318">
        <v>56788</v>
      </c>
      <c r="C45" s="318"/>
      <c r="D45" s="39">
        <v>30522428163</v>
      </c>
      <c r="E45" s="39" t="str">
        <f>VLOOKUP(D45,Configuracion!$A$4:$C$591,2,FALSE)</f>
        <v>GALENO ARGENTINA SA</v>
      </c>
      <c r="F45" s="219">
        <v>544161.98</v>
      </c>
      <c r="G45" s="219">
        <v>2856850.41</v>
      </c>
      <c r="H45" s="219">
        <v>272080.99</v>
      </c>
      <c r="I45" s="220">
        <v>272080.99</v>
      </c>
      <c r="J45" s="12"/>
      <c r="K45" s="12"/>
      <c r="L45" s="13"/>
      <c r="M45" s="2"/>
      <c r="N45" s="2"/>
    </row>
    <row r="46" spans="1:14" ht="15.75">
      <c r="A46" s="221">
        <v>45477</v>
      </c>
      <c r="B46" s="318">
        <v>124506</v>
      </c>
      <c r="C46" s="318"/>
      <c r="D46" s="39">
        <v>30590354798</v>
      </c>
      <c r="E46" s="39" t="str">
        <f>VLOOKUP(D46,Configuracion!$A$4:$C$591,2,FALSE)</f>
        <v>ASOCIACION MUTUAL SANCOR SALUD</v>
      </c>
      <c r="F46" s="219">
        <v>29992.07</v>
      </c>
      <c r="G46" s="219"/>
      <c r="H46" s="219">
        <v>30163.06</v>
      </c>
      <c r="I46" s="220"/>
      <c r="J46" s="12"/>
      <c r="K46" s="12"/>
      <c r="L46" s="13"/>
      <c r="M46" s="2"/>
      <c r="N46" s="2"/>
    </row>
    <row r="47" spans="1:14" ht="15.75">
      <c r="A47" s="221">
        <v>45478</v>
      </c>
      <c r="B47" s="318">
        <v>124762</v>
      </c>
      <c r="C47" s="318"/>
      <c r="D47" s="39">
        <v>30590354798</v>
      </c>
      <c r="E47" s="39" t="str">
        <f>VLOOKUP(D47,Configuracion!$A$4:$C$591,2,FALSE)</f>
        <v>ASOCIACION MUTUAL SANCOR SALUD</v>
      </c>
      <c r="F47" s="219">
        <v>27390</v>
      </c>
      <c r="G47" s="219"/>
      <c r="H47" s="219">
        <v>23966.25</v>
      </c>
      <c r="I47" s="220"/>
      <c r="J47" s="12"/>
      <c r="K47" s="12"/>
      <c r="L47" s="13"/>
      <c r="M47" s="2"/>
      <c r="N47" s="2"/>
    </row>
    <row r="48" spans="1:14" ht="15.75">
      <c r="A48" s="221">
        <v>45498</v>
      </c>
      <c r="B48" s="318">
        <v>127746</v>
      </c>
      <c r="C48" s="318"/>
      <c r="D48" s="39">
        <v>30590354798</v>
      </c>
      <c r="E48" s="39" t="str">
        <f>VLOOKUP(D48,Configuracion!$A$4:$C$591,2,FALSE)</f>
        <v>ASOCIACION MUTUAL SANCOR SALUD</v>
      </c>
      <c r="F48" s="219">
        <v>31550.15</v>
      </c>
      <c r="G48" s="219"/>
      <c r="H48" s="219">
        <v>27606.38</v>
      </c>
      <c r="I48" s="220"/>
      <c r="J48" s="12"/>
      <c r="K48" s="12"/>
      <c r="L48" s="13"/>
      <c r="M48" s="2"/>
      <c r="N48" s="2"/>
    </row>
    <row r="49" spans="1:14" ht="15.75">
      <c r="A49" s="221">
        <v>45495</v>
      </c>
      <c r="B49" s="318">
        <v>127251</v>
      </c>
      <c r="C49" s="318"/>
      <c r="D49" s="39">
        <v>30590354798</v>
      </c>
      <c r="E49" s="39" t="str">
        <f>VLOOKUP(D49,Configuracion!$A$4:$C$591,2,FALSE)</f>
        <v>ASOCIACION MUTUAL SANCOR SALUD</v>
      </c>
      <c r="F49" s="219">
        <v>36831.47</v>
      </c>
      <c r="G49" s="219"/>
      <c r="H49" s="219">
        <v>32227.54</v>
      </c>
      <c r="I49" s="220"/>
      <c r="J49" s="12"/>
      <c r="K49" s="12"/>
      <c r="L49" s="13"/>
      <c r="M49" s="2"/>
      <c r="N49" s="2"/>
    </row>
    <row r="50" spans="1:14" ht="15.75">
      <c r="A50" s="221">
        <v>45481</v>
      </c>
      <c r="B50" s="318">
        <v>7751</v>
      </c>
      <c r="C50" s="318"/>
      <c r="D50" s="39">
        <v>30608716390</v>
      </c>
      <c r="E50" s="39" t="str">
        <f>VLOOKUP(D50,Configuracion!$A$4:$C$591,2,FALSE)</f>
        <v>OSTEL</v>
      </c>
      <c r="F50" s="219">
        <v>4679.92</v>
      </c>
      <c r="G50" s="219"/>
      <c r="H50" s="219">
        <v>4579.96</v>
      </c>
      <c r="I50" s="220"/>
      <c r="J50" s="12"/>
      <c r="K50" s="12"/>
      <c r="L50" s="13"/>
      <c r="M50" s="2"/>
      <c r="N50" s="2"/>
    </row>
    <row r="51" spans="1:14" ht="15.75">
      <c r="A51" s="221">
        <v>45448</v>
      </c>
      <c r="B51" s="318">
        <v>107217</v>
      </c>
      <c r="C51" s="318"/>
      <c r="D51" s="39">
        <v>30636196858</v>
      </c>
      <c r="E51" s="39" t="str">
        <f>VLOOKUP(D51,Configuracion!$A$4:$C$591,2,FALSE)</f>
        <v>C.S.J. O.S. Poder Judicial</v>
      </c>
      <c r="F51" s="219">
        <v>99520</v>
      </c>
      <c r="G51" s="219"/>
      <c r="H51" s="219">
        <v>182000</v>
      </c>
      <c r="I51" s="220"/>
      <c r="J51" s="12"/>
      <c r="K51" s="12"/>
      <c r="L51" s="13"/>
      <c r="M51" s="2"/>
      <c r="N51" s="2"/>
    </row>
    <row r="52" spans="1:14" ht="15.75">
      <c r="A52" s="221">
        <v>45489</v>
      </c>
      <c r="B52" s="318">
        <v>2873</v>
      </c>
      <c r="C52" s="318"/>
      <c r="D52" s="39">
        <v>30683032227</v>
      </c>
      <c r="E52" s="39" t="str">
        <f>VLOOKUP(D52,Configuracion!$A$4:$C$591,2,FALSE)</f>
        <v>OS UNION PERSONAL</v>
      </c>
      <c r="F52" s="219"/>
      <c r="G52" s="219"/>
      <c r="H52" s="219">
        <v>143964.22</v>
      </c>
      <c r="I52" s="220"/>
      <c r="J52" s="12"/>
      <c r="K52" s="12"/>
      <c r="L52" s="13"/>
      <c r="M52" s="2"/>
      <c r="N52" s="2"/>
    </row>
    <row r="53" spans="1:14" ht="15.75">
      <c r="A53" s="221">
        <v>45455</v>
      </c>
      <c r="B53" s="318">
        <v>2845</v>
      </c>
      <c r="C53" s="318"/>
      <c r="D53" s="39">
        <v>30683032227</v>
      </c>
      <c r="E53" s="39" t="str">
        <f>VLOOKUP(D53,Configuracion!$A$4:$C$591,2,FALSE)</f>
        <v>OS UNION PERSONAL</v>
      </c>
      <c r="F53" s="219"/>
      <c r="G53" s="219"/>
      <c r="H53" s="219">
        <v>127046.28</v>
      </c>
      <c r="I53" s="220"/>
      <c r="J53" s="12"/>
      <c r="K53" s="12"/>
      <c r="L53" s="13"/>
      <c r="M53" s="2"/>
      <c r="N53" s="2"/>
    </row>
    <row r="54" spans="1:14" ht="15.75">
      <c r="A54" s="221">
        <v>45476</v>
      </c>
      <c r="B54" s="318">
        <v>2860</v>
      </c>
      <c r="C54" s="318"/>
      <c r="D54" s="39">
        <v>30683032227</v>
      </c>
      <c r="E54" s="39" t="str">
        <f>VLOOKUP(D54,Configuracion!$A$4:$C$591,2,FALSE)</f>
        <v>OS UNION PERSONAL</v>
      </c>
      <c r="F54" s="219"/>
      <c r="G54" s="219"/>
      <c r="H54" s="219">
        <v>24152.89</v>
      </c>
      <c r="I54" s="220"/>
      <c r="J54" s="12"/>
      <c r="K54" s="12"/>
      <c r="L54" s="13"/>
      <c r="M54" s="2"/>
      <c r="N54" s="2"/>
    </row>
    <row r="55" spans="1:14" ht="15.75">
      <c r="A55" s="221">
        <v>45485</v>
      </c>
      <c r="B55" s="318">
        <v>7881</v>
      </c>
      <c r="C55" s="318"/>
      <c r="D55" s="39">
        <v>30606274161</v>
      </c>
      <c r="E55" s="39" t="str">
        <f>VLOOKUP(D55,Configuracion!$A$4:$C$591,2,FALSE)</f>
        <v>EGESAC SA</v>
      </c>
      <c r="F55" s="219"/>
      <c r="G55" s="219"/>
      <c r="H55" s="219">
        <v>1269.26</v>
      </c>
      <c r="I55" s="220"/>
      <c r="J55" s="12"/>
      <c r="K55" s="12"/>
      <c r="L55" s="13"/>
      <c r="M55" s="2"/>
      <c r="N55" s="2"/>
    </row>
    <row r="56" spans="1:14" ht="15.75">
      <c r="A56" s="221">
        <v>45485</v>
      </c>
      <c r="B56" s="318">
        <v>14880</v>
      </c>
      <c r="C56" s="318"/>
      <c r="D56" s="39">
        <v>30604958640</v>
      </c>
      <c r="E56" s="39" t="str">
        <f>VLOOKUP(D56,Configuracion!$A$4:$C$591,2,FALSE)</f>
        <v>Aca Salud Coop P.S. Medico A.L</v>
      </c>
      <c r="F56" s="219">
        <v>2976.6</v>
      </c>
      <c r="G56" s="219"/>
      <c r="H56" s="219">
        <v>7560</v>
      </c>
      <c r="I56" s="220"/>
      <c r="J56" s="12"/>
      <c r="K56" s="12"/>
      <c r="L56" s="13"/>
      <c r="M56" s="2"/>
      <c r="N56" s="2"/>
    </row>
    <row r="57" spans="1:14" ht="15.75">
      <c r="A57" s="221">
        <v>45495</v>
      </c>
      <c r="B57" s="318">
        <v>14947</v>
      </c>
      <c r="C57" s="318"/>
      <c r="D57" s="39">
        <v>30604958640</v>
      </c>
      <c r="E57" s="39" t="str">
        <f>VLOOKUP(D57,Configuracion!$A$4:$C$591,2,FALSE)</f>
        <v>Aca Salud Coop P.S. Medico A.L</v>
      </c>
      <c r="F57" s="219">
        <v>6986.62</v>
      </c>
      <c r="G57" s="219"/>
      <c r="H57" s="219">
        <v>3992.36</v>
      </c>
      <c r="I57" s="220"/>
      <c r="J57" s="12"/>
      <c r="K57" s="12"/>
      <c r="L57" s="13"/>
      <c r="M57" s="2"/>
      <c r="N57" s="2"/>
    </row>
    <row r="58" spans="1:14" ht="15.75">
      <c r="A58" s="221">
        <v>45485</v>
      </c>
      <c r="B58" s="318">
        <v>1922500</v>
      </c>
      <c r="C58" s="318"/>
      <c r="D58" s="39">
        <v>30685228501</v>
      </c>
      <c r="E58" s="39" t="str">
        <f>VLOOKUP(D58,Configuracion!$A$4:$C$591,2,FALSE)</f>
        <v>GALENO ART SA</v>
      </c>
      <c r="F58" s="219">
        <v>5736.6</v>
      </c>
      <c r="G58" s="219"/>
      <c r="H58" s="219">
        <v>12390</v>
      </c>
      <c r="I58" s="220"/>
      <c r="J58" s="12"/>
      <c r="K58" s="12"/>
      <c r="L58" s="13"/>
      <c r="M58" s="2"/>
      <c r="N58" s="2"/>
    </row>
    <row r="59" spans="1:14" ht="15.75">
      <c r="A59" s="221">
        <v>45492</v>
      </c>
      <c r="B59" s="318">
        <v>196</v>
      </c>
      <c r="C59" s="318"/>
      <c r="D59" s="39">
        <v>30710538014</v>
      </c>
      <c r="E59" s="39" t="str">
        <f>VLOOKUP(D59,Configuracion!$A$4:$C$591,2,FALSE)</f>
        <v>HC HOMECARE INT DOM SA</v>
      </c>
      <c r="F59" s="219">
        <v>5440.4</v>
      </c>
      <c r="G59" s="219"/>
      <c r="H59" s="219">
        <f>5935.83+11871.65</f>
        <v>17807.48</v>
      </c>
      <c r="I59" s="220"/>
      <c r="J59" s="12"/>
      <c r="K59" s="12"/>
      <c r="L59" s="13"/>
      <c r="M59" s="2"/>
      <c r="N59" s="2"/>
    </row>
    <row r="60" spans="1:14" ht="15.75">
      <c r="A60" s="221"/>
      <c r="B60" s="318"/>
      <c r="C60" s="318"/>
      <c r="D60" s="39">
        <v>0</v>
      </c>
      <c r="E60" s="39" t="e">
        <f>VLOOKUP(D60,Configuracion!$A$4:$C$591,2,FALSE)</f>
        <v>#N/A</v>
      </c>
      <c r="F60" s="219"/>
      <c r="G60" s="219"/>
      <c r="H60" s="219"/>
      <c r="I60" s="220"/>
      <c r="J60" s="12"/>
      <c r="K60" s="12"/>
      <c r="L60" s="13"/>
      <c r="M60" s="2"/>
      <c r="N60" s="2"/>
    </row>
    <row r="61" spans="1:14" ht="15.75">
      <c r="A61" s="221"/>
      <c r="B61" s="318"/>
      <c r="C61" s="318"/>
      <c r="D61" s="39">
        <v>0</v>
      </c>
      <c r="E61" s="39" t="e">
        <f>VLOOKUP(D61,Configuracion!$A$4:$C$591,2,FALSE)</f>
        <v>#N/A</v>
      </c>
      <c r="F61" s="219"/>
      <c r="G61" s="219"/>
      <c r="H61" s="219"/>
      <c r="I61" s="220"/>
      <c r="J61" s="12"/>
      <c r="K61" s="12"/>
      <c r="L61" s="13"/>
      <c r="M61" s="2"/>
      <c r="N61" s="2"/>
    </row>
    <row r="62" spans="1:14" ht="15.75">
      <c r="A62" s="221"/>
      <c r="B62" s="318"/>
      <c r="C62" s="318"/>
      <c r="D62" s="39">
        <v>0</v>
      </c>
      <c r="E62" s="39" t="e">
        <f>VLOOKUP(D62,Configuracion!$A$4:$C$591,2,FALSE)</f>
        <v>#N/A</v>
      </c>
      <c r="F62" s="219"/>
      <c r="G62" s="219"/>
      <c r="H62" s="219"/>
      <c r="I62" s="220"/>
      <c r="J62" s="12"/>
      <c r="K62" s="12"/>
      <c r="L62" s="13"/>
      <c r="M62" s="2"/>
      <c r="N62" s="2"/>
    </row>
    <row r="63" spans="1:14" ht="15.75">
      <c r="A63" s="221"/>
      <c r="B63" s="318"/>
      <c r="C63" s="318"/>
      <c r="D63" s="39">
        <v>0</v>
      </c>
      <c r="E63" s="39" t="e">
        <f>VLOOKUP(D63,Configuracion!$A$4:$C$591,2,FALSE)</f>
        <v>#N/A</v>
      </c>
      <c r="F63" s="219"/>
      <c r="G63" s="219"/>
      <c r="H63" s="219"/>
      <c r="I63" s="220"/>
      <c r="J63" s="12"/>
      <c r="K63" s="12"/>
      <c r="L63" s="13"/>
      <c r="M63" s="2"/>
      <c r="N63" s="2"/>
    </row>
    <row r="64" spans="1:14" ht="15.75">
      <c r="A64" s="221"/>
      <c r="B64" s="318"/>
      <c r="C64" s="318"/>
      <c r="D64" s="39">
        <v>0</v>
      </c>
      <c r="E64" s="39" t="e">
        <f>VLOOKUP(D64,Configuracion!$A$4:$C$591,2,FALSE)</f>
        <v>#N/A</v>
      </c>
      <c r="F64" s="219"/>
      <c r="G64" s="219"/>
      <c r="H64" s="219"/>
      <c r="I64" s="220"/>
      <c r="J64" s="12"/>
      <c r="K64" s="12"/>
      <c r="L64" s="13"/>
      <c r="M64" s="2"/>
      <c r="N64" s="2"/>
    </row>
    <row r="65" spans="1:14" ht="15.75">
      <c r="A65" s="221"/>
      <c r="B65" s="318"/>
      <c r="C65" s="318"/>
      <c r="D65" s="39">
        <v>0</v>
      </c>
      <c r="E65" s="39" t="e">
        <f>VLOOKUP(D65,Configuracion!$A$4:$C$591,2,FALSE)</f>
        <v>#N/A</v>
      </c>
      <c r="F65" s="219"/>
      <c r="G65" s="219"/>
      <c r="H65" s="219"/>
      <c r="I65" s="220"/>
      <c r="J65" s="12"/>
      <c r="K65" s="12"/>
      <c r="L65" s="13"/>
      <c r="M65" s="2"/>
      <c r="N65" s="2"/>
    </row>
    <row r="66" spans="1:14" ht="15.75">
      <c r="A66" s="221"/>
      <c r="B66" s="318"/>
      <c r="C66" s="318"/>
      <c r="D66" s="39">
        <v>0</v>
      </c>
      <c r="E66" s="39" t="e">
        <f>VLOOKUP(D66,Configuracion!$A$4:$C$591,2,FALSE)</f>
        <v>#N/A</v>
      </c>
      <c r="F66" s="219"/>
      <c r="G66" s="219"/>
      <c r="H66" s="219"/>
      <c r="I66" s="220"/>
      <c r="J66" s="12"/>
      <c r="K66" s="12"/>
      <c r="L66" s="13"/>
      <c r="M66" s="2"/>
      <c r="N66" s="2"/>
    </row>
    <row r="67" spans="1:14" ht="15.75">
      <c r="A67" s="221"/>
      <c r="B67" s="318"/>
      <c r="C67" s="318"/>
      <c r="D67" s="39">
        <v>0</v>
      </c>
      <c r="E67" s="39" t="e">
        <f>VLOOKUP(D67,Configuracion!$A$4:$C$591,2,FALSE)</f>
        <v>#N/A</v>
      </c>
      <c r="F67" s="219"/>
      <c r="G67" s="219"/>
      <c r="H67" s="219"/>
      <c r="I67" s="220"/>
      <c r="J67" s="12"/>
      <c r="K67" s="12"/>
      <c r="L67" s="13"/>
      <c r="M67" s="2"/>
      <c r="N67" s="2"/>
    </row>
    <row r="68" spans="1:14" ht="15.75">
      <c r="A68" s="221"/>
      <c r="B68" s="318"/>
      <c r="C68" s="318"/>
      <c r="D68" s="39">
        <v>0</v>
      </c>
      <c r="E68" s="39" t="e">
        <f>VLOOKUP(D68,Configuracion!$A$4:$C$591,2,FALSE)</f>
        <v>#N/A</v>
      </c>
      <c r="F68" s="219"/>
      <c r="G68" s="219"/>
      <c r="H68" s="219"/>
      <c r="I68" s="220"/>
      <c r="J68" s="12"/>
      <c r="K68" s="12"/>
      <c r="L68" s="13"/>
      <c r="M68" s="2"/>
      <c r="N68" s="2"/>
    </row>
    <row r="69" spans="1:14" ht="15.75">
      <c r="A69" s="221"/>
      <c r="B69" s="318"/>
      <c r="C69" s="318"/>
      <c r="D69" s="39">
        <v>0</v>
      </c>
      <c r="E69" s="39" t="e">
        <f>VLOOKUP(D69,Configuracion!$A$4:$C$591,2,FALSE)</f>
        <v>#N/A</v>
      </c>
      <c r="F69" s="219"/>
      <c r="G69" s="219"/>
      <c r="H69" s="219"/>
      <c r="I69" s="220"/>
      <c r="J69" s="12"/>
      <c r="K69" s="12"/>
      <c r="L69" s="13"/>
      <c r="M69" s="2"/>
      <c r="N69" s="2"/>
    </row>
    <row r="70" spans="1:14" ht="16.5" thickBot="1">
      <c r="A70" s="343" t="s">
        <v>4</v>
      </c>
      <c r="B70" s="344"/>
      <c r="C70" s="344"/>
      <c r="D70" s="344"/>
      <c r="E70" s="345"/>
      <c r="F70" s="74">
        <f>SUM(F29:F69)</f>
        <v>2478314.13</v>
      </c>
      <c r="G70" s="74">
        <f>SUM(G29:G69)</f>
        <v>11861105.23</v>
      </c>
      <c r="H70" s="74">
        <f>SUM(H29:H69)</f>
        <v>1756806.8</v>
      </c>
      <c r="I70" s="74">
        <f>SUM(I29:I69)</f>
        <v>1129629.04</v>
      </c>
      <c r="J70" s="12"/>
      <c r="K70" s="12"/>
      <c r="L70" s="13"/>
      <c r="M70" s="2"/>
      <c r="N70" s="2"/>
    </row>
    <row r="71" spans="1:14">
      <c r="A71" s="32"/>
      <c r="B71" s="32"/>
      <c r="D71" s="41"/>
      <c r="E71" s="33"/>
      <c r="F71" s="51"/>
      <c r="G71" s="5"/>
      <c r="H71" s="5"/>
      <c r="I71" s="5"/>
      <c r="J71" s="14"/>
      <c r="K71" s="15"/>
      <c r="L71" s="11"/>
    </row>
    <row r="72" spans="1:14">
      <c r="A72" s="32"/>
      <c r="B72" s="32"/>
      <c r="D72" s="41"/>
      <c r="E72" s="33"/>
      <c r="F72" s="51"/>
      <c r="G72" s="5"/>
      <c r="H72" s="5"/>
      <c r="I72" s="5"/>
      <c r="J72" s="14"/>
      <c r="K72" s="15"/>
      <c r="L72" s="11"/>
    </row>
    <row r="73" spans="1:14" ht="15.75" thickBot="1">
      <c r="J73" s="14"/>
      <c r="K73" s="15"/>
      <c r="L73" s="11"/>
    </row>
    <row r="74" spans="1:14" ht="16.5" thickBot="1">
      <c r="A74" s="340" t="s">
        <v>0</v>
      </c>
      <c r="B74" s="341"/>
      <c r="C74" s="341"/>
      <c r="D74" s="341"/>
      <c r="E74" s="341"/>
      <c r="F74" s="341"/>
      <c r="G74" s="341"/>
      <c r="H74" s="341"/>
      <c r="I74" s="342"/>
      <c r="J74" s="14"/>
      <c r="K74" s="15"/>
      <c r="L74" s="11"/>
    </row>
    <row r="75" spans="1:14" ht="16.5" thickBot="1">
      <c r="A75" s="62"/>
      <c r="B75" s="12"/>
      <c r="C75" s="12"/>
      <c r="D75" s="96"/>
      <c r="E75" s="12"/>
      <c r="F75" s="12"/>
      <c r="G75" s="12"/>
      <c r="H75" s="12"/>
      <c r="I75" s="12"/>
      <c r="J75" s="14"/>
      <c r="K75" s="15"/>
      <c r="L75" s="11"/>
    </row>
    <row r="76" spans="1:14" ht="16.5" thickBot="1">
      <c r="A76" s="322" t="s">
        <v>26</v>
      </c>
      <c r="B76" s="323"/>
      <c r="C76" s="324"/>
      <c r="D76" s="96"/>
      <c r="E76" s="12"/>
      <c r="F76" s="12"/>
      <c r="G76" s="12"/>
      <c r="H76" s="12"/>
      <c r="I76" s="12"/>
      <c r="J76" s="14"/>
      <c r="K76" s="15"/>
      <c r="L76" s="11"/>
    </row>
    <row r="77" spans="1:14" ht="15.75" thickBot="1">
      <c r="A77" s="63" t="s">
        <v>1</v>
      </c>
      <c r="B77" s="24" t="s">
        <v>17</v>
      </c>
      <c r="C77" s="24" t="s">
        <v>18</v>
      </c>
      <c r="D77" s="42" t="s">
        <v>7</v>
      </c>
      <c r="E77" s="24" t="s">
        <v>19</v>
      </c>
      <c r="F77" s="24" t="s">
        <v>8</v>
      </c>
      <c r="G77" s="24" t="s">
        <v>3</v>
      </c>
      <c r="H77" s="24" t="s">
        <v>31</v>
      </c>
      <c r="I77" s="24" t="s">
        <v>4</v>
      </c>
      <c r="J77" s="14"/>
      <c r="K77" s="15"/>
      <c r="L77" s="11"/>
    </row>
    <row r="78" spans="1:14">
      <c r="A78" s="200">
        <v>45484</v>
      </c>
      <c r="B78" s="21">
        <v>3</v>
      </c>
      <c r="C78" s="202">
        <v>8</v>
      </c>
      <c r="D78" s="204">
        <v>30683032227</v>
      </c>
      <c r="E78" s="39" t="str">
        <f>VLOOKUP(D78,Configuracion!$A$4:$C$591,2,FALSE)</f>
        <v>OS UNION PERSONAL</v>
      </c>
      <c r="F78" s="199">
        <v>2790291.86</v>
      </c>
      <c r="G78" s="19">
        <f>F78*0.21</f>
        <v>585961.29059999995</v>
      </c>
      <c r="H78" s="75"/>
      <c r="I78" s="54">
        <f>SUM(F78:H78)</f>
        <v>3376253.1505999998</v>
      </c>
      <c r="J78" s="14"/>
      <c r="K78" s="15"/>
      <c r="L78" s="11"/>
    </row>
    <row r="79" spans="1:14">
      <c r="A79" s="200">
        <v>45484</v>
      </c>
      <c r="B79" s="21">
        <v>3</v>
      </c>
      <c r="C79" s="202">
        <v>9</v>
      </c>
      <c r="D79" s="204">
        <v>30522428163</v>
      </c>
      <c r="E79" s="39" t="str">
        <f>VLOOKUP(D79,Configuracion!$A$4:$C$591,2,FALSE)</f>
        <v>GALENO ARGENTINA SA</v>
      </c>
      <c r="F79" s="199">
        <v>1221309.33</v>
      </c>
      <c r="G79" s="19">
        <f>F79*0.21</f>
        <v>256474.95930000002</v>
      </c>
      <c r="H79" s="75"/>
      <c r="I79" s="54">
        <f>SUM(F79:H79)</f>
        <v>1477784.2893000001</v>
      </c>
      <c r="J79" s="14"/>
      <c r="K79" s="15"/>
      <c r="L79" s="11"/>
    </row>
    <row r="80" spans="1:14">
      <c r="A80" s="200">
        <v>45484</v>
      </c>
      <c r="B80" s="21">
        <v>3</v>
      </c>
      <c r="C80" s="202">
        <v>10</v>
      </c>
      <c r="D80" s="204">
        <v>30522428163</v>
      </c>
      <c r="E80" s="39" t="str">
        <f>VLOOKUP(D80,Configuracion!$A$4:$C$591,2,FALSE)</f>
        <v>GALENO ARGENTINA SA</v>
      </c>
      <c r="F80" s="199">
        <v>1135289</v>
      </c>
      <c r="G80" s="19">
        <f>F80*0.21</f>
        <v>238410.69</v>
      </c>
      <c r="H80" s="75"/>
      <c r="I80" s="54">
        <f>SUM(F80:H80)</f>
        <v>1373699.69</v>
      </c>
      <c r="J80" s="14"/>
      <c r="K80" s="15"/>
      <c r="L80" s="11"/>
    </row>
    <row r="81" spans="1:12">
      <c r="A81" s="200">
        <v>45485</v>
      </c>
      <c r="B81" s="21">
        <v>3</v>
      </c>
      <c r="C81" s="202">
        <v>11</v>
      </c>
      <c r="D81" s="204">
        <v>30522428163</v>
      </c>
      <c r="E81" s="39" t="str">
        <f>VLOOKUP(D81,Configuracion!$A$4:$C$591,2,FALSE)</f>
        <v>GALENO ARGENTINA SA</v>
      </c>
      <c r="F81" s="199">
        <v>6642975.2000000002</v>
      </c>
      <c r="G81" s="19">
        <f t="shared" ref="G81" si="3">F81*0.21</f>
        <v>1395024.7919999999</v>
      </c>
      <c r="H81" s="75"/>
      <c r="I81" s="54">
        <f t="shared" ref="I81" si="4">SUM(F81:H81)</f>
        <v>8037999.9920000006</v>
      </c>
      <c r="J81" s="14"/>
      <c r="K81" s="15"/>
      <c r="L81" s="11"/>
    </row>
    <row r="82" spans="1:12">
      <c r="A82" s="262">
        <v>45497</v>
      </c>
      <c r="B82" s="263">
        <v>3</v>
      </c>
      <c r="C82" s="264">
        <v>21</v>
      </c>
      <c r="D82" s="265">
        <v>30522428163</v>
      </c>
      <c r="E82" s="266" t="str">
        <f>VLOOKUP(D82,Configuracion!$A$4:$C$591,2,FALSE)</f>
        <v>GALENO ARGENTINA SA</v>
      </c>
      <c r="F82" s="267">
        <v>-6642975.2000000002</v>
      </c>
      <c r="G82" s="267">
        <f t="shared" ref="G82" si="5">F82*0.21</f>
        <v>-1395024.7919999999</v>
      </c>
      <c r="H82" s="268"/>
      <c r="I82" s="269">
        <f t="shared" ref="I82" si="6">SUM(F82:H82)</f>
        <v>-8037999.9920000006</v>
      </c>
      <c r="J82" s="14"/>
      <c r="K82" s="15"/>
      <c r="L82" s="11"/>
    </row>
    <row r="83" spans="1:12" ht="15.75" thickBot="1">
      <c r="A83" s="200">
        <v>45485</v>
      </c>
      <c r="B83" s="21">
        <v>3</v>
      </c>
      <c r="C83" s="202">
        <v>13</v>
      </c>
      <c r="D83" s="204">
        <v>30522428163</v>
      </c>
      <c r="E83" s="39" t="str">
        <f>VLOOKUP(D83,Configuracion!$A$4:$C$591,2,FALSE)</f>
        <v>GALENO ARGENTINA SA</v>
      </c>
      <c r="F83" s="199">
        <v>6642975.2000000002</v>
      </c>
      <c r="G83" s="19">
        <f t="shared" ref="G83:G95" si="7">F83*0.21</f>
        <v>1395024.7919999999</v>
      </c>
      <c r="H83" s="75"/>
      <c r="I83" s="54">
        <f t="shared" ref="I83:I94" si="8">SUM(F83:H83)</f>
        <v>8037999.9920000006</v>
      </c>
      <c r="J83" s="14"/>
      <c r="K83" s="15"/>
      <c r="L83" s="11"/>
    </row>
    <row r="84" spans="1:12" ht="15.75" thickBot="1">
      <c r="A84" s="64">
        <v>45497</v>
      </c>
      <c r="B84" s="27">
        <v>3</v>
      </c>
      <c r="C84" s="16">
        <v>12</v>
      </c>
      <c r="D84" s="204">
        <v>30522428163</v>
      </c>
      <c r="E84" s="39" t="str">
        <f>VLOOKUP(D84,Configuracion!$A$4:$C$591,2,FALSE)</f>
        <v>GALENO ARGENTINA SA</v>
      </c>
      <c r="F84" s="199">
        <v>1477685.95</v>
      </c>
      <c r="G84" s="19">
        <f t="shared" si="7"/>
        <v>310314.04949999996</v>
      </c>
      <c r="H84" s="75"/>
      <c r="I84" s="54">
        <f t="shared" si="8"/>
        <v>1787999.9994999999</v>
      </c>
      <c r="J84" s="14"/>
      <c r="K84" s="15"/>
      <c r="L84" s="11"/>
    </row>
    <row r="85" spans="1:12" ht="15.75" thickBot="1">
      <c r="A85" s="64">
        <v>45497</v>
      </c>
      <c r="B85" s="27">
        <v>3</v>
      </c>
      <c r="C85" s="16">
        <v>14</v>
      </c>
      <c r="D85" s="204">
        <v>30683032227</v>
      </c>
      <c r="E85" s="39" t="str">
        <f>VLOOKUP(D85,Configuracion!$A$4:$C$591,2,FALSE)</f>
        <v>OS UNION PERSONAL</v>
      </c>
      <c r="F85" s="199">
        <v>1670247.93</v>
      </c>
      <c r="G85" s="19">
        <f t="shared" si="7"/>
        <v>350752.06529999996</v>
      </c>
      <c r="H85" s="75"/>
      <c r="I85" s="54">
        <f t="shared" si="8"/>
        <v>2020999.9952999998</v>
      </c>
      <c r="J85" s="14"/>
      <c r="K85" s="15"/>
      <c r="L85" s="11"/>
    </row>
    <row r="86" spans="1:12" ht="15.75" thickBot="1">
      <c r="A86" s="64">
        <v>45503</v>
      </c>
      <c r="B86" s="27">
        <v>3</v>
      </c>
      <c r="C86" s="16">
        <v>15</v>
      </c>
      <c r="D86" s="204">
        <v>30683032227</v>
      </c>
      <c r="E86" s="39" t="str">
        <f>VLOOKUP(D86,Configuracion!$A$4:$C$591,2,FALSE)</f>
        <v>OS UNION PERSONAL</v>
      </c>
      <c r="F86" s="199">
        <v>1453471.07</v>
      </c>
      <c r="G86" s="19">
        <f t="shared" si="7"/>
        <v>305228.92469999997</v>
      </c>
      <c r="H86" s="75"/>
      <c r="I86" s="54">
        <f t="shared" si="8"/>
        <v>1758699.9947000002</v>
      </c>
      <c r="J86" s="14"/>
      <c r="K86" s="15"/>
      <c r="L86" s="11"/>
    </row>
    <row r="87" spans="1:12" ht="15.75" thickBot="1">
      <c r="A87" s="64"/>
      <c r="B87" s="27"/>
      <c r="C87" s="16"/>
      <c r="D87" s="39"/>
      <c r="E87" s="39" t="e">
        <f>VLOOKUP(D87,Configuracion!$A$4:$C$591,2,FALSE)</f>
        <v>#N/A</v>
      </c>
      <c r="F87" s="199"/>
      <c r="G87" s="19">
        <f t="shared" si="7"/>
        <v>0</v>
      </c>
      <c r="H87" s="75"/>
      <c r="I87" s="54">
        <f t="shared" si="8"/>
        <v>0</v>
      </c>
      <c r="J87" s="14"/>
      <c r="K87" s="15"/>
      <c r="L87" s="11"/>
    </row>
    <row r="88" spans="1:12" ht="15.75" thickBot="1">
      <c r="A88" s="64"/>
      <c r="B88" s="27"/>
      <c r="C88" s="16"/>
      <c r="D88" s="39"/>
      <c r="E88" s="39" t="e">
        <f>VLOOKUP(D88,Configuracion!$A$4:$C$591,2,FALSE)</f>
        <v>#N/A</v>
      </c>
      <c r="F88" s="199"/>
      <c r="G88" s="19">
        <f t="shared" si="7"/>
        <v>0</v>
      </c>
      <c r="H88" s="75"/>
      <c r="I88" s="54">
        <f t="shared" si="8"/>
        <v>0</v>
      </c>
      <c r="J88" s="14"/>
      <c r="K88" s="15"/>
      <c r="L88" s="11"/>
    </row>
    <row r="89" spans="1:12" ht="15.75" thickBot="1">
      <c r="A89" s="64"/>
      <c r="B89" s="27"/>
      <c r="C89" s="16"/>
      <c r="D89" s="39"/>
      <c r="E89" s="39" t="e">
        <f>VLOOKUP(D89,Configuracion!$A$4:$C$591,2,FALSE)</f>
        <v>#N/A</v>
      </c>
      <c r="F89" s="199"/>
      <c r="G89" s="19">
        <f t="shared" si="7"/>
        <v>0</v>
      </c>
      <c r="H89" s="75"/>
      <c r="I89" s="54">
        <f t="shared" si="8"/>
        <v>0</v>
      </c>
      <c r="J89" s="14"/>
      <c r="K89" s="15"/>
      <c r="L89" s="11"/>
    </row>
    <row r="90" spans="1:12" ht="15.75" thickBot="1">
      <c r="A90" s="64"/>
      <c r="B90" s="27"/>
      <c r="C90" s="16"/>
      <c r="D90" s="39"/>
      <c r="E90" s="39" t="e">
        <f>VLOOKUP(D90,Configuracion!$A$4:$C$591,2,FALSE)</f>
        <v>#N/A</v>
      </c>
      <c r="F90" s="199"/>
      <c r="G90" s="19">
        <f t="shared" si="7"/>
        <v>0</v>
      </c>
      <c r="H90" s="75"/>
      <c r="I90" s="54">
        <f t="shared" si="8"/>
        <v>0</v>
      </c>
      <c r="J90" s="14"/>
      <c r="K90" s="15"/>
      <c r="L90" s="11"/>
    </row>
    <row r="91" spans="1:12" ht="15.75" thickBot="1">
      <c r="A91" s="64"/>
      <c r="B91" s="27"/>
      <c r="C91" s="16"/>
      <c r="D91" s="39"/>
      <c r="E91" s="39" t="e">
        <f>VLOOKUP(D91,Configuracion!$A$4:$C$591,2,FALSE)</f>
        <v>#N/A</v>
      </c>
      <c r="F91" s="199"/>
      <c r="G91" s="19">
        <f t="shared" si="7"/>
        <v>0</v>
      </c>
      <c r="H91" s="75"/>
      <c r="I91" s="54">
        <f t="shared" si="8"/>
        <v>0</v>
      </c>
      <c r="J91" s="14"/>
      <c r="K91" s="15"/>
      <c r="L91" s="11"/>
    </row>
    <row r="92" spans="1:12" ht="15.75" thickBot="1">
      <c r="A92" s="64"/>
      <c r="B92" s="27"/>
      <c r="C92" s="16"/>
      <c r="D92" s="39"/>
      <c r="E92" s="39" t="e">
        <f>VLOOKUP(D92,Configuracion!$A$4:$C$591,2,FALSE)</f>
        <v>#N/A</v>
      </c>
      <c r="F92" s="199"/>
      <c r="G92" s="19">
        <f t="shared" si="7"/>
        <v>0</v>
      </c>
      <c r="H92" s="75"/>
      <c r="I92" s="54">
        <f t="shared" si="8"/>
        <v>0</v>
      </c>
      <c r="J92" s="14"/>
      <c r="K92" s="15"/>
      <c r="L92" s="11"/>
    </row>
    <row r="93" spans="1:12" ht="15.75" thickBot="1">
      <c r="A93" s="64"/>
      <c r="B93" s="27"/>
      <c r="C93" s="16"/>
      <c r="D93" s="39"/>
      <c r="E93" s="39" t="e">
        <f>VLOOKUP(D93,Configuracion!$A$4:$C$591,2,FALSE)</f>
        <v>#N/A</v>
      </c>
      <c r="F93" s="199"/>
      <c r="G93" s="19">
        <f t="shared" si="7"/>
        <v>0</v>
      </c>
      <c r="H93" s="75"/>
      <c r="I93" s="54">
        <f t="shared" si="8"/>
        <v>0</v>
      </c>
      <c r="J93" s="14"/>
      <c r="K93" s="15"/>
      <c r="L93" s="11"/>
    </row>
    <row r="94" spans="1:12" ht="15.75" thickBot="1">
      <c r="A94" s="64"/>
      <c r="B94" s="27"/>
      <c r="C94" s="16"/>
      <c r="D94" s="39"/>
      <c r="E94" s="39" t="e">
        <f>VLOOKUP(D94,Configuracion!$A$4:$C$591,2,FALSE)</f>
        <v>#N/A</v>
      </c>
      <c r="F94" s="199"/>
      <c r="G94" s="19">
        <f t="shared" si="7"/>
        <v>0</v>
      </c>
      <c r="H94" s="75"/>
      <c r="I94" s="54">
        <f t="shared" si="8"/>
        <v>0</v>
      </c>
      <c r="J94" s="14"/>
      <c r="K94" s="15"/>
      <c r="L94" s="11"/>
    </row>
    <row r="95" spans="1:12" ht="15.75" thickBot="1">
      <c r="A95" s="64"/>
      <c r="B95" s="27"/>
      <c r="C95" s="16"/>
      <c r="D95" s="39"/>
      <c r="E95" s="39" t="e">
        <f>VLOOKUP(D95,Configuracion!$A$4:$C$591,2,FALSE)</f>
        <v>#N/A</v>
      </c>
      <c r="F95" s="199"/>
      <c r="G95" s="19">
        <f t="shared" si="7"/>
        <v>0</v>
      </c>
      <c r="H95" s="75"/>
      <c r="I95" s="54">
        <f>SUM(F95:H95)</f>
        <v>0</v>
      </c>
      <c r="J95" s="14"/>
      <c r="K95" s="15"/>
      <c r="L95" s="11"/>
    </row>
    <row r="96" spans="1:12" ht="15.75" thickBot="1">
      <c r="A96" s="331" t="s">
        <v>4</v>
      </c>
      <c r="B96" s="332"/>
      <c r="C96" s="338"/>
      <c r="D96" s="338"/>
      <c r="E96" s="339"/>
      <c r="F96" s="52">
        <f>SUM(F78:F95)</f>
        <v>16391270.34</v>
      </c>
      <c r="G96" s="52">
        <f>SUM(G78:G95)</f>
        <v>3442166.7713999995</v>
      </c>
      <c r="H96" s="52"/>
      <c r="I96" s="52">
        <f>SUM(I78:I95)</f>
        <v>19833437.111399997</v>
      </c>
    </row>
    <row r="97" spans="1:9">
      <c r="A97" s="66"/>
      <c r="B97" s="6"/>
      <c r="C97" s="17"/>
      <c r="D97" s="44"/>
      <c r="E97" s="17"/>
      <c r="F97" s="53"/>
      <c r="G97" s="53"/>
      <c r="H97" s="53"/>
      <c r="I97" s="11"/>
    </row>
    <row r="98" spans="1:9" ht="15.75" thickBot="1"/>
    <row r="99" spans="1:9" ht="16.5" thickBot="1">
      <c r="A99" s="322" t="s">
        <v>27</v>
      </c>
      <c r="B99" s="323"/>
      <c r="C99" s="324"/>
      <c r="D99" s="96"/>
      <c r="E99" s="12"/>
      <c r="F99" s="12"/>
      <c r="G99" s="12"/>
      <c r="H99" s="12"/>
    </row>
    <row r="100" spans="1:9" ht="15.75" thickBot="1">
      <c r="A100" s="63" t="s">
        <v>1</v>
      </c>
      <c r="B100" s="24" t="s">
        <v>17</v>
      </c>
      <c r="C100" s="24" t="s">
        <v>18</v>
      </c>
      <c r="D100" s="42" t="s">
        <v>7</v>
      </c>
      <c r="E100" s="24" t="s">
        <v>19</v>
      </c>
      <c r="F100" s="24" t="s">
        <v>8</v>
      </c>
      <c r="G100" s="24" t="s">
        <v>3</v>
      </c>
      <c r="H100" s="24" t="s">
        <v>4</v>
      </c>
    </row>
    <row r="101" spans="1:9">
      <c r="A101" s="64"/>
      <c r="B101" s="20"/>
      <c r="C101" s="16"/>
      <c r="D101" s="39"/>
      <c r="E101" s="39" t="e">
        <f>VLOOKUP(D101,Configuracion!$A$4:$C$591,2,FALSE)</f>
        <v>#N/A</v>
      </c>
      <c r="F101" s="19">
        <f>H101/1.21</f>
        <v>0</v>
      </c>
      <c r="G101" s="19">
        <f>F101*0.21</f>
        <v>0</v>
      </c>
      <c r="H101" s="201"/>
    </row>
    <row r="102" spans="1:9">
      <c r="A102" s="64"/>
      <c r="B102" s="20"/>
      <c r="C102" s="16"/>
      <c r="D102" s="39"/>
      <c r="E102" s="39" t="e">
        <f>VLOOKUP(D102,Configuracion!$A$4:$C$591,2,FALSE)</f>
        <v>#N/A</v>
      </c>
      <c r="F102" s="19">
        <f>H102/1.21</f>
        <v>0</v>
      </c>
      <c r="G102" s="19">
        <f>F102*0.21</f>
        <v>0</v>
      </c>
      <c r="H102" s="201"/>
    </row>
    <row r="103" spans="1:9">
      <c r="A103" s="64"/>
      <c r="B103" s="20"/>
      <c r="C103" s="16"/>
      <c r="D103" s="39"/>
      <c r="E103" s="39" t="e">
        <f>VLOOKUP(D103,Configuracion!$A$4:$C$591,2,FALSE)</f>
        <v>#N/A</v>
      </c>
      <c r="F103" s="19">
        <f>H103/1.21</f>
        <v>0</v>
      </c>
      <c r="G103" s="19">
        <f>F103*0.21</f>
        <v>0</v>
      </c>
      <c r="H103" s="201"/>
    </row>
    <row r="104" spans="1:9">
      <c r="A104" s="64"/>
      <c r="B104" s="20"/>
      <c r="C104" s="16"/>
      <c r="D104" s="39"/>
      <c r="E104" s="39" t="e">
        <f>VLOOKUP(D104,Configuracion!$A$4:$C$591,2,FALSE)</f>
        <v>#N/A</v>
      </c>
      <c r="F104" s="19">
        <f>H104/1.21</f>
        <v>0</v>
      </c>
      <c r="G104" s="19">
        <f>F104*0.21</f>
        <v>0</v>
      </c>
      <c r="H104" s="201"/>
    </row>
    <row r="105" spans="1:9" ht="15.75" thickBot="1">
      <c r="A105" s="65"/>
      <c r="B105" s="28"/>
      <c r="C105" s="29"/>
      <c r="D105" s="43"/>
      <c r="E105" s="39" t="e">
        <f>VLOOKUP(D105,Configuracion!$A$4:$C$591,2,FALSE)</f>
        <v>#N/A</v>
      </c>
      <c r="F105" s="19">
        <f>H105/1.21</f>
        <v>0</v>
      </c>
      <c r="G105" s="19">
        <f>F105*0.21</f>
        <v>0</v>
      </c>
      <c r="H105" s="201"/>
    </row>
    <row r="106" spans="1:9" ht="15.75" thickBot="1">
      <c r="A106" s="331" t="s">
        <v>4</v>
      </c>
      <c r="B106" s="332"/>
      <c r="C106" s="338"/>
      <c r="D106" s="338"/>
      <c r="E106" s="339"/>
      <c r="F106" s="52">
        <f>SUM(F101:F105)</f>
        <v>0</v>
      </c>
      <c r="G106" s="52">
        <f>SUM(G101:G105)</f>
        <v>0</v>
      </c>
      <c r="H106" s="52">
        <f>SUM(H101:H105)</f>
        <v>0</v>
      </c>
    </row>
    <row r="113" spans="1:6" ht="15.75">
      <c r="A113" s="337" t="s">
        <v>222</v>
      </c>
      <c r="B113" s="337"/>
      <c r="C113" s="337"/>
      <c r="D113" s="337"/>
      <c r="E113" s="337"/>
    </row>
    <row r="114" spans="1:6">
      <c r="A114" s="212"/>
      <c r="B114" s="213" t="s">
        <v>219</v>
      </c>
      <c r="C114" s="213" t="s">
        <v>3</v>
      </c>
      <c r="D114" s="213" t="s">
        <v>220</v>
      </c>
      <c r="E114" s="213" t="s">
        <v>221</v>
      </c>
      <c r="F114" s="233"/>
    </row>
    <row r="115" spans="1:6">
      <c r="A115" s="225" t="s">
        <v>333</v>
      </c>
      <c r="B115" s="270">
        <v>12921792.620000001</v>
      </c>
      <c r="C115" s="270">
        <v>2713576.46</v>
      </c>
      <c r="D115" s="270">
        <v>0</v>
      </c>
      <c r="E115" s="270">
        <v>15635369.08</v>
      </c>
    </row>
    <row r="116" spans="1:6">
      <c r="A116" s="225" t="s">
        <v>402</v>
      </c>
      <c r="B116" s="270">
        <v>-1892628.56</v>
      </c>
      <c r="C116" s="270">
        <v>-397451.99</v>
      </c>
      <c r="D116" s="270">
        <v>0</v>
      </c>
      <c r="E116" s="270">
        <v>-2290080.5500000003</v>
      </c>
      <c r="F116" s="244"/>
    </row>
    <row r="117" spans="1:6">
      <c r="A117" s="225" t="s">
        <v>20</v>
      </c>
      <c r="B117" s="270">
        <v>10453141.819999997</v>
      </c>
      <c r="C117" s="270">
        <v>2195159.7799999998</v>
      </c>
      <c r="D117" s="270">
        <v>0</v>
      </c>
      <c r="E117" s="270">
        <v>12648301.6</v>
      </c>
      <c r="F117" s="6"/>
    </row>
    <row r="118" spans="1:6">
      <c r="A118" s="225" t="s">
        <v>316</v>
      </c>
      <c r="B118" s="270">
        <v>-2974245.7700000009</v>
      </c>
      <c r="C118" s="270">
        <v>-624591.62</v>
      </c>
      <c r="D118" s="270">
        <v>0</v>
      </c>
      <c r="E118" s="270">
        <v>-3598837.39</v>
      </c>
      <c r="F118" s="6"/>
    </row>
    <row r="119" spans="1:6">
      <c r="A119" s="226" t="s">
        <v>256</v>
      </c>
      <c r="B119" s="270">
        <v>36050395.580000103</v>
      </c>
      <c r="C119" s="270">
        <v>7570583.3100000294</v>
      </c>
      <c r="D119" s="270">
        <v>0</v>
      </c>
      <c r="E119" s="270">
        <v>43620978.890000001</v>
      </c>
      <c r="F119" s="6"/>
    </row>
    <row r="120" spans="1:6">
      <c r="A120" s="226" t="s">
        <v>315</v>
      </c>
      <c r="B120" s="270">
        <v>-101652.9</v>
      </c>
      <c r="C120" s="270">
        <v>-21347.1</v>
      </c>
      <c r="D120" s="270">
        <v>0</v>
      </c>
      <c r="E120" s="270">
        <v>-123000</v>
      </c>
      <c r="F120" s="6"/>
    </row>
    <row r="121" spans="1:6">
      <c r="A121" s="215"/>
      <c r="B121" s="251">
        <f>SUM(B115:B120)</f>
        <v>54456802.790000103</v>
      </c>
      <c r="C121" s="251">
        <f>SUM(C115:C120)</f>
        <v>11435928.84000003</v>
      </c>
      <c r="D121" s="251">
        <v>0</v>
      </c>
      <c r="E121" s="251">
        <f>SUM(E115:E120)</f>
        <v>65892731.629999995</v>
      </c>
      <c r="F121" s="245"/>
    </row>
    <row r="122" spans="1:6">
      <c r="A122" s="216"/>
      <c r="B122" s="217"/>
      <c r="C122" s="217"/>
      <c r="D122" s="217"/>
      <c r="E122" s="217"/>
    </row>
  </sheetData>
  <sortState ref="A8:P90">
    <sortCondition ref="E8:E90"/>
  </sortState>
  <mergeCells count="58">
    <mergeCell ref="B55:C55"/>
    <mergeCell ref="B36:C36"/>
    <mergeCell ref="B42:C42"/>
    <mergeCell ref="A113:E113"/>
    <mergeCell ref="A96:E96"/>
    <mergeCell ref="A74:I74"/>
    <mergeCell ref="A70:E70"/>
    <mergeCell ref="A76:C76"/>
    <mergeCell ref="A99:C99"/>
    <mergeCell ref="A106:E106"/>
    <mergeCell ref="B69:C69"/>
    <mergeCell ref="B43:C43"/>
    <mergeCell ref="B40:C40"/>
    <mergeCell ref="B41:C41"/>
    <mergeCell ref="B44:C44"/>
    <mergeCell ref="B68:C68"/>
    <mergeCell ref="A1:I1"/>
    <mergeCell ref="J1:N1"/>
    <mergeCell ref="A6:C6"/>
    <mergeCell ref="A15:C15"/>
    <mergeCell ref="A27:C27"/>
    <mergeCell ref="A4:N4"/>
    <mergeCell ref="A25:E25"/>
    <mergeCell ref="A12:E12"/>
    <mergeCell ref="G13:I13"/>
    <mergeCell ref="B47:C47"/>
    <mergeCell ref="B48:C48"/>
    <mergeCell ref="B28:C28"/>
    <mergeCell ref="B29:C29"/>
    <mergeCell ref="B30:C30"/>
    <mergeCell ref="B49:C49"/>
    <mergeCell ref="B45:C45"/>
    <mergeCell ref="B54:C54"/>
    <mergeCell ref="B31:C31"/>
    <mergeCell ref="B32:C32"/>
    <mergeCell ref="B33:C33"/>
    <mergeCell ref="B39:C39"/>
    <mergeCell ref="B37:C37"/>
    <mergeCell ref="B38:C38"/>
    <mergeCell ref="B34:C34"/>
    <mergeCell ref="B35:C35"/>
    <mergeCell ref="B50:C50"/>
    <mergeCell ref="B51:C51"/>
    <mergeCell ref="B52:C52"/>
    <mergeCell ref="B53:C53"/>
    <mergeCell ref="B46:C46"/>
    <mergeCell ref="B56:C56"/>
    <mergeCell ref="B57:C57"/>
    <mergeCell ref="B58:C58"/>
    <mergeCell ref="B59:C59"/>
    <mergeCell ref="B60:C60"/>
    <mergeCell ref="B66:C66"/>
    <mergeCell ref="B67:C67"/>
    <mergeCell ref="B61:C61"/>
    <mergeCell ref="B62:C62"/>
    <mergeCell ref="B63:C63"/>
    <mergeCell ref="B64:C64"/>
    <mergeCell ref="B65:C65"/>
  </mergeCells>
  <pageMargins left="0.19685039370078741" right="0" top="0.35433070866141736" bottom="0.35433070866141736" header="0" footer="0"/>
  <pageSetup paperSize="9" scale="31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"/>
  <sheetViews>
    <sheetView zoomScale="90" zoomScaleNormal="90" workbookViewId="0">
      <selection activeCell="I21" sqref="I21"/>
    </sheetView>
  </sheetViews>
  <sheetFormatPr baseColWidth="10" defaultRowHeight="15"/>
  <cols>
    <col min="1" max="1" width="27.140625" bestFit="1" customWidth="1"/>
    <col min="2" max="2" width="24.85546875" bestFit="1" customWidth="1"/>
    <col min="3" max="3" width="20.7109375" customWidth="1"/>
    <col min="4" max="4" width="18.85546875" customWidth="1"/>
    <col min="5" max="5" width="22.85546875" bestFit="1" customWidth="1"/>
    <col min="7" max="7" width="16.5703125" customWidth="1"/>
    <col min="10" max="10" width="11.5703125" bestFit="1" customWidth="1"/>
  </cols>
  <sheetData>
    <row r="1" spans="1:8" ht="18.75" thickBot="1">
      <c r="A1" s="102"/>
      <c r="B1" s="346" t="s">
        <v>90</v>
      </c>
      <c r="C1" s="347"/>
      <c r="D1" s="348"/>
      <c r="E1" s="103"/>
    </row>
    <row r="2" spans="1:8" ht="18.75" thickBot="1">
      <c r="A2" s="104" t="s">
        <v>91</v>
      </c>
      <c r="B2" s="103"/>
      <c r="C2" s="102"/>
      <c r="D2" s="223">
        <v>45474</v>
      </c>
      <c r="E2" s="105"/>
    </row>
    <row r="3" spans="1:8" ht="18.75" thickBot="1">
      <c r="A3" s="102"/>
      <c r="B3" s="106"/>
      <c r="C3" s="102"/>
      <c r="D3" s="102"/>
      <c r="E3" s="107"/>
    </row>
    <row r="4" spans="1:8" ht="15.75" thickBot="1">
      <c r="A4" s="108"/>
      <c r="B4" s="109" t="s">
        <v>92</v>
      </c>
      <c r="C4" s="227"/>
      <c r="D4" s="110"/>
      <c r="E4" s="111"/>
    </row>
    <row r="5" spans="1:8" ht="15.75" thickBot="1">
      <c r="A5" s="112"/>
      <c r="B5" s="113" t="s">
        <v>93</v>
      </c>
      <c r="C5" s="113" t="s">
        <v>94</v>
      </c>
      <c r="D5" s="114" t="s">
        <v>95</v>
      </c>
      <c r="E5" s="111"/>
    </row>
    <row r="6" spans="1:8">
      <c r="A6" s="115" t="s">
        <v>96</v>
      </c>
      <c r="B6" s="116">
        <f>+'Julio 2024'!F96</f>
        <v>16391270.34</v>
      </c>
      <c r="C6" s="117">
        <f>(B6*0.21)</f>
        <v>3442166.7714</v>
      </c>
      <c r="D6" s="117">
        <f>(B6+C6)</f>
        <v>19833437.111400001</v>
      </c>
      <c r="E6" s="218"/>
    </row>
    <row r="7" spans="1:8">
      <c r="A7" s="115" t="s">
        <v>97</v>
      </c>
      <c r="B7" s="116">
        <f>+'Julio 2024'!F106</f>
        <v>0</v>
      </c>
      <c r="C7" s="117">
        <f>(B7*0.21)</f>
        <v>0</v>
      </c>
      <c r="D7" s="117">
        <f>(B7+C7)</f>
        <v>0</v>
      </c>
      <c r="E7" s="7"/>
    </row>
    <row r="8" spans="1:8">
      <c r="A8" s="115" t="s">
        <v>201</v>
      </c>
      <c r="B8" s="118">
        <f>+'Julio 2024'!B115+'Julio 2024'!B117+'Julio 2024'!B118+'Julio 2024'!B116</f>
        <v>18508060.109999999</v>
      </c>
      <c r="C8" s="117">
        <f>+B8*0.21</f>
        <v>3886692.6230999995</v>
      </c>
      <c r="D8" s="117">
        <f>(B8+C8)</f>
        <v>22394752.733099997</v>
      </c>
      <c r="E8" s="7"/>
    </row>
    <row r="9" spans="1:8">
      <c r="A9" s="115" t="s">
        <v>202</v>
      </c>
      <c r="B9" s="118">
        <f>+'Julio 2024'!B119+'Julio 2024'!B120</f>
        <v>35948742.680000104</v>
      </c>
      <c r="C9" s="117">
        <f>+B9*0.21</f>
        <v>7549235.9628000213</v>
      </c>
      <c r="D9" s="117">
        <f>(B9+C9)</f>
        <v>43497978.642800122</v>
      </c>
      <c r="E9" s="7"/>
    </row>
    <row r="10" spans="1:8" ht="15.75" thickBot="1">
      <c r="A10" s="119"/>
      <c r="B10" s="208">
        <f>SUM(B6:B9)</f>
        <v>70848073.130000114</v>
      </c>
      <c r="C10" s="208">
        <f>SUM(C6:C9)</f>
        <v>14878095.357300021</v>
      </c>
      <c r="D10" s="209">
        <f>SUM(D6:D9)</f>
        <v>85726168.487300128</v>
      </c>
      <c r="E10" s="224"/>
      <c r="G10" s="253"/>
      <c r="H10" s="169"/>
    </row>
    <row r="11" spans="1:8">
      <c r="A11" s="119"/>
      <c r="B11" s="120"/>
      <c r="C11" s="120"/>
      <c r="D11" s="120"/>
      <c r="E11" s="7"/>
    </row>
    <row r="12" spans="1:8" ht="15.75" thickBot="1">
      <c r="A12" s="119"/>
      <c r="B12" s="121"/>
      <c r="C12" s="122"/>
      <c r="D12" s="123"/>
      <c r="E12" s="7"/>
    </row>
    <row r="13" spans="1:8" ht="15.75" thickBot="1">
      <c r="A13" s="124"/>
      <c r="B13" s="125" t="s">
        <v>98</v>
      </c>
      <c r="C13" s="110"/>
      <c r="D13" s="110"/>
      <c r="E13" s="126"/>
    </row>
    <row r="14" spans="1:8" ht="15.75" thickBot="1">
      <c r="A14" s="124"/>
      <c r="B14" s="113" t="s">
        <v>93</v>
      </c>
      <c r="C14" s="113" t="s">
        <v>94</v>
      </c>
      <c r="D14" s="114" t="s">
        <v>95</v>
      </c>
      <c r="E14" s="126"/>
    </row>
    <row r="15" spans="1:8">
      <c r="A15" s="119"/>
      <c r="B15" s="117"/>
      <c r="C15" s="117"/>
      <c r="D15" s="117"/>
      <c r="E15" s="127"/>
    </row>
    <row r="16" spans="1:8">
      <c r="A16" s="260" t="s">
        <v>637</v>
      </c>
      <c r="B16" s="128">
        <v>59861424.520000026</v>
      </c>
      <c r="C16" s="248">
        <v>9105103.910000002</v>
      </c>
      <c r="D16" s="254">
        <v>85572968.059999987</v>
      </c>
      <c r="E16" s="129"/>
      <c r="G16" s="259"/>
    </row>
    <row r="17" spans="1:5">
      <c r="A17" s="260" t="s">
        <v>638</v>
      </c>
      <c r="B17" s="73">
        <v>536556.15</v>
      </c>
      <c r="C17" s="258">
        <v>114087.09</v>
      </c>
      <c r="D17" s="73">
        <v>1561385.33</v>
      </c>
      <c r="E17" s="129"/>
    </row>
    <row r="18" spans="1:5">
      <c r="A18" s="260" t="s">
        <v>640</v>
      </c>
      <c r="B18" s="73"/>
      <c r="C18" s="261">
        <v>10544.01</v>
      </c>
      <c r="D18" s="73"/>
      <c r="E18" s="129"/>
    </row>
    <row r="19" spans="1:5" ht="15.75" thickBot="1">
      <c r="A19" s="119"/>
      <c r="B19" s="255">
        <f>SUM(B15:B18)</f>
        <v>60397980.670000024</v>
      </c>
      <c r="C19" s="256">
        <f>SUM(C15:C18)</f>
        <v>9229735.0100000016</v>
      </c>
      <c r="D19" s="257">
        <f>SUM(D15:D18)</f>
        <v>87134353.389999986</v>
      </c>
      <c r="E19" s="7"/>
    </row>
    <row r="20" spans="1:5">
      <c r="A20" s="119"/>
      <c r="B20" s="130"/>
      <c r="C20" s="130"/>
      <c r="D20" s="130"/>
      <c r="E20" s="7"/>
    </row>
    <row r="21" spans="1:5" ht="15.75" thickBot="1">
      <c r="A21" s="119"/>
      <c r="C21" s="131"/>
      <c r="D21" s="131"/>
      <c r="E21" s="132"/>
    </row>
    <row r="22" spans="1:5" ht="15.75" thickBot="1">
      <c r="A22" s="125" t="s">
        <v>22</v>
      </c>
      <c r="B22" s="133" t="s">
        <v>99</v>
      </c>
      <c r="C22" s="133" t="s">
        <v>100</v>
      </c>
      <c r="D22" s="133" t="s">
        <v>101</v>
      </c>
      <c r="E22" s="133" t="s">
        <v>102</v>
      </c>
    </row>
    <row r="23" spans="1:5">
      <c r="A23" s="134" t="s">
        <v>103</v>
      </c>
      <c r="B23" s="135"/>
      <c r="C23" s="136"/>
      <c r="D23" s="137"/>
      <c r="E23" s="138"/>
    </row>
    <row r="24" spans="1:5">
      <c r="A24" s="134"/>
      <c r="B24" s="139"/>
      <c r="C24" s="72"/>
      <c r="D24" s="140"/>
      <c r="E24" s="71"/>
    </row>
    <row r="25" spans="1:5">
      <c r="A25" s="134"/>
      <c r="B25" s="139"/>
      <c r="C25" s="72"/>
      <c r="D25" s="140"/>
      <c r="E25" s="71"/>
    </row>
    <row r="26" spans="1:5">
      <c r="A26" s="134"/>
      <c r="B26" s="139"/>
      <c r="C26" s="72"/>
      <c r="D26" s="140"/>
      <c r="E26" s="71"/>
    </row>
    <row r="27" spans="1:5">
      <c r="A27" s="134"/>
      <c r="B27" s="139"/>
      <c r="C27" s="136"/>
      <c r="D27" s="137"/>
      <c r="E27" s="138"/>
    </row>
    <row r="28" spans="1:5">
      <c r="A28" s="134"/>
      <c r="B28" s="139"/>
      <c r="C28" s="136"/>
      <c r="D28" s="137"/>
      <c r="E28" s="138"/>
    </row>
    <row r="29" spans="1:5">
      <c r="A29" s="134"/>
      <c r="B29" s="139"/>
      <c r="C29" s="136"/>
      <c r="D29" s="137"/>
      <c r="E29" s="138"/>
    </row>
    <row r="30" spans="1:5">
      <c r="A30" s="134"/>
      <c r="B30" s="139"/>
      <c r="C30" s="136"/>
      <c r="D30" s="137"/>
      <c r="E30" s="138"/>
    </row>
    <row r="31" spans="1:5">
      <c r="A31" s="134"/>
      <c r="B31" s="141"/>
      <c r="C31" s="136"/>
      <c r="D31" s="137"/>
      <c r="E31" s="138"/>
    </row>
    <row r="32" spans="1:5">
      <c r="A32" s="134"/>
      <c r="B32" s="139"/>
      <c r="C32" s="136"/>
      <c r="D32" s="137"/>
      <c r="E32" s="138"/>
    </row>
    <row r="33" spans="1:6">
      <c r="A33" s="134"/>
      <c r="B33" s="141"/>
      <c r="C33" s="136"/>
      <c r="D33" s="137"/>
      <c r="E33" s="138"/>
    </row>
    <row r="34" spans="1:6">
      <c r="A34" s="134"/>
      <c r="B34" s="141"/>
      <c r="C34" s="136"/>
      <c r="D34" s="137"/>
      <c r="E34" s="138"/>
    </row>
    <row r="35" spans="1:6">
      <c r="A35" s="134"/>
      <c r="B35" s="141"/>
      <c r="C35" s="136"/>
      <c r="D35" s="137"/>
      <c r="E35" s="138"/>
    </row>
    <row r="36" spans="1:6">
      <c r="A36" s="134"/>
      <c r="B36" s="141"/>
      <c r="C36" s="136"/>
      <c r="D36" s="137"/>
      <c r="E36" s="138"/>
    </row>
    <row r="37" spans="1:6" ht="15.75" thickBot="1">
      <c r="A37" s="134"/>
      <c r="B37" s="141"/>
      <c r="C37" s="142"/>
      <c r="D37" s="143"/>
      <c r="E37" s="138"/>
      <c r="F37" t="s">
        <v>104</v>
      </c>
    </row>
    <row r="38" spans="1:6" ht="15.75" thickBot="1">
      <c r="A38" s="144"/>
      <c r="B38" s="6"/>
      <c r="C38" s="145">
        <f>+'Julio 2024'!G70</f>
        <v>11861105.23</v>
      </c>
      <c r="D38" s="6"/>
      <c r="E38" s="146"/>
    </row>
    <row r="39" spans="1:6" ht="15.75" thickBot="1">
      <c r="B39" s="7"/>
      <c r="C39" s="147"/>
      <c r="D39" s="7"/>
    </row>
    <row r="40" spans="1:6">
      <c r="A40" s="148" t="s">
        <v>105</v>
      </c>
      <c r="B40" s="149" t="s">
        <v>99</v>
      </c>
      <c r="C40" s="150" t="s">
        <v>100</v>
      </c>
      <c r="D40" s="149" t="s">
        <v>101</v>
      </c>
      <c r="E40" s="149" t="s">
        <v>102</v>
      </c>
    </row>
    <row r="41" spans="1:6">
      <c r="A41" s="151"/>
      <c r="B41" s="152"/>
      <c r="C41" s="153"/>
      <c r="D41" s="142"/>
      <c r="E41" s="138"/>
    </row>
    <row r="42" spans="1:6">
      <c r="A42" s="134"/>
      <c r="B42" s="154"/>
      <c r="C42" s="142"/>
      <c r="D42" s="142"/>
      <c r="E42" s="138"/>
    </row>
    <row r="43" spans="1:6" ht="15.75" thickBot="1">
      <c r="A43" s="155"/>
      <c r="B43" s="156"/>
      <c r="C43" s="157"/>
      <c r="D43" s="158"/>
      <c r="E43" s="159"/>
    </row>
    <row r="44" spans="1:6" ht="15.75" thickBot="1">
      <c r="A44" s="160"/>
      <c r="B44" s="121"/>
      <c r="C44" s="161">
        <f>SUM(C41:C43)</f>
        <v>0</v>
      </c>
      <c r="D44" s="6"/>
      <c r="E44" s="146"/>
    </row>
    <row r="45" spans="1:6">
      <c r="C45" s="147"/>
      <c r="E45" s="7"/>
    </row>
    <row r="46" spans="1:6">
      <c r="A46" s="162" t="s">
        <v>106</v>
      </c>
      <c r="B46" s="163"/>
      <c r="C46" s="73">
        <f>+C44+C38</f>
        <v>11861105.23</v>
      </c>
      <c r="E46" s="7"/>
    </row>
    <row r="47" spans="1:6">
      <c r="A47" s="164"/>
      <c r="B47" s="164"/>
      <c r="C47" s="123"/>
      <c r="E47" s="7"/>
    </row>
    <row r="48" spans="1:6">
      <c r="A48" s="164"/>
      <c r="B48" s="164"/>
      <c r="C48" s="123"/>
      <c r="E48" s="7"/>
    </row>
    <row r="49" spans="1:5" ht="15.75" thickBot="1">
      <c r="C49" s="165" t="s">
        <v>107</v>
      </c>
      <c r="E49" s="7"/>
    </row>
    <row r="50" spans="1:5">
      <c r="A50" s="166" t="s">
        <v>108</v>
      </c>
      <c r="B50" s="167"/>
      <c r="C50" s="168">
        <f>+C10-C19</f>
        <v>5648360.3473000191</v>
      </c>
      <c r="D50" s="169"/>
      <c r="E50" s="7"/>
    </row>
    <row r="51" spans="1:5">
      <c r="A51" s="170"/>
      <c r="B51" s="164"/>
      <c r="C51" s="171"/>
      <c r="D51" s="169"/>
      <c r="E51" s="7"/>
    </row>
    <row r="52" spans="1:5">
      <c r="A52" s="172" t="s">
        <v>109</v>
      </c>
      <c r="B52" s="163"/>
      <c r="C52" s="173"/>
      <c r="D52" s="174" t="s">
        <v>110</v>
      </c>
      <c r="E52" s="7"/>
    </row>
    <row r="53" spans="1:5" ht="15.75" thickBot="1">
      <c r="A53" s="170"/>
      <c r="B53" s="164"/>
      <c r="C53" s="171"/>
      <c r="D53" s="169"/>
      <c r="E53" s="7"/>
    </row>
    <row r="54" spans="1:5" ht="15.75" thickBot="1">
      <c r="A54" s="175" t="s">
        <v>111</v>
      </c>
      <c r="B54" s="176"/>
      <c r="C54" s="177">
        <f>+C50-C52</f>
        <v>5648360.3473000191</v>
      </c>
      <c r="D54" s="178"/>
      <c r="E54" s="179"/>
    </row>
    <row r="55" spans="1:5">
      <c r="A55" s="180"/>
      <c r="B55" s="180"/>
      <c r="C55" s="181"/>
      <c r="D55" s="182"/>
      <c r="E55" s="179"/>
    </row>
    <row r="56" spans="1:5">
      <c r="A56" s="180"/>
      <c r="B56" s="180"/>
      <c r="C56" s="181"/>
      <c r="D56" s="182"/>
      <c r="E56" s="179"/>
    </row>
    <row r="57" spans="1:5" ht="15.75" thickBot="1">
      <c r="A57" s="180"/>
      <c r="B57" s="180"/>
      <c r="C57" s="181"/>
      <c r="D57" s="182"/>
      <c r="E57" s="179"/>
    </row>
    <row r="58" spans="1:5">
      <c r="A58" s="183" t="s">
        <v>112</v>
      </c>
      <c r="B58" s="184"/>
      <c r="C58" s="185">
        <f>+C44+C38</f>
        <v>11861105.23</v>
      </c>
      <c r="D58" s="186"/>
      <c r="E58" s="7"/>
    </row>
    <row r="59" spans="1:5">
      <c r="A59" s="170"/>
      <c r="B59" s="164"/>
      <c r="C59" s="171"/>
      <c r="D59" s="169"/>
      <c r="E59" s="7"/>
    </row>
    <row r="60" spans="1:5">
      <c r="A60" s="187" t="s">
        <v>113</v>
      </c>
      <c r="B60" s="188"/>
      <c r="C60" s="234"/>
      <c r="D60" s="7"/>
    </row>
    <row r="61" spans="1:5" ht="15.75" thickBot="1">
      <c r="A61" s="189"/>
      <c r="B61" s="190"/>
      <c r="C61" s="171"/>
      <c r="D61" s="169"/>
      <c r="E61" s="7"/>
    </row>
    <row r="62" spans="1:5" ht="15.75" thickBot="1">
      <c r="A62" s="175" t="s">
        <v>114</v>
      </c>
      <c r="B62" s="176"/>
      <c r="C62" s="177">
        <f>+C58+C60</f>
        <v>11861105.23</v>
      </c>
      <c r="D62" s="169"/>
      <c r="E62" s="7"/>
    </row>
    <row r="63" spans="1:5">
      <c r="A63" s="191"/>
      <c r="B63" s="119"/>
      <c r="C63" s="122"/>
      <c r="D63" s="169"/>
      <c r="E63" s="7"/>
    </row>
    <row r="64" spans="1:5" ht="15.75" thickBot="1">
      <c r="A64" s="108"/>
      <c r="B64" s="119"/>
      <c r="C64" s="147"/>
      <c r="D64" s="169"/>
      <c r="E64" s="7"/>
    </row>
    <row r="65" spans="1:5" ht="18.75" thickBot="1">
      <c r="A65" s="192" t="s">
        <v>115</v>
      </c>
      <c r="B65" s="193"/>
      <c r="C65" s="194">
        <f>+C54-C62</f>
        <v>-6212744.8826999813</v>
      </c>
      <c r="D65" s="195"/>
      <c r="E65" s="196"/>
    </row>
    <row r="66" spans="1:5" ht="18">
      <c r="A66" s="197" t="s">
        <v>116</v>
      </c>
    </row>
    <row r="68" spans="1:5">
      <c r="C68" s="229"/>
    </row>
    <row r="69" spans="1:5">
      <c r="C69" s="250"/>
    </row>
    <row r="70" spans="1:5">
      <c r="C70" s="250"/>
    </row>
    <row r="71" spans="1:5">
      <c r="C71" s="250"/>
    </row>
    <row r="72" spans="1:5">
      <c r="C72" s="250"/>
    </row>
    <row r="73" spans="1:5">
      <c r="C73" s="250"/>
    </row>
    <row r="74" spans="1:5">
      <c r="C74" s="250"/>
    </row>
    <row r="75" spans="1:5">
      <c r="C75" s="250"/>
    </row>
    <row r="76" spans="1:5">
      <c r="C76" s="252"/>
    </row>
    <row r="77" spans="1:5">
      <c r="C77" s="249"/>
    </row>
    <row r="78" spans="1:5">
      <c r="C78" s="249"/>
    </row>
    <row r="79" spans="1:5">
      <c r="C79" s="249"/>
    </row>
    <row r="80" spans="1:5">
      <c r="C80" s="250"/>
    </row>
    <row r="81" spans="3:3">
      <c r="C81" s="229"/>
    </row>
    <row r="82" spans="3:3">
      <c r="C82" s="229"/>
    </row>
    <row r="83" spans="3:3">
      <c r="C83" s="229"/>
    </row>
    <row r="84" spans="3:3">
      <c r="C84" s="229"/>
    </row>
    <row r="85" spans="3:3">
      <c r="C85" s="229"/>
    </row>
    <row r="86" spans="3:3">
      <c r="C86" s="229"/>
    </row>
  </sheetData>
  <mergeCells count="1">
    <mergeCell ref="B1:D1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429"/>
  <sheetViews>
    <sheetView topLeftCell="A4" workbookViewId="0">
      <selection activeCell="D32" sqref="D32"/>
    </sheetView>
  </sheetViews>
  <sheetFormatPr baseColWidth="10" defaultRowHeight="15"/>
  <cols>
    <col min="1" max="1" width="11.7109375" customWidth="1"/>
    <col min="2" max="2" width="20.28515625" customWidth="1"/>
    <col min="3" max="3" width="31.5703125" customWidth="1"/>
    <col min="4" max="4" width="22.5703125" customWidth="1"/>
    <col min="5" max="5" width="14.42578125" customWidth="1"/>
    <col min="6" max="6" width="16" customWidth="1"/>
    <col min="7" max="7" width="15.5703125" bestFit="1" customWidth="1"/>
    <col min="8" max="8" width="16.7109375" bestFit="1" customWidth="1"/>
    <col min="9" max="10" width="9.7109375" customWidth="1"/>
    <col min="11" max="11" width="13.85546875" customWidth="1"/>
    <col min="12" max="12" width="9.7109375" customWidth="1"/>
    <col min="13" max="13" width="9.85546875" customWidth="1"/>
    <col min="14" max="14" width="15.28515625" customWidth="1"/>
  </cols>
  <sheetData>
    <row r="1" spans="1:14" ht="18">
      <c r="A1" s="271" t="s">
        <v>641</v>
      </c>
    </row>
    <row r="2" spans="1:14" ht="15.75">
      <c r="A2" s="272" t="s">
        <v>642</v>
      </c>
      <c r="L2" s="273"/>
    </row>
    <row r="4" spans="1:14">
      <c r="A4" s="274" t="s">
        <v>102</v>
      </c>
      <c r="B4" s="274" t="s">
        <v>643</v>
      </c>
      <c r="C4" s="274" t="s">
        <v>644</v>
      </c>
      <c r="D4" s="274" t="s">
        <v>645</v>
      </c>
      <c r="E4" s="274" t="s">
        <v>646</v>
      </c>
      <c r="F4" s="274" t="s">
        <v>647</v>
      </c>
      <c r="G4" s="274" t="s">
        <v>648</v>
      </c>
      <c r="H4" s="274" t="s">
        <v>649</v>
      </c>
      <c r="I4" s="274" t="s">
        <v>650</v>
      </c>
      <c r="J4" s="274" t="s">
        <v>651</v>
      </c>
      <c r="K4" s="274" t="s">
        <v>9</v>
      </c>
      <c r="L4" s="274" t="s">
        <v>10</v>
      </c>
      <c r="M4" s="274" t="s">
        <v>652</v>
      </c>
      <c r="N4" s="274" t="s">
        <v>221</v>
      </c>
    </row>
    <row r="5" spans="1:14">
      <c r="A5" s="276" t="s">
        <v>836</v>
      </c>
      <c r="B5" s="277" t="s">
        <v>837</v>
      </c>
      <c r="C5" s="226" t="s">
        <v>838</v>
      </c>
      <c r="D5" s="226" t="s">
        <v>688</v>
      </c>
      <c r="E5" s="226">
        <v>20238528543</v>
      </c>
      <c r="F5" s="270">
        <v>10743.8</v>
      </c>
      <c r="G5" s="270">
        <v>0</v>
      </c>
      <c r="H5" s="226">
        <v>0</v>
      </c>
      <c r="I5" s="226">
        <v>0</v>
      </c>
      <c r="J5" s="226">
        <v>0</v>
      </c>
      <c r="K5" s="226">
        <v>2256.2000000000003</v>
      </c>
      <c r="L5" s="226">
        <v>0</v>
      </c>
      <c r="M5" s="270">
        <v>0</v>
      </c>
      <c r="N5" s="270">
        <v>13000</v>
      </c>
    </row>
    <row r="6" spans="1:14">
      <c r="A6" s="276" t="s">
        <v>1098</v>
      </c>
      <c r="B6" s="277" t="s">
        <v>1099</v>
      </c>
      <c r="C6" s="226" t="s">
        <v>1100</v>
      </c>
      <c r="D6" s="226" t="s">
        <v>688</v>
      </c>
      <c r="E6" s="226">
        <v>20249404870</v>
      </c>
      <c r="F6" s="270">
        <v>15123.97</v>
      </c>
      <c r="G6" s="270">
        <v>0</v>
      </c>
      <c r="H6" s="226">
        <v>0</v>
      </c>
      <c r="I6" s="226">
        <v>0</v>
      </c>
      <c r="J6" s="226">
        <v>0</v>
      </c>
      <c r="K6" s="226">
        <v>3176.03</v>
      </c>
      <c r="L6" s="226">
        <v>0</v>
      </c>
      <c r="M6" s="270">
        <v>0</v>
      </c>
      <c r="N6" s="270">
        <v>18300</v>
      </c>
    </row>
    <row r="7" spans="1:14">
      <c r="A7" s="276" t="s">
        <v>740</v>
      </c>
      <c r="B7" s="277" t="s">
        <v>755</v>
      </c>
      <c r="C7" s="226" t="s">
        <v>756</v>
      </c>
      <c r="D7" s="226" t="s">
        <v>688</v>
      </c>
      <c r="E7" s="226">
        <v>30522428163</v>
      </c>
      <c r="F7" s="270">
        <v>1495867.76</v>
      </c>
      <c r="G7" s="270">
        <v>0</v>
      </c>
      <c r="H7" s="226">
        <v>0</v>
      </c>
      <c r="I7" s="226">
        <v>0</v>
      </c>
      <c r="J7" s="226">
        <v>0</v>
      </c>
      <c r="K7" s="226">
        <v>314132.24</v>
      </c>
      <c r="L7" s="226">
        <v>0</v>
      </c>
      <c r="M7" s="270">
        <v>0</v>
      </c>
      <c r="N7" s="270">
        <v>1810000</v>
      </c>
    </row>
    <row r="8" spans="1:14">
      <c r="A8" s="276" t="s">
        <v>804</v>
      </c>
      <c r="B8" s="277" t="s">
        <v>812</v>
      </c>
      <c r="C8" s="226" t="s">
        <v>756</v>
      </c>
      <c r="D8" s="226" t="s">
        <v>688</v>
      </c>
      <c r="E8" s="226">
        <v>30522428163</v>
      </c>
      <c r="F8" s="270">
        <v>1267889.92</v>
      </c>
      <c r="G8" s="270">
        <v>0</v>
      </c>
      <c r="H8" s="226">
        <v>0</v>
      </c>
      <c r="I8" s="226">
        <v>0</v>
      </c>
      <c r="J8" s="226">
        <v>0</v>
      </c>
      <c r="K8" s="226">
        <v>266256.88</v>
      </c>
      <c r="L8" s="226">
        <v>0</v>
      </c>
      <c r="M8" s="270">
        <v>0</v>
      </c>
      <c r="N8" s="270">
        <v>1534146.8</v>
      </c>
    </row>
    <row r="9" spans="1:14">
      <c r="A9" s="276" t="s">
        <v>804</v>
      </c>
      <c r="B9" s="277" t="s">
        <v>813</v>
      </c>
      <c r="C9" s="226" t="s">
        <v>756</v>
      </c>
      <c r="D9" s="226" t="s">
        <v>688</v>
      </c>
      <c r="E9" s="226">
        <v>30522428163</v>
      </c>
      <c r="F9" s="270">
        <v>8704563.870000001</v>
      </c>
      <c r="G9" s="270">
        <v>0</v>
      </c>
      <c r="H9" s="226">
        <v>0</v>
      </c>
      <c r="I9" s="226">
        <v>0</v>
      </c>
      <c r="J9" s="226">
        <v>0</v>
      </c>
      <c r="K9" s="226">
        <v>1827958.41</v>
      </c>
      <c r="L9" s="226">
        <v>0</v>
      </c>
      <c r="M9" s="270">
        <v>0</v>
      </c>
      <c r="N9" s="270">
        <v>10532522.279999999</v>
      </c>
    </row>
    <row r="10" spans="1:14">
      <c r="A10" s="276" t="s">
        <v>1141</v>
      </c>
      <c r="B10" s="277" t="s">
        <v>1161</v>
      </c>
      <c r="C10" s="226" t="s">
        <v>756</v>
      </c>
      <c r="D10" s="226" t="s">
        <v>688</v>
      </c>
      <c r="E10" s="226">
        <v>30522428163</v>
      </c>
      <c r="F10" s="270">
        <v>1453471.07</v>
      </c>
      <c r="G10" s="270">
        <v>0</v>
      </c>
      <c r="H10" s="226">
        <v>0</v>
      </c>
      <c r="I10" s="226">
        <v>0</v>
      </c>
      <c r="J10" s="226">
        <v>0</v>
      </c>
      <c r="K10" s="226">
        <v>305228.93</v>
      </c>
      <c r="L10" s="226">
        <v>0</v>
      </c>
      <c r="M10" s="270">
        <v>0</v>
      </c>
      <c r="N10" s="270">
        <v>1758700</v>
      </c>
    </row>
    <row r="11" spans="1:14">
      <c r="A11" s="276" t="s">
        <v>676</v>
      </c>
      <c r="B11" s="277" t="s">
        <v>686</v>
      </c>
      <c r="C11" s="226" t="s">
        <v>687</v>
      </c>
      <c r="D11" s="226" t="s">
        <v>688</v>
      </c>
      <c r="E11" s="226">
        <v>30713669004</v>
      </c>
      <c r="F11" s="270">
        <v>72231.400000000009</v>
      </c>
      <c r="G11" s="270">
        <v>0</v>
      </c>
      <c r="H11" s="226">
        <v>0</v>
      </c>
      <c r="I11" s="226">
        <v>0</v>
      </c>
      <c r="J11" s="226">
        <v>0</v>
      </c>
      <c r="K11" s="226">
        <v>15168.59</v>
      </c>
      <c r="L11" s="226">
        <v>0</v>
      </c>
      <c r="M11" s="270">
        <v>0</v>
      </c>
      <c r="N11" s="270">
        <v>87399.99</v>
      </c>
    </row>
    <row r="12" spans="1:14">
      <c r="A12" s="276" t="s">
        <v>676</v>
      </c>
      <c r="B12" s="277" t="s">
        <v>689</v>
      </c>
      <c r="C12" s="226" t="s">
        <v>690</v>
      </c>
      <c r="D12" s="226" t="s">
        <v>688</v>
      </c>
      <c r="E12" s="226">
        <v>30710538014</v>
      </c>
      <c r="F12" s="270">
        <v>369049.59</v>
      </c>
      <c r="G12" s="270">
        <v>0</v>
      </c>
      <c r="H12" s="226">
        <v>0</v>
      </c>
      <c r="I12" s="226">
        <v>0</v>
      </c>
      <c r="J12" s="226">
        <v>0</v>
      </c>
      <c r="K12" s="226">
        <v>77500.41</v>
      </c>
      <c r="L12" s="226">
        <v>0</v>
      </c>
      <c r="M12" s="270">
        <v>0</v>
      </c>
      <c r="N12" s="270">
        <v>446550</v>
      </c>
    </row>
    <row r="13" spans="1:14">
      <c r="A13" s="276" t="s">
        <v>676</v>
      </c>
      <c r="B13" s="277" t="s">
        <v>691</v>
      </c>
      <c r="C13" s="226" t="s">
        <v>692</v>
      </c>
      <c r="D13" s="226" t="s">
        <v>688</v>
      </c>
      <c r="E13" s="226">
        <v>30711244383</v>
      </c>
      <c r="F13" s="270">
        <v>48576.03</v>
      </c>
      <c r="G13" s="270">
        <v>0</v>
      </c>
      <c r="H13" s="226">
        <v>0</v>
      </c>
      <c r="I13" s="226">
        <v>0</v>
      </c>
      <c r="J13" s="226">
        <v>0</v>
      </c>
      <c r="K13" s="226">
        <v>10200.969999999999</v>
      </c>
      <c r="L13" s="226">
        <v>0</v>
      </c>
      <c r="M13" s="270">
        <v>0</v>
      </c>
      <c r="N13" s="270">
        <v>58777</v>
      </c>
    </row>
    <row r="14" spans="1:14">
      <c r="A14" s="276" t="s">
        <v>676</v>
      </c>
      <c r="B14" s="277" t="s">
        <v>693</v>
      </c>
      <c r="C14" s="226" t="s">
        <v>694</v>
      </c>
      <c r="D14" s="226" t="s">
        <v>688</v>
      </c>
      <c r="E14" s="226">
        <v>30546771314</v>
      </c>
      <c r="F14" s="270">
        <v>16597.8</v>
      </c>
      <c r="G14" s="270">
        <v>0</v>
      </c>
      <c r="H14" s="226">
        <v>0</v>
      </c>
      <c r="I14" s="226">
        <v>0</v>
      </c>
      <c r="J14" s="226">
        <v>0</v>
      </c>
      <c r="K14" s="226">
        <v>3485.54</v>
      </c>
      <c r="L14" s="226">
        <v>0</v>
      </c>
      <c r="M14" s="270">
        <v>0</v>
      </c>
      <c r="N14" s="270">
        <v>20083.34</v>
      </c>
    </row>
    <row r="15" spans="1:14">
      <c r="A15" s="276" t="s">
        <v>703</v>
      </c>
      <c r="B15" s="277" t="s">
        <v>716</v>
      </c>
      <c r="C15" s="226" t="s">
        <v>77</v>
      </c>
      <c r="D15" s="226" t="s">
        <v>688</v>
      </c>
      <c r="E15" s="226">
        <v>30709016012</v>
      </c>
      <c r="F15" s="270">
        <v>131716.53</v>
      </c>
      <c r="G15" s="270">
        <v>0</v>
      </c>
      <c r="H15" s="226">
        <v>0</v>
      </c>
      <c r="I15" s="226">
        <v>0</v>
      </c>
      <c r="J15" s="226">
        <v>0</v>
      </c>
      <c r="K15" s="226">
        <v>27660.47</v>
      </c>
      <c r="L15" s="226">
        <v>0</v>
      </c>
      <c r="M15" s="270">
        <v>0</v>
      </c>
      <c r="N15" s="270">
        <v>159377</v>
      </c>
    </row>
    <row r="16" spans="1:14">
      <c r="A16" s="276" t="s">
        <v>703</v>
      </c>
      <c r="B16" s="277" t="s">
        <v>717</v>
      </c>
      <c r="C16" s="226" t="s">
        <v>77</v>
      </c>
      <c r="D16" s="226" t="s">
        <v>688</v>
      </c>
      <c r="E16" s="226">
        <v>30709016012</v>
      </c>
      <c r="F16" s="270">
        <v>487603.32</v>
      </c>
      <c r="G16" s="270">
        <v>0</v>
      </c>
      <c r="H16" s="226">
        <v>0</v>
      </c>
      <c r="I16" s="226">
        <v>0</v>
      </c>
      <c r="J16" s="226">
        <v>0</v>
      </c>
      <c r="K16" s="226">
        <v>102396.71</v>
      </c>
      <c r="L16" s="226">
        <v>0</v>
      </c>
      <c r="M16" s="270">
        <v>0</v>
      </c>
      <c r="N16" s="270">
        <v>590000.03</v>
      </c>
    </row>
    <row r="17" spans="1:14">
      <c r="A17" s="276" t="s">
        <v>703</v>
      </c>
      <c r="B17" s="277" t="s">
        <v>718</v>
      </c>
      <c r="C17" s="226" t="s">
        <v>719</v>
      </c>
      <c r="D17" s="226" t="s">
        <v>688</v>
      </c>
      <c r="E17" s="226">
        <v>20223256393</v>
      </c>
      <c r="F17" s="270">
        <v>19834.71</v>
      </c>
      <c r="G17" s="270">
        <v>0</v>
      </c>
      <c r="H17" s="226">
        <v>0</v>
      </c>
      <c r="I17" s="226">
        <v>0</v>
      </c>
      <c r="J17" s="226">
        <v>0</v>
      </c>
      <c r="K17" s="226">
        <v>4165.29</v>
      </c>
      <c r="L17" s="226">
        <v>0</v>
      </c>
      <c r="M17" s="270">
        <v>0</v>
      </c>
      <c r="N17" s="270">
        <v>24000</v>
      </c>
    </row>
    <row r="18" spans="1:14">
      <c r="A18" s="276" t="s">
        <v>703</v>
      </c>
      <c r="B18" s="277" t="s">
        <v>720</v>
      </c>
      <c r="C18" s="226" t="s">
        <v>721</v>
      </c>
      <c r="D18" s="226" t="s">
        <v>688</v>
      </c>
      <c r="E18" s="226">
        <v>30715186655</v>
      </c>
      <c r="F18" s="270">
        <v>453438.02</v>
      </c>
      <c r="G18" s="270">
        <v>0</v>
      </c>
      <c r="H18" s="226">
        <v>0</v>
      </c>
      <c r="I18" s="226">
        <v>0</v>
      </c>
      <c r="J18" s="226">
        <v>0</v>
      </c>
      <c r="K18" s="226">
        <v>95221.98</v>
      </c>
      <c r="L18" s="226">
        <v>0</v>
      </c>
      <c r="M18" s="270">
        <v>0</v>
      </c>
      <c r="N18" s="270">
        <v>548660</v>
      </c>
    </row>
    <row r="19" spans="1:14">
      <c r="A19" s="276" t="s">
        <v>740</v>
      </c>
      <c r="B19" s="277" t="s">
        <v>758</v>
      </c>
      <c r="C19" s="226" t="s">
        <v>759</v>
      </c>
      <c r="D19" s="226" t="s">
        <v>688</v>
      </c>
      <c r="E19" s="226">
        <v>30645337979</v>
      </c>
      <c r="F19" s="270">
        <v>97152.07</v>
      </c>
      <c r="G19" s="270">
        <v>0</v>
      </c>
      <c r="H19" s="226">
        <v>0</v>
      </c>
      <c r="I19" s="226">
        <v>0</v>
      </c>
      <c r="J19" s="226">
        <v>0</v>
      </c>
      <c r="K19" s="226">
        <v>20401.93</v>
      </c>
      <c r="L19" s="226">
        <v>0</v>
      </c>
      <c r="M19" s="270">
        <v>0</v>
      </c>
      <c r="N19" s="270">
        <v>117554</v>
      </c>
    </row>
    <row r="20" spans="1:14">
      <c r="A20" s="276" t="s">
        <v>740</v>
      </c>
      <c r="B20" s="277" t="s">
        <v>760</v>
      </c>
      <c r="C20" s="226" t="s">
        <v>761</v>
      </c>
      <c r="D20" s="226" t="s">
        <v>688</v>
      </c>
      <c r="E20" s="226">
        <v>30604958640</v>
      </c>
      <c r="F20" s="270">
        <v>185682.68</v>
      </c>
      <c r="G20" s="270">
        <v>0</v>
      </c>
      <c r="H20" s="226">
        <v>0</v>
      </c>
      <c r="I20" s="226">
        <v>0</v>
      </c>
      <c r="J20" s="226">
        <v>0</v>
      </c>
      <c r="K20" s="226">
        <v>38993.360000000001</v>
      </c>
      <c r="L20" s="226">
        <v>0</v>
      </c>
      <c r="M20" s="270">
        <v>0</v>
      </c>
      <c r="N20" s="270">
        <v>224676.04</v>
      </c>
    </row>
    <row r="21" spans="1:14">
      <c r="A21" s="276" t="s">
        <v>740</v>
      </c>
      <c r="B21" s="277" t="s">
        <v>762</v>
      </c>
      <c r="C21" s="226" t="s">
        <v>761</v>
      </c>
      <c r="D21" s="226" t="s">
        <v>688</v>
      </c>
      <c r="E21" s="226">
        <v>30604958640</v>
      </c>
      <c r="F21" s="270">
        <v>33096.199999999997</v>
      </c>
      <c r="G21" s="270">
        <v>0</v>
      </c>
      <c r="H21" s="226">
        <v>0</v>
      </c>
      <c r="I21" s="226">
        <v>0</v>
      </c>
      <c r="J21" s="226">
        <v>0</v>
      </c>
      <c r="K21" s="226">
        <v>6950.2</v>
      </c>
      <c r="L21" s="226">
        <v>0</v>
      </c>
      <c r="M21" s="270">
        <v>0</v>
      </c>
      <c r="N21" s="270">
        <v>40046.400000000001</v>
      </c>
    </row>
    <row r="22" spans="1:14">
      <c r="A22" s="276" t="s">
        <v>804</v>
      </c>
      <c r="B22" s="277" t="s">
        <v>814</v>
      </c>
      <c r="C22" s="226" t="s">
        <v>756</v>
      </c>
      <c r="D22" s="226" t="s">
        <v>688</v>
      </c>
      <c r="E22" s="226">
        <v>30522428163</v>
      </c>
      <c r="F22" s="270">
        <v>130295.29</v>
      </c>
      <c r="G22" s="270">
        <v>0</v>
      </c>
      <c r="H22" s="226">
        <v>0</v>
      </c>
      <c r="I22" s="226">
        <v>0</v>
      </c>
      <c r="J22" s="226">
        <v>0</v>
      </c>
      <c r="K22" s="226">
        <v>27362.01</v>
      </c>
      <c r="L22" s="226">
        <v>0</v>
      </c>
      <c r="M22" s="270">
        <v>0</v>
      </c>
      <c r="N22" s="270">
        <v>157657.30000000002</v>
      </c>
    </row>
    <row r="23" spans="1:14">
      <c r="A23" s="276" t="s">
        <v>815</v>
      </c>
      <c r="B23" s="277" t="s">
        <v>825</v>
      </c>
      <c r="C23" s="226" t="s">
        <v>826</v>
      </c>
      <c r="D23" s="226" t="s">
        <v>688</v>
      </c>
      <c r="E23" s="226">
        <v>30707612971</v>
      </c>
      <c r="F23" s="270">
        <v>47198.35</v>
      </c>
      <c r="G23" s="270">
        <v>0</v>
      </c>
      <c r="H23" s="226">
        <v>0</v>
      </c>
      <c r="I23" s="226">
        <v>0</v>
      </c>
      <c r="J23" s="226">
        <v>0</v>
      </c>
      <c r="K23" s="226">
        <v>9911.65</v>
      </c>
      <c r="L23" s="226">
        <v>0</v>
      </c>
      <c r="M23" s="270">
        <v>0</v>
      </c>
      <c r="N23" s="270">
        <v>57110</v>
      </c>
    </row>
    <row r="24" spans="1:14">
      <c r="A24" s="276" t="s">
        <v>815</v>
      </c>
      <c r="B24" s="277" t="s">
        <v>827</v>
      </c>
      <c r="C24" s="226" t="s">
        <v>828</v>
      </c>
      <c r="D24" s="226" t="s">
        <v>688</v>
      </c>
      <c r="E24" s="226">
        <v>30712136754</v>
      </c>
      <c r="F24" s="270">
        <v>47198.35</v>
      </c>
      <c r="G24" s="270">
        <v>0</v>
      </c>
      <c r="H24" s="226">
        <v>0</v>
      </c>
      <c r="I24" s="226">
        <v>0</v>
      </c>
      <c r="J24" s="226">
        <v>0</v>
      </c>
      <c r="K24" s="226">
        <v>9911.65</v>
      </c>
      <c r="L24" s="226">
        <v>0</v>
      </c>
      <c r="M24" s="270">
        <v>0</v>
      </c>
      <c r="N24" s="270">
        <v>57110</v>
      </c>
    </row>
    <row r="25" spans="1:14">
      <c r="A25" s="276" t="s">
        <v>815</v>
      </c>
      <c r="B25" s="277" t="s">
        <v>829</v>
      </c>
      <c r="C25" s="226" t="s">
        <v>756</v>
      </c>
      <c r="D25" s="226" t="s">
        <v>688</v>
      </c>
      <c r="E25" s="226">
        <v>30522428163</v>
      </c>
      <c r="F25" s="270">
        <v>142148.76</v>
      </c>
      <c r="G25" s="270">
        <v>0</v>
      </c>
      <c r="H25" s="226">
        <v>0</v>
      </c>
      <c r="I25" s="226">
        <v>0</v>
      </c>
      <c r="J25" s="226">
        <v>0</v>
      </c>
      <c r="K25" s="226">
        <v>29851.24</v>
      </c>
      <c r="L25" s="226">
        <v>0</v>
      </c>
      <c r="M25" s="270">
        <v>0</v>
      </c>
      <c r="N25" s="270">
        <v>172000</v>
      </c>
    </row>
    <row r="26" spans="1:14">
      <c r="A26" s="276" t="s">
        <v>815</v>
      </c>
      <c r="B26" s="277" t="s">
        <v>830</v>
      </c>
      <c r="C26" s="226" t="s">
        <v>831</v>
      </c>
      <c r="D26" s="226" t="s">
        <v>688</v>
      </c>
      <c r="E26" s="226">
        <v>30683032227</v>
      </c>
      <c r="F26" s="270">
        <v>207986.84</v>
      </c>
      <c r="G26" s="270">
        <v>0</v>
      </c>
      <c r="H26" s="226">
        <v>0</v>
      </c>
      <c r="I26" s="226">
        <v>0</v>
      </c>
      <c r="J26" s="226">
        <v>0</v>
      </c>
      <c r="K26" s="226">
        <v>43677.24</v>
      </c>
      <c r="L26" s="226">
        <v>0</v>
      </c>
      <c r="M26" s="270">
        <v>0</v>
      </c>
      <c r="N26" s="270">
        <v>251664.08</v>
      </c>
    </row>
    <row r="27" spans="1:14">
      <c r="A27" s="276" t="s">
        <v>836</v>
      </c>
      <c r="B27" s="277" t="s">
        <v>854</v>
      </c>
      <c r="C27" s="226" t="s">
        <v>855</v>
      </c>
      <c r="D27" s="226" t="s">
        <v>688</v>
      </c>
      <c r="E27" s="226">
        <v>30608716390</v>
      </c>
      <c r="F27" s="270">
        <v>44247.93</v>
      </c>
      <c r="G27" s="270">
        <v>0</v>
      </c>
      <c r="H27" s="226">
        <v>0</v>
      </c>
      <c r="I27" s="226">
        <v>0</v>
      </c>
      <c r="J27" s="226">
        <v>0</v>
      </c>
      <c r="K27" s="226">
        <v>9292.07</v>
      </c>
      <c r="L27" s="226">
        <v>0</v>
      </c>
      <c r="M27" s="270">
        <v>0</v>
      </c>
      <c r="N27" s="270">
        <v>53540</v>
      </c>
    </row>
    <row r="28" spans="1:14">
      <c r="A28" s="276" t="s">
        <v>836</v>
      </c>
      <c r="B28" s="277" t="s">
        <v>856</v>
      </c>
      <c r="C28" s="226" t="s">
        <v>855</v>
      </c>
      <c r="D28" s="226" t="s">
        <v>688</v>
      </c>
      <c r="E28" s="226">
        <v>30608716390</v>
      </c>
      <c r="F28" s="270">
        <v>11256.2</v>
      </c>
      <c r="G28" s="270">
        <v>0</v>
      </c>
      <c r="H28" s="226">
        <v>0</v>
      </c>
      <c r="I28" s="226">
        <v>0</v>
      </c>
      <c r="J28" s="226">
        <v>0</v>
      </c>
      <c r="K28" s="226">
        <v>2363.8000000000002</v>
      </c>
      <c r="L28" s="226">
        <v>0</v>
      </c>
      <c r="M28" s="270">
        <v>0</v>
      </c>
      <c r="N28" s="270">
        <v>13620</v>
      </c>
    </row>
    <row r="29" spans="1:14">
      <c r="A29" s="276" t="s">
        <v>836</v>
      </c>
      <c r="B29" s="277" t="s">
        <v>857</v>
      </c>
      <c r="C29" s="226" t="s">
        <v>855</v>
      </c>
      <c r="D29" s="226" t="s">
        <v>688</v>
      </c>
      <c r="E29" s="226">
        <v>30608716390</v>
      </c>
      <c r="F29" s="270">
        <v>13223.14</v>
      </c>
      <c r="G29" s="270">
        <v>0</v>
      </c>
      <c r="H29" s="226">
        <v>0</v>
      </c>
      <c r="I29" s="226">
        <v>0</v>
      </c>
      <c r="J29" s="226">
        <v>0</v>
      </c>
      <c r="K29" s="226">
        <v>2776.86</v>
      </c>
      <c r="L29" s="226">
        <v>0</v>
      </c>
      <c r="M29" s="270">
        <v>0</v>
      </c>
      <c r="N29" s="270">
        <v>16000</v>
      </c>
    </row>
    <row r="30" spans="1:14">
      <c r="A30" s="276" t="s">
        <v>836</v>
      </c>
      <c r="B30" s="277" t="s">
        <v>858</v>
      </c>
      <c r="C30" s="226" t="s">
        <v>855</v>
      </c>
      <c r="D30" s="226" t="s">
        <v>688</v>
      </c>
      <c r="E30" s="226">
        <v>30608716390</v>
      </c>
      <c r="F30" s="270">
        <v>13223.14</v>
      </c>
      <c r="G30" s="270">
        <v>0</v>
      </c>
      <c r="H30" s="226">
        <v>0</v>
      </c>
      <c r="I30" s="226">
        <v>0</v>
      </c>
      <c r="J30" s="226">
        <v>0</v>
      </c>
      <c r="K30" s="226">
        <v>2776.86</v>
      </c>
      <c r="L30" s="226">
        <v>0</v>
      </c>
      <c r="M30" s="270">
        <v>0</v>
      </c>
      <c r="N30" s="270">
        <v>16000</v>
      </c>
    </row>
    <row r="31" spans="1:14">
      <c r="A31" s="276" t="s">
        <v>836</v>
      </c>
      <c r="B31" s="277" t="s">
        <v>859</v>
      </c>
      <c r="C31" s="226" t="s">
        <v>855</v>
      </c>
      <c r="D31" s="226" t="s">
        <v>688</v>
      </c>
      <c r="E31" s="226">
        <v>30608716390</v>
      </c>
      <c r="F31" s="270">
        <v>13223.14</v>
      </c>
      <c r="G31" s="270">
        <v>0</v>
      </c>
      <c r="H31" s="226">
        <v>0</v>
      </c>
      <c r="I31" s="226">
        <v>0</v>
      </c>
      <c r="J31" s="226">
        <v>0</v>
      </c>
      <c r="K31" s="226">
        <v>2776.86</v>
      </c>
      <c r="L31" s="226">
        <v>0</v>
      </c>
      <c r="M31" s="270">
        <v>0</v>
      </c>
      <c r="N31" s="270">
        <v>16000</v>
      </c>
    </row>
    <row r="32" spans="1:14">
      <c r="A32" s="276" t="s">
        <v>836</v>
      </c>
      <c r="B32" s="277" t="s">
        <v>860</v>
      </c>
      <c r="C32" s="226" t="s">
        <v>855</v>
      </c>
      <c r="D32" s="226" t="s">
        <v>688</v>
      </c>
      <c r="E32" s="226">
        <v>30608716390</v>
      </c>
      <c r="F32" s="270">
        <v>19090.91</v>
      </c>
      <c r="G32" s="270">
        <v>0</v>
      </c>
      <c r="H32" s="226">
        <v>0</v>
      </c>
      <c r="I32" s="226">
        <v>0</v>
      </c>
      <c r="J32" s="226">
        <v>0</v>
      </c>
      <c r="K32" s="226">
        <v>4009.09</v>
      </c>
      <c r="L32" s="226">
        <v>0</v>
      </c>
      <c r="M32" s="270">
        <v>0</v>
      </c>
      <c r="N32" s="270">
        <v>23100</v>
      </c>
    </row>
    <row r="33" spans="1:14">
      <c r="A33" s="276" t="s">
        <v>836</v>
      </c>
      <c r="B33" s="277" t="s">
        <v>861</v>
      </c>
      <c r="C33" s="226" t="s">
        <v>855</v>
      </c>
      <c r="D33" s="226" t="s">
        <v>688</v>
      </c>
      <c r="E33" s="226">
        <v>30608716390</v>
      </c>
      <c r="F33" s="270">
        <v>6611.57</v>
      </c>
      <c r="G33" s="270">
        <v>0</v>
      </c>
      <c r="H33" s="226">
        <v>0</v>
      </c>
      <c r="I33" s="226">
        <v>0</v>
      </c>
      <c r="J33" s="226">
        <v>0</v>
      </c>
      <c r="K33" s="226">
        <v>1388.43</v>
      </c>
      <c r="L33" s="226">
        <v>0</v>
      </c>
      <c r="M33" s="270">
        <v>0</v>
      </c>
      <c r="N33" s="270">
        <v>8000</v>
      </c>
    </row>
    <row r="34" spans="1:14">
      <c r="A34" s="276" t="s">
        <v>836</v>
      </c>
      <c r="B34" s="277" t="s">
        <v>862</v>
      </c>
      <c r="C34" s="226" t="s">
        <v>855</v>
      </c>
      <c r="D34" s="226" t="s">
        <v>688</v>
      </c>
      <c r="E34" s="226">
        <v>30608716390</v>
      </c>
      <c r="F34" s="270">
        <v>5628.1</v>
      </c>
      <c r="G34" s="270">
        <v>0</v>
      </c>
      <c r="H34" s="226">
        <v>0</v>
      </c>
      <c r="I34" s="226">
        <v>0</v>
      </c>
      <c r="J34" s="226">
        <v>0</v>
      </c>
      <c r="K34" s="226">
        <v>1181.9000000000001</v>
      </c>
      <c r="L34" s="226">
        <v>0</v>
      </c>
      <c r="M34" s="270">
        <v>0</v>
      </c>
      <c r="N34" s="270">
        <v>6810</v>
      </c>
    </row>
    <row r="35" spans="1:14">
      <c r="A35" s="276" t="s">
        <v>836</v>
      </c>
      <c r="B35" s="277" t="s">
        <v>863</v>
      </c>
      <c r="C35" s="226" t="s">
        <v>694</v>
      </c>
      <c r="D35" s="226" t="s">
        <v>688</v>
      </c>
      <c r="E35" s="226">
        <v>30546771314</v>
      </c>
      <c r="F35" s="270">
        <v>40165.29</v>
      </c>
      <c r="G35" s="270">
        <v>0</v>
      </c>
      <c r="H35" s="226">
        <v>0</v>
      </c>
      <c r="I35" s="226">
        <v>0</v>
      </c>
      <c r="J35" s="226">
        <v>0</v>
      </c>
      <c r="K35" s="226">
        <v>8434.7100000000009</v>
      </c>
      <c r="L35" s="226">
        <v>0</v>
      </c>
      <c r="M35" s="270">
        <v>0</v>
      </c>
      <c r="N35" s="270">
        <v>48600</v>
      </c>
    </row>
    <row r="36" spans="1:14">
      <c r="A36" s="276" t="s">
        <v>894</v>
      </c>
      <c r="B36" s="277" t="s">
        <v>909</v>
      </c>
      <c r="C36" s="226" t="s">
        <v>756</v>
      </c>
      <c r="D36" s="226" t="s">
        <v>688</v>
      </c>
      <c r="E36" s="226">
        <v>30522428163</v>
      </c>
      <c r="F36" s="270">
        <v>381445.96</v>
      </c>
      <c r="G36" s="270">
        <v>0</v>
      </c>
      <c r="H36" s="226">
        <v>0</v>
      </c>
      <c r="I36" s="226">
        <v>0</v>
      </c>
      <c r="J36" s="226">
        <v>0</v>
      </c>
      <c r="K36" s="226">
        <v>80103.66</v>
      </c>
      <c r="L36" s="226">
        <v>0</v>
      </c>
      <c r="M36" s="270">
        <v>0</v>
      </c>
      <c r="N36" s="270">
        <v>461549.62</v>
      </c>
    </row>
    <row r="37" spans="1:14">
      <c r="A37" s="276" t="s">
        <v>894</v>
      </c>
      <c r="B37" s="277" t="s">
        <v>910</v>
      </c>
      <c r="C37" s="226" t="s">
        <v>756</v>
      </c>
      <c r="D37" s="226" t="s">
        <v>688</v>
      </c>
      <c r="E37" s="226">
        <v>30522428163</v>
      </c>
      <c r="F37" s="270">
        <v>205421.49</v>
      </c>
      <c r="G37" s="270">
        <v>0</v>
      </c>
      <c r="H37" s="226">
        <v>0</v>
      </c>
      <c r="I37" s="226">
        <v>0</v>
      </c>
      <c r="J37" s="226">
        <v>0</v>
      </c>
      <c r="K37" s="226">
        <v>43138.51</v>
      </c>
      <c r="L37" s="226">
        <v>0</v>
      </c>
      <c r="M37" s="270">
        <v>0</v>
      </c>
      <c r="N37" s="270">
        <v>248560</v>
      </c>
    </row>
    <row r="38" spans="1:14">
      <c r="A38" s="276" t="s">
        <v>894</v>
      </c>
      <c r="B38" s="277" t="s">
        <v>911</v>
      </c>
      <c r="C38" s="226" t="s">
        <v>756</v>
      </c>
      <c r="D38" s="226" t="s">
        <v>688</v>
      </c>
      <c r="E38" s="226">
        <v>30522428163</v>
      </c>
      <c r="F38" s="270">
        <v>440944.73</v>
      </c>
      <c r="G38" s="270">
        <v>0</v>
      </c>
      <c r="H38" s="226">
        <v>0</v>
      </c>
      <c r="I38" s="226">
        <v>0</v>
      </c>
      <c r="J38" s="226">
        <v>0</v>
      </c>
      <c r="K38" s="226">
        <v>92598.39</v>
      </c>
      <c r="L38" s="226">
        <v>0</v>
      </c>
      <c r="M38" s="270">
        <v>0</v>
      </c>
      <c r="N38" s="270">
        <v>533543.12</v>
      </c>
    </row>
    <row r="39" spans="1:14">
      <c r="A39" s="276" t="s">
        <v>943</v>
      </c>
      <c r="B39" s="277" t="s">
        <v>962</v>
      </c>
      <c r="C39" s="226" t="s">
        <v>963</v>
      </c>
      <c r="D39" s="226" t="s">
        <v>688</v>
      </c>
      <c r="E39" s="226">
        <v>27182477368</v>
      </c>
      <c r="F39" s="270">
        <v>19834.71</v>
      </c>
      <c r="G39" s="270">
        <v>0</v>
      </c>
      <c r="H39" s="226">
        <v>0</v>
      </c>
      <c r="I39" s="226">
        <v>0</v>
      </c>
      <c r="J39" s="226">
        <v>0</v>
      </c>
      <c r="K39" s="226">
        <v>4165.29</v>
      </c>
      <c r="L39" s="226">
        <v>0</v>
      </c>
      <c r="M39" s="270">
        <v>0</v>
      </c>
      <c r="N39" s="270">
        <v>24000</v>
      </c>
    </row>
    <row r="40" spans="1:14">
      <c r="A40" s="276" t="s">
        <v>943</v>
      </c>
      <c r="B40" s="277" t="s">
        <v>964</v>
      </c>
      <c r="C40" s="226" t="s">
        <v>719</v>
      </c>
      <c r="D40" s="226" t="s">
        <v>688</v>
      </c>
      <c r="E40" s="226">
        <v>20223256393</v>
      </c>
      <c r="F40" s="270">
        <v>19834.71</v>
      </c>
      <c r="G40" s="270">
        <v>0</v>
      </c>
      <c r="H40" s="226">
        <v>0</v>
      </c>
      <c r="I40" s="226">
        <v>0</v>
      </c>
      <c r="J40" s="226">
        <v>0</v>
      </c>
      <c r="K40" s="226">
        <v>4165.29</v>
      </c>
      <c r="L40" s="226">
        <v>0</v>
      </c>
      <c r="M40" s="270">
        <v>0</v>
      </c>
      <c r="N40" s="270">
        <v>24000</v>
      </c>
    </row>
    <row r="41" spans="1:14">
      <c r="A41" s="276" t="s">
        <v>1012</v>
      </c>
      <c r="B41" s="277" t="s">
        <v>1026</v>
      </c>
      <c r="C41" s="226" t="s">
        <v>831</v>
      </c>
      <c r="D41" s="226" t="s">
        <v>688</v>
      </c>
      <c r="E41" s="226">
        <v>30683032227</v>
      </c>
      <c r="F41" s="270">
        <v>72479.34</v>
      </c>
      <c r="G41" s="270">
        <v>0</v>
      </c>
      <c r="H41" s="226">
        <v>0</v>
      </c>
      <c r="I41" s="226">
        <v>0</v>
      </c>
      <c r="J41" s="226">
        <v>0</v>
      </c>
      <c r="K41" s="226">
        <v>15220.66</v>
      </c>
      <c r="L41" s="226">
        <v>0</v>
      </c>
      <c r="M41" s="270">
        <v>0</v>
      </c>
      <c r="N41" s="270">
        <v>87700</v>
      </c>
    </row>
    <row r="42" spans="1:14">
      <c r="A42" s="276" t="s">
        <v>1012</v>
      </c>
      <c r="B42" s="277" t="s">
        <v>1027</v>
      </c>
      <c r="C42" s="226" t="s">
        <v>756</v>
      </c>
      <c r="D42" s="226" t="s">
        <v>688</v>
      </c>
      <c r="E42" s="226">
        <v>30522428163</v>
      </c>
      <c r="F42" s="270">
        <v>857024.79</v>
      </c>
      <c r="G42" s="270">
        <v>0</v>
      </c>
      <c r="H42" s="226">
        <v>0</v>
      </c>
      <c r="I42" s="226">
        <v>0</v>
      </c>
      <c r="J42" s="226">
        <v>0</v>
      </c>
      <c r="K42" s="226">
        <v>179975.2</v>
      </c>
      <c r="L42" s="226">
        <v>0</v>
      </c>
      <c r="M42" s="270">
        <v>0</v>
      </c>
      <c r="N42" s="270">
        <v>1036999.99</v>
      </c>
    </row>
    <row r="43" spans="1:14">
      <c r="A43" s="276" t="s">
        <v>1030</v>
      </c>
      <c r="B43" s="277" t="s">
        <v>1052</v>
      </c>
      <c r="C43" s="226" t="s">
        <v>761</v>
      </c>
      <c r="D43" s="226" t="s">
        <v>688</v>
      </c>
      <c r="E43" s="226">
        <v>30604958640</v>
      </c>
      <c r="F43" s="270">
        <v>297161.02</v>
      </c>
      <c r="G43" s="270">
        <v>0</v>
      </c>
      <c r="H43" s="226">
        <v>0</v>
      </c>
      <c r="I43" s="226">
        <v>0</v>
      </c>
      <c r="J43" s="226">
        <v>0</v>
      </c>
      <c r="K43" s="226">
        <v>62403.81</v>
      </c>
      <c r="L43" s="226">
        <v>0</v>
      </c>
      <c r="M43" s="270">
        <v>0</v>
      </c>
      <c r="N43" s="270">
        <v>359564.83</v>
      </c>
    </row>
    <row r="44" spans="1:14">
      <c r="A44" s="276" t="s">
        <v>1030</v>
      </c>
      <c r="B44" s="277" t="s">
        <v>1053</v>
      </c>
      <c r="C44" s="226" t="s">
        <v>756</v>
      </c>
      <c r="D44" s="226" t="s">
        <v>688</v>
      </c>
      <c r="E44" s="226">
        <v>30522428163</v>
      </c>
      <c r="F44" s="270">
        <v>251923.49000000002</v>
      </c>
      <c r="G44" s="270">
        <v>0</v>
      </c>
      <c r="H44" s="226">
        <v>0</v>
      </c>
      <c r="I44" s="226">
        <v>0</v>
      </c>
      <c r="J44" s="226">
        <v>0</v>
      </c>
      <c r="K44" s="226">
        <v>52903.93</v>
      </c>
      <c r="L44" s="226">
        <v>0</v>
      </c>
      <c r="M44" s="270">
        <v>0</v>
      </c>
      <c r="N44" s="270">
        <v>304827.42</v>
      </c>
    </row>
    <row r="45" spans="1:14">
      <c r="A45" s="276" t="s">
        <v>1030</v>
      </c>
      <c r="B45" s="277" t="s">
        <v>1054</v>
      </c>
      <c r="C45" s="226" t="s">
        <v>756</v>
      </c>
      <c r="D45" s="226" t="s">
        <v>688</v>
      </c>
      <c r="E45" s="226">
        <v>30522428163</v>
      </c>
      <c r="F45" s="270">
        <v>208031.6</v>
      </c>
      <c r="G45" s="270">
        <v>0</v>
      </c>
      <c r="H45" s="226">
        <v>0</v>
      </c>
      <c r="I45" s="226">
        <v>0</v>
      </c>
      <c r="J45" s="226">
        <v>0</v>
      </c>
      <c r="K45" s="226">
        <v>43686.64</v>
      </c>
      <c r="L45" s="226">
        <v>0</v>
      </c>
      <c r="M45" s="270">
        <v>0</v>
      </c>
      <c r="N45" s="270">
        <v>251718.24000000002</v>
      </c>
    </row>
    <row r="46" spans="1:14">
      <c r="A46" s="276" t="s">
        <v>1030</v>
      </c>
      <c r="B46" s="277" t="s">
        <v>1055</v>
      </c>
      <c r="C46" s="226" t="s">
        <v>756</v>
      </c>
      <c r="D46" s="226" t="s">
        <v>688</v>
      </c>
      <c r="E46" s="226">
        <v>30522428163</v>
      </c>
      <c r="F46" s="270">
        <v>251923.49000000002</v>
      </c>
      <c r="G46" s="270">
        <v>0</v>
      </c>
      <c r="H46" s="226">
        <v>0</v>
      </c>
      <c r="I46" s="226">
        <v>0</v>
      </c>
      <c r="J46" s="226">
        <v>0</v>
      </c>
      <c r="K46" s="226">
        <v>52903.93</v>
      </c>
      <c r="L46" s="226">
        <v>0</v>
      </c>
      <c r="M46" s="270">
        <v>0</v>
      </c>
      <c r="N46" s="270">
        <v>304827.42</v>
      </c>
    </row>
    <row r="47" spans="1:14">
      <c r="A47" s="276" t="s">
        <v>1030</v>
      </c>
      <c r="B47" s="277" t="s">
        <v>1056</v>
      </c>
      <c r="C47" s="226" t="s">
        <v>756</v>
      </c>
      <c r="D47" s="226" t="s">
        <v>688</v>
      </c>
      <c r="E47" s="226">
        <v>30522428163</v>
      </c>
      <c r="F47" s="270">
        <v>594037.29</v>
      </c>
      <c r="G47" s="270">
        <v>0</v>
      </c>
      <c r="H47" s="226">
        <v>0</v>
      </c>
      <c r="I47" s="226">
        <v>0</v>
      </c>
      <c r="J47" s="226">
        <v>0</v>
      </c>
      <c r="K47" s="226">
        <v>124747.83</v>
      </c>
      <c r="L47" s="226">
        <v>0</v>
      </c>
      <c r="M47" s="270">
        <v>0</v>
      </c>
      <c r="N47" s="270">
        <v>718785.12</v>
      </c>
    </row>
    <row r="48" spans="1:14">
      <c r="A48" s="276" t="s">
        <v>1057</v>
      </c>
      <c r="B48" s="277" t="s">
        <v>1091</v>
      </c>
      <c r="C48" s="226" t="s">
        <v>756</v>
      </c>
      <c r="D48" s="226" t="s">
        <v>688</v>
      </c>
      <c r="E48" s="226">
        <v>30522428163</v>
      </c>
      <c r="F48" s="270">
        <v>1018124.41</v>
      </c>
      <c r="G48" s="270">
        <v>0</v>
      </c>
      <c r="H48" s="226">
        <v>0</v>
      </c>
      <c r="I48" s="226">
        <v>0</v>
      </c>
      <c r="J48" s="226">
        <v>0</v>
      </c>
      <c r="K48" s="226">
        <v>213806.13</v>
      </c>
      <c r="L48" s="226">
        <v>0</v>
      </c>
      <c r="M48" s="270">
        <v>0</v>
      </c>
      <c r="N48" s="270">
        <v>1231930.54</v>
      </c>
    </row>
    <row r="49" spans="1:14">
      <c r="A49" s="276" t="s">
        <v>1057</v>
      </c>
      <c r="B49" s="277" t="s">
        <v>1092</v>
      </c>
      <c r="C49" s="226" t="s">
        <v>756</v>
      </c>
      <c r="D49" s="226" t="s">
        <v>688</v>
      </c>
      <c r="E49" s="226">
        <v>30522428163</v>
      </c>
      <c r="F49" s="270">
        <v>812180.69</v>
      </c>
      <c r="G49" s="270">
        <v>0</v>
      </c>
      <c r="H49" s="226">
        <v>0</v>
      </c>
      <c r="I49" s="226">
        <v>0</v>
      </c>
      <c r="J49" s="226">
        <v>0</v>
      </c>
      <c r="K49" s="226">
        <v>170557.94</v>
      </c>
      <c r="L49" s="226">
        <v>0</v>
      </c>
      <c r="M49" s="270">
        <v>0</v>
      </c>
      <c r="N49" s="270">
        <v>982738.63</v>
      </c>
    </row>
    <row r="50" spans="1:14">
      <c r="A50" s="276" t="s">
        <v>1057</v>
      </c>
      <c r="B50" s="277" t="s">
        <v>1093</v>
      </c>
      <c r="C50" s="226" t="s">
        <v>756</v>
      </c>
      <c r="D50" s="226" t="s">
        <v>688</v>
      </c>
      <c r="E50" s="226">
        <v>30522428163</v>
      </c>
      <c r="F50" s="270">
        <v>690176.65</v>
      </c>
      <c r="G50" s="270">
        <v>0</v>
      </c>
      <c r="H50" s="226">
        <v>0</v>
      </c>
      <c r="I50" s="226">
        <v>0</v>
      </c>
      <c r="J50" s="226">
        <v>0</v>
      </c>
      <c r="K50" s="226">
        <v>144937.1</v>
      </c>
      <c r="L50" s="226">
        <v>0</v>
      </c>
      <c r="M50" s="270">
        <v>0</v>
      </c>
      <c r="N50" s="270">
        <v>835113.75</v>
      </c>
    </row>
    <row r="51" spans="1:14">
      <c r="A51" s="276" t="s">
        <v>1057</v>
      </c>
      <c r="B51" s="277" t="s">
        <v>1094</v>
      </c>
      <c r="C51" s="226" t="s">
        <v>756</v>
      </c>
      <c r="D51" s="226" t="s">
        <v>688</v>
      </c>
      <c r="E51" s="226">
        <v>30522428163</v>
      </c>
      <c r="F51" s="270">
        <v>15261</v>
      </c>
      <c r="G51" s="270">
        <v>0</v>
      </c>
      <c r="H51" s="226">
        <v>0</v>
      </c>
      <c r="I51" s="226">
        <v>0</v>
      </c>
      <c r="J51" s="226">
        <v>0</v>
      </c>
      <c r="K51" s="226">
        <v>3204.81</v>
      </c>
      <c r="L51" s="226">
        <v>0</v>
      </c>
      <c r="M51" s="270">
        <v>0</v>
      </c>
      <c r="N51" s="270">
        <v>18465.810000000001</v>
      </c>
    </row>
    <row r="52" spans="1:14">
      <c r="A52" s="276" t="s">
        <v>1057</v>
      </c>
      <c r="B52" s="277" t="s">
        <v>1095</v>
      </c>
      <c r="C52" s="226" t="s">
        <v>756</v>
      </c>
      <c r="D52" s="226" t="s">
        <v>688</v>
      </c>
      <c r="E52" s="226">
        <v>30522428163</v>
      </c>
      <c r="F52" s="270">
        <v>18312.900000000001</v>
      </c>
      <c r="G52" s="270">
        <v>0</v>
      </c>
      <c r="H52" s="226">
        <v>0</v>
      </c>
      <c r="I52" s="226">
        <v>0</v>
      </c>
      <c r="J52" s="226">
        <v>0</v>
      </c>
      <c r="K52" s="226">
        <v>3845.71</v>
      </c>
      <c r="L52" s="226">
        <v>0</v>
      </c>
      <c r="M52" s="270">
        <v>0</v>
      </c>
      <c r="N52" s="270">
        <v>22158.61</v>
      </c>
    </row>
    <row r="53" spans="1:14">
      <c r="A53" s="276" t="s">
        <v>1057</v>
      </c>
      <c r="B53" s="277" t="s">
        <v>1096</v>
      </c>
      <c r="C53" s="226" t="s">
        <v>756</v>
      </c>
      <c r="D53" s="226" t="s">
        <v>688</v>
      </c>
      <c r="E53" s="226">
        <v>30522428163</v>
      </c>
      <c r="F53" s="270">
        <v>21425.7</v>
      </c>
      <c r="G53" s="270">
        <v>0</v>
      </c>
      <c r="H53" s="226">
        <v>0</v>
      </c>
      <c r="I53" s="226">
        <v>0</v>
      </c>
      <c r="J53" s="226">
        <v>0</v>
      </c>
      <c r="K53" s="226">
        <v>4499.4000000000005</v>
      </c>
      <c r="L53" s="226">
        <v>0</v>
      </c>
      <c r="M53" s="270">
        <v>0</v>
      </c>
      <c r="N53" s="270">
        <v>25925.1</v>
      </c>
    </row>
    <row r="54" spans="1:14">
      <c r="A54" s="276" t="s">
        <v>1057</v>
      </c>
      <c r="B54" s="277" t="s">
        <v>1097</v>
      </c>
      <c r="C54" s="226" t="s">
        <v>756</v>
      </c>
      <c r="D54" s="226" t="s">
        <v>688</v>
      </c>
      <c r="E54" s="226">
        <v>30522428163</v>
      </c>
      <c r="F54" s="270">
        <v>41771.520000000004</v>
      </c>
      <c r="G54" s="270">
        <v>0</v>
      </c>
      <c r="H54" s="226">
        <v>0</v>
      </c>
      <c r="I54" s="226">
        <v>0</v>
      </c>
      <c r="J54" s="226">
        <v>0</v>
      </c>
      <c r="K54" s="226">
        <v>8772.02</v>
      </c>
      <c r="L54" s="226">
        <v>0</v>
      </c>
      <c r="M54" s="270">
        <v>0</v>
      </c>
      <c r="N54" s="270">
        <v>50543.54</v>
      </c>
    </row>
    <row r="55" spans="1:14">
      <c r="A55" s="276" t="s">
        <v>1098</v>
      </c>
      <c r="B55" s="277" t="s">
        <v>1114</v>
      </c>
      <c r="C55" s="226" t="s">
        <v>855</v>
      </c>
      <c r="D55" s="226" t="s">
        <v>688</v>
      </c>
      <c r="E55" s="226">
        <v>30608716390</v>
      </c>
      <c r="F55" s="270">
        <v>11256.2</v>
      </c>
      <c r="G55" s="270">
        <v>0</v>
      </c>
      <c r="H55" s="226">
        <v>0</v>
      </c>
      <c r="I55" s="226">
        <v>0</v>
      </c>
      <c r="J55" s="226">
        <v>0</v>
      </c>
      <c r="K55" s="226">
        <v>2363.8000000000002</v>
      </c>
      <c r="L55" s="226">
        <v>0</v>
      </c>
      <c r="M55" s="270">
        <v>0</v>
      </c>
      <c r="N55" s="270">
        <v>13620</v>
      </c>
    </row>
    <row r="56" spans="1:14">
      <c r="A56" s="276" t="s">
        <v>1098</v>
      </c>
      <c r="B56" s="277" t="s">
        <v>1115</v>
      </c>
      <c r="C56" s="226" t="s">
        <v>855</v>
      </c>
      <c r="D56" s="226" t="s">
        <v>688</v>
      </c>
      <c r="E56" s="226">
        <v>30608716390</v>
      </c>
      <c r="F56" s="270">
        <v>6611.57</v>
      </c>
      <c r="G56" s="270">
        <v>0</v>
      </c>
      <c r="H56" s="226">
        <v>0</v>
      </c>
      <c r="I56" s="226">
        <v>0</v>
      </c>
      <c r="J56" s="226">
        <v>0</v>
      </c>
      <c r="K56" s="226">
        <v>1388.43</v>
      </c>
      <c r="L56" s="226">
        <v>0</v>
      </c>
      <c r="M56" s="270">
        <v>0</v>
      </c>
      <c r="N56" s="270">
        <v>8000</v>
      </c>
    </row>
    <row r="57" spans="1:14">
      <c r="A57" s="276" t="s">
        <v>1098</v>
      </c>
      <c r="B57" s="277" t="s">
        <v>1116</v>
      </c>
      <c r="C57" s="226" t="s">
        <v>855</v>
      </c>
      <c r="D57" s="226" t="s">
        <v>688</v>
      </c>
      <c r="E57" s="226">
        <v>30608716390</v>
      </c>
      <c r="F57" s="270">
        <v>43570.25</v>
      </c>
      <c r="G57" s="270">
        <v>0</v>
      </c>
      <c r="H57" s="226">
        <v>0</v>
      </c>
      <c r="I57" s="226">
        <v>0</v>
      </c>
      <c r="J57" s="226">
        <v>0</v>
      </c>
      <c r="K57" s="226">
        <v>9149.75</v>
      </c>
      <c r="L57" s="226">
        <v>0</v>
      </c>
      <c r="M57" s="270">
        <v>0</v>
      </c>
      <c r="N57" s="270">
        <v>52720</v>
      </c>
    </row>
    <row r="58" spans="1:14">
      <c r="A58" s="276" t="s">
        <v>1098</v>
      </c>
      <c r="B58" s="277" t="s">
        <v>1117</v>
      </c>
      <c r="C58" s="226" t="s">
        <v>855</v>
      </c>
      <c r="D58" s="226" t="s">
        <v>688</v>
      </c>
      <c r="E58" s="226">
        <v>30608716390</v>
      </c>
      <c r="F58" s="270">
        <v>13223.14</v>
      </c>
      <c r="G58" s="270">
        <v>0</v>
      </c>
      <c r="H58" s="226">
        <v>0</v>
      </c>
      <c r="I58" s="226">
        <v>0</v>
      </c>
      <c r="J58" s="226">
        <v>0</v>
      </c>
      <c r="K58" s="226">
        <v>2776.86</v>
      </c>
      <c r="L58" s="226">
        <v>0</v>
      </c>
      <c r="M58" s="270">
        <v>0</v>
      </c>
      <c r="N58" s="270">
        <v>16000</v>
      </c>
    </row>
    <row r="59" spans="1:14">
      <c r="A59" s="276" t="s">
        <v>1098</v>
      </c>
      <c r="B59" s="277" t="s">
        <v>1118</v>
      </c>
      <c r="C59" s="226" t="s">
        <v>855</v>
      </c>
      <c r="D59" s="226" t="s">
        <v>688</v>
      </c>
      <c r="E59" s="226">
        <v>30608716390</v>
      </c>
      <c r="F59" s="270">
        <v>32314.05</v>
      </c>
      <c r="G59" s="270">
        <v>0</v>
      </c>
      <c r="H59" s="226">
        <v>0</v>
      </c>
      <c r="I59" s="226">
        <v>0</v>
      </c>
      <c r="J59" s="226">
        <v>0</v>
      </c>
      <c r="K59" s="226">
        <v>6785.95</v>
      </c>
      <c r="L59" s="226">
        <v>0</v>
      </c>
      <c r="M59" s="270">
        <v>0</v>
      </c>
      <c r="N59" s="270">
        <v>39100</v>
      </c>
    </row>
    <row r="60" spans="1:14">
      <c r="A60" s="276" t="s">
        <v>1098</v>
      </c>
      <c r="B60" s="277" t="s">
        <v>1119</v>
      </c>
      <c r="C60" s="226" t="s">
        <v>694</v>
      </c>
      <c r="D60" s="226" t="s">
        <v>688</v>
      </c>
      <c r="E60" s="226">
        <v>30546771314</v>
      </c>
      <c r="F60" s="270">
        <v>98578.52</v>
      </c>
      <c r="G60" s="270">
        <v>0</v>
      </c>
      <c r="H60" s="226">
        <v>0</v>
      </c>
      <c r="I60" s="226">
        <v>0</v>
      </c>
      <c r="J60" s="226">
        <v>0</v>
      </c>
      <c r="K60" s="226">
        <v>20701.490000000002</v>
      </c>
      <c r="L60" s="226">
        <v>0</v>
      </c>
      <c r="M60" s="270">
        <v>0</v>
      </c>
      <c r="N60" s="270">
        <v>119280.01</v>
      </c>
    </row>
    <row r="61" spans="1:14">
      <c r="A61" s="276" t="s">
        <v>1098</v>
      </c>
      <c r="B61" s="277" t="s">
        <v>1120</v>
      </c>
      <c r="C61" s="226" t="s">
        <v>761</v>
      </c>
      <c r="D61" s="226" t="s">
        <v>688</v>
      </c>
      <c r="E61" s="226">
        <v>30604958640</v>
      </c>
      <c r="F61" s="270">
        <v>369747.65</v>
      </c>
      <c r="G61" s="270">
        <v>0</v>
      </c>
      <c r="H61" s="226">
        <v>0</v>
      </c>
      <c r="I61" s="226">
        <v>0</v>
      </c>
      <c r="J61" s="226">
        <v>0</v>
      </c>
      <c r="K61" s="226">
        <v>77647.009999999995</v>
      </c>
      <c r="L61" s="226">
        <v>0</v>
      </c>
      <c r="M61" s="270">
        <v>0</v>
      </c>
      <c r="N61" s="270">
        <v>447394.66</v>
      </c>
    </row>
    <row r="62" spans="1:14">
      <c r="A62" s="276" t="s">
        <v>1123</v>
      </c>
      <c r="B62" s="277" t="s">
        <v>1135</v>
      </c>
      <c r="C62" s="226" t="s">
        <v>694</v>
      </c>
      <c r="D62" s="226" t="s">
        <v>688</v>
      </c>
      <c r="E62" s="226">
        <v>30546771314</v>
      </c>
      <c r="F62" s="270">
        <v>61983.48</v>
      </c>
      <c r="G62" s="270">
        <v>0</v>
      </c>
      <c r="H62" s="226">
        <v>0</v>
      </c>
      <c r="I62" s="226">
        <v>0</v>
      </c>
      <c r="J62" s="226">
        <v>0</v>
      </c>
      <c r="K62" s="226">
        <v>13016.53</v>
      </c>
      <c r="L62" s="226">
        <v>0</v>
      </c>
      <c r="M62" s="270">
        <v>0</v>
      </c>
      <c r="N62" s="270">
        <v>75000.009999999995</v>
      </c>
    </row>
    <row r="63" spans="1:14">
      <c r="A63" s="276" t="s">
        <v>1123</v>
      </c>
      <c r="B63" s="277" t="s">
        <v>1136</v>
      </c>
      <c r="C63" s="226" t="s">
        <v>831</v>
      </c>
      <c r="D63" s="226" t="s">
        <v>688</v>
      </c>
      <c r="E63" s="226">
        <v>30683032227</v>
      </c>
      <c r="F63" s="270">
        <v>410413.22</v>
      </c>
      <c r="G63" s="270">
        <v>0</v>
      </c>
      <c r="H63" s="226">
        <v>0</v>
      </c>
      <c r="I63" s="226">
        <v>0</v>
      </c>
      <c r="J63" s="226">
        <v>0</v>
      </c>
      <c r="K63" s="226">
        <v>86186.78</v>
      </c>
      <c r="L63" s="226">
        <v>0</v>
      </c>
      <c r="M63" s="270">
        <v>0</v>
      </c>
      <c r="N63" s="270">
        <v>496600</v>
      </c>
    </row>
    <row r="64" spans="1:14">
      <c r="A64" s="276" t="s">
        <v>1123</v>
      </c>
      <c r="B64" s="277" t="s">
        <v>1137</v>
      </c>
      <c r="C64" s="226" t="s">
        <v>831</v>
      </c>
      <c r="D64" s="226" t="s">
        <v>688</v>
      </c>
      <c r="E64" s="226">
        <v>30683032227</v>
      </c>
      <c r="F64" s="270">
        <v>105785.12</v>
      </c>
      <c r="G64" s="270">
        <v>0</v>
      </c>
      <c r="H64" s="226">
        <v>0</v>
      </c>
      <c r="I64" s="226">
        <v>0</v>
      </c>
      <c r="J64" s="226">
        <v>0</v>
      </c>
      <c r="K64" s="226">
        <v>22214.880000000001</v>
      </c>
      <c r="L64" s="226">
        <v>0</v>
      </c>
      <c r="M64" s="270">
        <v>0</v>
      </c>
      <c r="N64" s="270">
        <v>128000</v>
      </c>
    </row>
    <row r="65" spans="1:14">
      <c r="A65" s="276" t="s">
        <v>1123</v>
      </c>
      <c r="B65" s="277" t="s">
        <v>1138</v>
      </c>
      <c r="C65" s="226" t="s">
        <v>761</v>
      </c>
      <c r="D65" s="226" t="s">
        <v>688</v>
      </c>
      <c r="E65" s="226">
        <v>30604958640</v>
      </c>
      <c r="F65" s="270">
        <v>400000</v>
      </c>
      <c r="G65" s="270">
        <v>0</v>
      </c>
      <c r="H65" s="226">
        <v>0</v>
      </c>
      <c r="I65" s="226">
        <v>0</v>
      </c>
      <c r="J65" s="226">
        <v>0</v>
      </c>
      <c r="K65" s="226">
        <v>84000</v>
      </c>
      <c r="L65" s="226">
        <v>0</v>
      </c>
      <c r="M65" s="270">
        <v>0</v>
      </c>
      <c r="N65" s="270">
        <v>484000</v>
      </c>
    </row>
    <row r="66" spans="1:14">
      <c r="A66" s="276" t="s">
        <v>653</v>
      </c>
      <c r="B66" s="277" t="s">
        <v>658</v>
      </c>
      <c r="C66" s="226" t="s">
        <v>655</v>
      </c>
      <c r="D66" s="226" t="s">
        <v>656</v>
      </c>
      <c r="E66" s="226" t="s">
        <v>657</v>
      </c>
      <c r="F66" s="270">
        <v>10743.8</v>
      </c>
      <c r="G66" s="270">
        <v>0</v>
      </c>
      <c r="H66" s="226">
        <v>0</v>
      </c>
      <c r="I66" s="226">
        <v>0</v>
      </c>
      <c r="J66" s="226">
        <v>0</v>
      </c>
      <c r="K66" s="226">
        <v>2256.2000000000003</v>
      </c>
      <c r="L66" s="226">
        <v>0</v>
      </c>
      <c r="M66" s="270">
        <v>0</v>
      </c>
      <c r="N66" s="270">
        <v>13000</v>
      </c>
    </row>
    <row r="67" spans="1:14">
      <c r="A67" s="276" t="s">
        <v>653</v>
      </c>
      <c r="B67" s="277" t="s">
        <v>659</v>
      </c>
      <c r="C67" s="226" t="s">
        <v>655</v>
      </c>
      <c r="D67" s="226" t="s">
        <v>656</v>
      </c>
      <c r="E67" s="226" t="s">
        <v>657</v>
      </c>
      <c r="F67" s="270">
        <v>10743.8</v>
      </c>
      <c r="G67" s="270">
        <v>0</v>
      </c>
      <c r="H67" s="226">
        <v>0</v>
      </c>
      <c r="I67" s="226">
        <v>0</v>
      </c>
      <c r="J67" s="226">
        <v>0</v>
      </c>
      <c r="K67" s="226">
        <v>2256.2000000000003</v>
      </c>
      <c r="L67" s="226">
        <v>0</v>
      </c>
      <c r="M67" s="270">
        <v>0</v>
      </c>
      <c r="N67" s="270">
        <v>13000</v>
      </c>
    </row>
    <row r="68" spans="1:14">
      <c r="A68" s="276" t="s">
        <v>653</v>
      </c>
      <c r="B68" s="277" t="s">
        <v>660</v>
      </c>
      <c r="C68" s="226" t="s">
        <v>655</v>
      </c>
      <c r="D68" s="226" t="s">
        <v>656</v>
      </c>
      <c r="E68" s="226" t="s">
        <v>657</v>
      </c>
      <c r="F68" s="270">
        <v>14462.81</v>
      </c>
      <c r="G68" s="270">
        <v>0</v>
      </c>
      <c r="H68" s="226">
        <v>0</v>
      </c>
      <c r="I68" s="226">
        <v>0</v>
      </c>
      <c r="J68" s="226">
        <v>0</v>
      </c>
      <c r="K68" s="226">
        <v>3037.19</v>
      </c>
      <c r="L68" s="226">
        <v>0</v>
      </c>
      <c r="M68" s="270">
        <v>0</v>
      </c>
      <c r="N68" s="270">
        <v>17500</v>
      </c>
    </row>
    <row r="69" spans="1:14">
      <c r="A69" s="276" t="s">
        <v>653</v>
      </c>
      <c r="B69" s="277" t="s">
        <v>661</v>
      </c>
      <c r="C69" s="226" t="s">
        <v>662</v>
      </c>
      <c r="D69" s="226" t="s">
        <v>656</v>
      </c>
      <c r="E69" s="226">
        <v>8286597</v>
      </c>
      <c r="F69" s="270">
        <v>14462.81</v>
      </c>
      <c r="G69" s="270">
        <v>0</v>
      </c>
      <c r="H69" s="226">
        <v>0</v>
      </c>
      <c r="I69" s="226">
        <v>0</v>
      </c>
      <c r="J69" s="226">
        <v>0</v>
      </c>
      <c r="K69" s="226">
        <v>3037.19</v>
      </c>
      <c r="L69" s="226">
        <v>0</v>
      </c>
      <c r="M69" s="270">
        <v>0</v>
      </c>
      <c r="N69" s="270">
        <v>17500</v>
      </c>
    </row>
    <row r="70" spans="1:14">
      <c r="A70" s="276" t="s">
        <v>653</v>
      </c>
      <c r="B70" s="277" t="s">
        <v>663</v>
      </c>
      <c r="C70" s="226" t="s">
        <v>655</v>
      </c>
      <c r="D70" s="226" t="s">
        <v>656</v>
      </c>
      <c r="E70" s="226" t="s">
        <v>657</v>
      </c>
      <c r="F70" s="270">
        <v>21487.599999999999</v>
      </c>
      <c r="G70" s="270">
        <v>0</v>
      </c>
      <c r="H70" s="226">
        <v>0</v>
      </c>
      <c r="I70" s="226">
        <v>0</v>
      </c>
      <c r="J70" s="226">
        <v>0</v>
      </c>
      <c r="K70" s="226">
        <v>4512.4000000000005</v>
      </c>
      <c r="L70" s="226">
        <v>0</v>
      </c>
      <c r="M70" s="270">
        <v>0</v>
      </c>
      <c r="N70" s="270">
        <v>26000</v>
      </c>
    </row>
    <row r="71" spans="1:14">
      <c r="A71" s="276" t="s">
        <v>653</v>
      </c>
      <c r="B71" s="277" t="s">
        <v>664</v>
      </c>
      <c r="C71" s="226" t="s">
        <v>655</v>
      </c>
      <c r="D71" s="226" t="s">
        <v>656</v>
      </c>
      <c r="E71" s="226" t="s">
        <v>657</v>
      </c>
      <c r="F71" s="270">
        <v>4628.1000000000004</v>
      </c>
      <c r="G71" s="270">
        <v>0</v>
      </c>
      <c r="H71" s="226">
        <v>0</v>
      </c>
      <c r="I71" s="226">
        <v>0</v>
      </c>
      <c r="J71" s="226">
        <v>0</v>
      </c>
      <c r="K71" s="226">
        <v>971.9</v>
      </c>
      <c r="L71" s="226">
        <v>0</v>
      </c>
      <c r="M71" s="270">
        <v>0</v>
      </c>
      <c r="N71" s="270">
        <v>5600</v>
      </c>
    </row>
    <row r="72" spans="1:14">
      <c r="A72" s="276" t="s">
        <v>653</v>
      </c>
      <c r="B72" s="277" t="s">
        <v>665</v>
      </c>
      <c r="C72" s="226" t="s">
        <v>655</v>
      </c>
      <c r="D72" s="226" t="s">
        <v>656</v>
      </c>
      <c r="E72" s="226" t="s">
        <v>657</v>
      </c>
      <c r="F72" s="270">
        <v>14876.03</v>
      </c>
      <c r="G72" s="270">
        <v>0</v>
      </c>
      <c r="H72" s="226">
        <v>0</v>
      </c>
      <c r="I72" s="226">
        <v>0</v>
      </c>
      <c r="J72" s="226">
        <v>0</v>
      </c>
      <c r="K72" s="226">
        <v>3123.97</v>
      </c>
      <c r="L72" s="226">
        <v>0</v>
      </c>
      <c r="M72" s="270">
        <v>0</v>
      </c>
      <c r="N72" s="270">
        <v>18000</v>
      </c>
    </row>
    <row r="73" spans="1:14">
      <c r="A73" s="276" t="s">
        <v>653</v>
      </c>
      <c r="B73" s="277" t="s">
        <v>666</v>
      </c>
      <c r="C73" s="226" t="s">
        <v>655</v>
      </c>
      <c r="D73" s="226" t="s">
        <v>656</v>
      </c>
      <c r="E73" s="226" t="s">
        <v>657</v>
      </c>
      <c r="F73" s="270">
        <v>13636.36</v>
      </c>
      <c r="G73" s="270">
        <v>0</v>
      </c>
      <c r="H73" s="226">
        <v>0</v>
      </c>
      <c r="I73" s="226">
        <v>0</v>
      </c>
      <c r="J73" s="226">
        <v>0</v>
      </c>
      <c r="K73" s="226">
        <v>2863.64</v>
      </c>
      <c r="L73" s="226">
        <v>0</v>
      </c>
      <c r="M73" s="270">
        <v>0</v>
      </c>
      <c r="N73" s="270">
        <v>16500</v>
      </c>
    </row>
    <row r="74" spans="1:14">
      <c r="A74" s="276" t="s">
        <v>653</v>
      </c>
      <c r="B74" s="277" t="s">
        <v>667</v>
      </c>
      <c r="C74" s="226" t="s">
        <v>668</v>
      </c>
      <c r="D74" s="226" t="s">
        <v>656</v>
      </c>
      <c r="E74" s="226">
        <v>25966714</v>
      </c>
      <c r="F74" s="270">
        <v>29338.84</v>
      </c>
      <c r="G74" s="270">
        <v>0</v>
      </c>
      <c r="H74" s="226">
        <v>0</v>
      </c>
      <c r="I74" s="226">
        <v>0</v>
      </c>
      <c r="J74" s="226">
        <v>0</v>
      </c>
      <c r="K74" s="226">
        <v>6161.16</v>
      </c>
      <c r="L74" s="226">
        <v>0</v>
      </c>
      <c r="M74" s="270">
        <v>0</v>
      </c>
      <c r="N74" s="270">
        <v>35500</v>
      </c>
    </row>
    <row r="75" spans="1:14">
      <c r="A75" s="276" t="s">
        <v>653</v>
      </c>
      <c r="B75" s="277" t="s">
        <v>669</v>
      </c>
      <c r="C75" s="226" t="s">
        <v>655</v>
      </c>
      <c r="D75" s="226" t="s">
        <v>656</v>
      </c>
      <c r="E75" s="226" t="s">
        <v>657</v>
      </c>
      <c r="F75" s="270">
        <v>14669.42</v>
      </c>
      <c r="G75" s="270">
        <v>0</v>
      </c>
      <c r="H75" s="226">
        <v>0</v>
      </c>
      <c r="I75" s="226">
        <v>0</v>
      </c>
      <c r="J75" s="226">
        <v>0</v>
      </c>
      <c r="K75" s="226">
        <v>3080.58</v>
      </c>
      <c r="L75" s="226">
        <v>0</v>
      </c>
      <c r="M75" s="270">
        <v>0</v>
      </c>
      <c r="N75" s="270">
        <v>17750</v>
      </c>
    </row>
    <row r="76" spans="1:14">
      <c r="A76" s="276" t="s">
        <v>653</v>
      </c>
      <c r="B76" s="277" t="s">
        <v>670</v>
      </c>
      <c r="C76" s="226" t="s">
        <v>655</v>
      </c>
      <c r="D76" s="226" t="s">
        <v>656</v>
      </c>
      <c r="E76" s="226" t="s">
        <v>657</v>
      </c>
      <c r="F76" s="270">
        <v>10743.8</v>
      </c>
      <c r="G76" s="270">
        <v>0</v>
      </c>
      <c r="H76" s="226">
        <v>0</v>
      </c>
      <c r="I76" s="226">
        <v>0</v>
      </c>
      <c r="J76" s="226">
        <v>0</v>
      </c>
      <c r="K76" s="226">
        <v>2256.2000000000003</v>
      </c>
      <c r="L76" s="226">
        <v>0</v>
      </c>
      <c r="M76" s="270">
        <v>0</v>
      </c>
      <c r="N76" s="270">
        <v>13000</v>
      </c>
    </row>
    <row r="77" spans="1:14">
      <c r="A77" s="276" t="s">
        <v>653</v>
      </c>
      <c r="B77" s="277" t="s">
        <v>671</v>
      </c>
      <c r="C77" s="226" t="s">
        <v>655</v>
      </c>
      <c r="D77" s="226" t="s">
        <v>656</v>
      </c>
      <c r="E77" s="226" t="s">
        <v>657</v>
      </c>
      <c r="F77" s="270">
        <v>19669.420000000002</v>
      </c>
      <c r="G77" s="270">
        <v>0</v>
      </c>
      <c r="H77" s="226">
        <v>0</v>
      </c>
      <c r="I77" s="226">
        <v>0</v>
      </c>
      <c r="J77" s="226">
        <v>0</v>
      </c>
      <c r="K77" s="226">
        <v>4130.58</v>
      </c>
      <c r="L77" s="226">
        <v>0</v>
      </c>
      <c r="M77" s="270">
        <v>0</v>
      </c>
      <c r="N77" s="270">
        <v>23800</v>
      </c>
    </row>
    <row r="78" spans="1:14">
      <c r="A78" s="276" t="s">
        <v>653</v>
      </c>
      <c r="B78" s="277" t="s">
        <v>672</v>
      </c>
      <c r="C78" s="226" t="s">
        <v>655</v>
      </c>
      <c r="D78" s="226" t="s">
        <v>656</v>
      </c>
      <c r="E78" s="226" t="s">
        <v>657</v>
      </c>
      <c r="F78" s="270">
        <v>14049.59</v>
      </c>
      <c r="G78" s="270">
        <v>0</v>
      </c>
      <c r="H78" s="226">
        <v>0</v>
      </c>
      <c r="I78" s="226">
        <v>0</v>
      </c>
      <c r="J78" s="226">
        <v>0</v>
      </c>
      <c r="K78" s="226">
        <v>2950.41</v>
      </c>
      <c r="L78" s="226">
        <v>0</v>
      </c>
      <c r="M78" s="270">
        <v>0</v>
      </c>
      <c r="N78" s="270">
        <v>17000</v>
      </c>
    </row>
    <row r="79" spans="1:14">
      <c r="A79" s="276" t="s">
        <v>653</v>
      </c>
      <c r="B79" s="277" t="s">
        <v>673</v>
      </c>
      <c r="C79" s="226" t="s">
        <v>655</v>
      </c>
      <c r="D79" s="226" t="s">
        <v>656</v>
      </c>
      <c r="E79" s="226" t="s">
        <v>657</v>
      </c>
      <c r="F79" s="270">
        <v>38925.620000000003</v>
      </c>
      <c r="G79" s="270">
        <v>0</v>
      </c>
      <c r="H79" s="226">
        <v>0</v>
      </c>
      <c r="I79" s="226">
        <v>0</v>
      </c>
      <c r="J79" s="226">
        <v>0</v>
      </c>
      <c r="K79" s="226">
        <v>8174.38</v>
      </c>
      <c r="L79" s="226">
        <v>0</v>
      </c>
      <c r="M79" s="270">
        <v>0</v>
      </c>
      <c r="N79" s="270">
        <v>47100</v>
      </c>
    </row>
    <row r="80" spans="1:14">
      <c r="A80" s="276" t="s">
        <v>653</v>
      </c>
      <c r="B80" s="277" t="s">
        <v>674</v>
      </c>
      <c r="C80" s="226" t="s">
        <v>655</v>
      </c>
      <c r="D80" s="226" t="s">
        <v>656</v>
      </c>
      <c r="E80" s="226" t="s">
        <v>657</v>
      </c>
      <c r="F80" s="270">
        <v>13223.14</v>
      </c>
      <c r="G80" s="270">
        <v>0</v>
      </c>
      <c r="H80" s="226">
        <v>0</v>
      </c>
      <c r="I80" s="226">
        <v>0</v>
      </c>
      <c r="J80" s="226">
        <v>0</v>
      </c>
      <c r="K80" s="226">
        <v>2776.86</v>
      </c>
      <c r="L80" s="226">
        <v>0</v>
      </c>
      <c r="M80" s="270">
        <v>0</v>
      </c>
      <c r="N80" s="270">
        <v>16000</v>
      </c>
    </row>
    <row r="81" spans="1:14">
      <c r="A81" s="276" t="s">
        <v>676</v>
      </c>
      <c r="B81" s="277" t="s">
        <v>677</v>
      </c>
      <c r="C81" s="226" t="s">
        <v>655</v>
      </c>
      <c r="D81" s="226" t="s">
        <v>656</v>
      </c>
      <c r="E81" s="226" t="s">
        <v>657</v>
      </c>
      <c r="F81" s="270">
        <v>19090.91</v>
      </c>
      <c r="G81" s="270">
        <v>0</v>
      </c>
      <c r="H81" s="226">
        <v>0</v>
      </c>
      <c r="I81" s="226">
        <v>0</v>
      </c>
      <c r="J81" s="226">
        <v>0</v>
      </c>
      <c r="K81" s="226">
        <v>4009.09</v>
      </c>
      <c r="L81" s="226">
        <v>0</v>
      </c>
      <c r="M81" s="270">
        <v>0</v>
      </c>
      <c r="N81" s="270">
        <v>23100</v>
      </c>
    </row>
    <row r="82" spans="1:14">
      <c r="A82" s="276" t="s">
        <v>676</v>
      </c>
      <c r="B82" s="277" t="s">
        <v>678</v>
      </c>
      <c r="C82" s="226" t="s">
        <v>655</v>
      </c>
      <c r="D82" s="226" t="s">
        <v>656</v>
      </c>
      <c r="E82" s="226" t="s">
        <v>657</v>
      </c>
      <c r="F82" s="270">
        <v>24628.1</v>
      </c>
      <c r="G82" s="270">
        <v>0</v>
      </c>
      <c r="H82" s="226">
        <v>0</v>
      </c>
      <c r="I82" s="226">
        <v>0</v>
      </c>
      <c r="J82" s="226">
        <v>0</v>
      </c>
      <c r="K82" s="226">
        <v>5171.9000000000005</v>
      </c>
      <c r="L82" s="226">
        <v>0</v>
      </c>
      <c r="M82" s="270">
        <v>0</v>
      </c>
      <c r="N82" s="270">
        <v>29800</v>
      </c>
    </row>
    <row r="83" spans="1:14">
      <c r="A83" s="276" t="s">
        <v>676</v>
      </c>
      <c r="B83" s="277" t="s">
        <v>679</v>
      </c>
      <c r="C83" s="226" t="s">
        <v>655</v>
      </c>
      <c r="D83" s="226" t="s">
        <v>656</v>
      </c>
      <c r="E83" s="226" t="s">
        <v>657</v>
      </c>
      <c r="F83" s="270">
        <v>21074.38</v>
      </c>
      <c r="G83" s="270">
        <v>0</v>
      </c>
      <c r="H83" s="226">
        <v>0</v>
      </c>
      <c r="I83" s="226">
        <v>0</v>
      </c>
      <c r="J83" s="226">
        <v>0</v>
      </c>
      <c r="K83" s="226">
        <v>4425.62</v>
      </c>
      <c r="L83" s="226">
        <v>0</v>
      </c>
      <c r="M83" s="270">
        <v>0</v>
      </c>
      <c r="N83" s="270">
        <v>25500</v>
      </c>
    </row>
    <row r="84" spans="1:14">
      <c r="A84" s="276" t="s">
        <v>676</v>
      </c>
      <c r="B84" s="277" t="s">
        <v>680</v>
      </c>
      <c r="C84" s="226" t="s">
        <v>655</v>
      </c>
      <c r="D84" s="226" t="s">
        <v>656</v>
      </c>
      <c r="E84" s="226" t="s">
        <v>657</v>
      </c>
      <c r="F84" s="270">
        <v>21487.599999999999</v>
      </c>
      <c r="G84" s="270">
        <v>0</v>
      </c>
      <c r="H84" s="226">
        <v>0</v>
      </c>
      <c r="I84" s="226">
        <v>0</v>
      </c>
      <c r="J84" s="226">
        <v>0</v>
      </c>
      <c r="K84" s="226">
        <v>4512.4000000000005</v>
      </c>
      <c r="L84" s="226">
        <v>0</v>
      </c>
      <c r="M84" s="270">
        <v>0</v>
      </c>
      <c r="N84" s="270">
        <v>26000</v>
      </c>
    </row>
    <row r="85" spans="1:14">
      <c r="A85" s="276" t="s">
        <v>676</v>
      </c>
      <c r="B85" s="277" t="s">
        <v>681</v>
      </c>
      <c r="C85" s="226" t="s">
        <v>655</v>
      </c>
      <c r="D85" s="226" t="s">
        <v>656</v>
      </c>
      <c r="E85" s="226" t="s">
        <v>657</v>
      </c>
      <c r="F85" s="270">
        <v>68925.62</v>
      </c>
      <c r="G85" s="270">
        <v>0</v>
      </c>
      <c r="H85" s="226">
        <v>0</v>
      </c>
      <c r="I85" s="226">
        <v>0</v>
      </c>
      <c r="J85" s="226">
        <v>0</v>
      </c>
      <c r="K85" s="226">
        <v>14474.38</v>
      </c>
      <c r="L85" s="226">
        <v>0</v>
      </c>
      <c r="M85" s="270">
        <v>0</v>
      </c>
      <c r="N85" s="270">
        <v>83400</v>
      </c>
    </row>
    <row r="86" spans="1:14">
      <c r="A86" s="276" t="s">
        <v>676</v>
      </c>
      <c r="B86" s="277" t="s">
        <v>682</v>
      </c>
      <c r="C86" s="226" t="s">
        <v>655</v>
      </c>
      <c r="D86" s="226" t="s">
        <v>656</v>
      </c>
      <c r="E86" s="226" t="s">
        <v>657</v>
      </c>
      <c r="F86" s="270">
        <v>16528.93</v>
      </c>
      <c r="G86" s="270">
        <v>0</v>
      </c>
      <c r="H86" s="226">
        <v>0</v>
      </c>
      <c r="I86" s="226">
        <v>0</v>
      </c>
      <c r="J86" s="226">
        <v>0</v>
      </c>
      <c r="K86" s="226">
        <v>3471.07</v>
      </c>
      <c r="L86" s="226">
        <v>0</v>
      </c>
      <c r="M86" s="270">
        <v>0</v>
      </c>
      <c r="N86" s="270">
        <v>20000</v>
      </c>
    </row>
    <row r="87" spans="1:14">
      <c r="A87" s="276" t="s">
        <v>676</v>
      </c>
      <c r="B87" s="277" t="s">
        <v>683</v>
      </c>
      <c r="C87" s="226" t="s">
        <v>655</v>
      </c>
      <c r="D87" s="226" t="s">
        <v>656</v>
      </c>
      <c r="E87" s="226" t="s">
        <v>657</v>
      </c>
      <c r="F87" s="270">
        <v>10743.8</v>
      </c>
      <c r="G87" s="270">
        <v>0</v>
      </c>
      <c r="H87" s="226">
        <v>0</v>
      </c>
      <c r="I87" s="226">
        <v>0</v>
      </c>
      <c r="J87" s="226">
        <v>0</v>
      </c>
      <c r="K87" s="226">
        <v>2256.2000000000003</v>
      </c>
      <c r="L87" s="226">
        <v>0</v>
      </c>
      <c r="M87" s="270">
        <v>0</v>
      </c>
      <c r="N87" s="270">
        <v>13000</v>
      </c>
    </row>
    <row r="88" spans="1:14">
      <c r="A88" s="276" t="s">
        <v>676</v>
      </c>
      <c r="B88" s="277" t="s">
        <v>684</v>
      </c>
      <c r="C88" s="226" t="s">
        <v>655</v>
      </c>
      <c r="D88" s="226" t="s">
        <v>656</v>
      </c>
      <c r="E88" s="226" t="s">
        <v>657</v>
      </c>
      <c r="F88" s="270">
        <v>10743.8</v>
      </c>
      <c r="G88" s="270">
        <v>0</v>
      </c>
      <c r="H88" s="226">
        <v>0</v>
      </c>
      <c r="I88" s="226">
        <v>0</v>
      </c>
      <c r="J88" s="226">
        <v>0</v>
      </c>
      <c r="K88" s="226">
        <v>2256.2000000000003</v>
      </c>
      <c r="L88" s="226">
        <v>0</v>
      </c>
      <c r="M88" s="270">
        <v>0</v>
      </c>
      <c r="N88" s="270">
        <v>13000</v>
      </c>
    </row>
    <row r="89" spans="1:14">
      <c r="A89" s="276" t="s">
        <v>676</v>
      </c>
      <c r="B89" s="277" t="s">
        <v>685</v>
      </c>
      <c r="C89" s="226" t="s">
        <v>655</v>
      </c>
      <c r="D89" s="226" t="s">
        <v>656</v>
      </c>
      <c r="E89" s="226" t="s">
        <v>657</v>
      </c>
      <c r="F89" s="270">
        <v>53719.01</v>
      </c>
      <c r="G89" s="270">
        <v>0</v>
      </c>
      <c r="H89" s="226">
        <v>0</v>
      </c>
      <c r="I89" s="226">
        <v>0</v>
      </c>
      <c r="J89" s="226">
        <v>0</v>
      </c>
      <c r="K89" s="226">
        <v>11280.99</v>
      </c>
      <c r="L89" s="226">
        <v>0</v>
      </c>
      <c r="M89" s="270">
        <v>0</v>
      </c>
      <c r="N89" s="270">
        <v>65000</v>
      </c>
    </row>
    <row r="90" spans="1:14">
      <c r="A90" s="276" t="s">
        <v>703</v>
      </c>
      <c r="B90" s="277" t="s">
        <v>704</v>
      </c>
      <c r="C90" s="226" t="s">
        <v>655</v>
      </c>
      <c r="D90" s="226" t="s">
        <v>656</v>
      </c>
      <c r="E90" s="226" t="s">
        <v>657</v>
      </c>
      <c r="F90" s="270">
        <v>11487.6</v>
      </c>
      <c r="G90" s="270">
        <v>0</v>
      </c>
      <c r="H90" s="226">
        <v>0</v>
      </c>
      <c r="I90" s="226">
        <v>0</v>
      </c>
      <c r="J90" s="226">
        <v>0</v>
      </c>
      <c r="K90" s="226">
        <v>2412.4</v>
      </c>
      <c r="L90" s="226">
        <v>0</v>
      </c>
      <c r="M90" s="270">
        <v>0</v>
      </c>
      <c r="N90" s="270">
        <v>13900</v>
      </c>
    </row>
    <row r="91" spans="1:14">
      <c r="A91" s="276" t="s">
        <v>703</v>
      </c>
      <c r="B91" s="277" t="s">
        <v>705</v>
      </c>
      <c r="C91" s="226" t="s">
        <v>655</v>
      </c>
      <c r="D91" s="226" t="s">
        <v>656</v>
      </c>
      <c r="E91" s="226" t="s">
        <v>657</v>
      </c>
      <c r="F91" s="270">
        <v>11487.6</v>
      </c>
      <c r="G91" s="270">
        <v>0</v>
      </c>
      <c r="H91" s="226">
        <v>0</v>
      </c>
      <c r="I91" s="226">
        <v>0</v>
      </c>
      <c r="J91" s="226">
        <v>0</v>
      </c>
      <c r="K91" s="226">
        <v>2412.4</v>
      </c>
      <c r="L91" s="226">
        <v>0</v>
      </c>
      <c r="M91" s="270">
        <v>0</v>
      </c>
      <c r="N91" s="270">
        <v>13900</v>
      </c>
    </row>
    <row r="92" spans="1:14">
      <c r="A92" s="276" t="s">
        <v>703</v>
      </c>
      <c r="B92" s="277" t="s">
        <v>706</v>
      </c>
      <c r="C92" s="226" t="s">
        <v>655</v>
      </c>
      <c r="D92" s="226" t="s">
        <v>656</v>
      </c>
      <c r="E92" s="226" t="s">
        <v>657</v>
      </c>
      <c r="F92" s="270">
        <v>22066.12</v>
      </c>
      <c r="G92" s="270">
        <v>0</v>
      </c>
      <c r="H92" s="226">
        <v>0</v>
      </c>
      <c r="I92" s="226">
        <v>0</v>
      </c>
      <c r="J92" s="226">
        <v>0</v>
      </c>
      <c r="K92" s="226">
        <v>4633.88</v>
      </c>
      <c r="L92" s="226">
        <v>0</v>
      </c>
      <c r="M92" s="270">
        <v>0</v>
      </c>
      <c r="N92" s="270">
        <v>26700</v>
      </c>
    </row>
    <row r="93" spans="1:14">
      <c r="A93" s="276" t="s">
        <v>703</v>
      </c>
      <c r="B93" s="277" t="s">
        <v>707</v>
      </c>
      <c r="C93" s="226" t="s">
        <v>655</v>
      </c>
      <c r="D93" s="226" t="s">
        <v>656</v>
      </c>
      <c r="E93" s="226" t="s">
        <v>657</v>
      </c>
      <c r="F93" s="270">
        <v>10743.8</v>
      </c>
      <c r="G93" s="270">
        <v>0</v>
      </c>
      <c r="H93" s="226">
        <v>0</v>
      </c>
      <c r="I93" s="226">
        <v>0</v>
      </c>
      <c r="J93" s="226">
        <v>0</v>
      </c>
      <c r="K93" s="226">
        <v>2256.2000000000003</v>
      </c>
      <c r="L93" s="226">
        <v>0</v>
      </c>
      <c r="M93" s="270">
        <v>0</v>
      </c>
      <c r="N93" s="270">
        <v>13000</v>
      </c>
    </row>
    <row r="94" spans="1:14">
      <c r="A94" s="276" t="s">
        <v>703</v>
      </c>
      <c r="B94" s="277" t="s">
        <v>708</v>
      </c>
      <c r="C94" s="226" t="s">
        <v>655</v>
      </c>
      <c r="D94" s="226" t="s">
        <v>656</v>
      </c>
      <c r="E94" s="226" t="s">
        <v>657</v>
      </c>
      <c r="F94" s="270">
        <v>8264.4600000000009</v>
      </c>
      <c r="G94" s="270">
        <v>0</v>
      </c>
      <c r="H94" s="226">
        <v>0</v>
      </c>
      <c r="I94" s="226">
        <v>0</v>
      </c>
      <c r="J94" s="226">
        <v>0</v>
      </c>
      <c r="K94" s="226">
        <v>1735.54</v>
      </c>
      <c r="L94" s="226">
        <v>0</v>
      </c>
      <c r="M94" s="270">
        <v>0</v>
      </c>
      <c r="N94" s="270">
        <v>10000</v>
      </c>
    </row>
    <row r="95" spans="1:14">
      <c r="A95" s="276" t="s">
        <v>703</v>
      </c>
      <c r="B95" s="277" t="s">
        <v>709</v>
      </c>
      <c r="C95" s="226" t="s">
        <v>655</v>
      </c>
      <c r="D95" s="226" t="s">
        <v>656</v>
      </c>
      <c r="E95" s="226" t="s">
        <v>657</v>
      </c>
      <c r="F95" s="270">
        <v>30991.74</v>
      </c>
      <c r="G95" s="270">
        <v>0</v>
      </c>
      <c r="H95" s="226">
        <v>0</v>
      </c>
      <c r="I95" s="226">
        <v>0</v>
      </c>
      <c r="J95" s="226">
        <v>0</v>
      </c>
      <c r="K95" s="226">
        <v>6508.26</v>
      </c>
      <c r="L95" s="226">
        <v>0</v>
      </c>
      <c r="M95" s="270">
        <v>0</v>
      </c>
      <c r="N95" s="270">
        <v>37500</v>
      </c>
    </row>
    <row r="96" spans="1:14">
      <c r="A96" s="276" t="s">
        <v>703</v>
      </c>
      <c r="B96" s="277" t="s">
        <v>710</v>
      </c>
      <c r="C96" s="226" t="s">
        <v>655</v>
      </c>
      <c r="D96" s="226" t="s">
        <v>656</v>
      </c>
      <c r="E96" s="226" t="s">
        <v>657</v>
      </c>
      <c r="F96" s="270">
        <v>14669.42</v>
      </c>
      <c r="G96" s="270">
        <v>0</v>
      </c>
      <c r="H96" s="226">
        <v>0</v>
      </c>
      <c r="I96" s="226">
        <v>0</v>
      </c>
      <c r="J96" s="226">
        <v>0</v>
      </c>
      <c r="K96" s="226">
        <v>3080.58</v>
      </c>
      <c r="L96" s="226">
        <v>0</v>
      </c>
      <c r="M96" s="270">
        <v>0</v>
      </c>
      <c r="N96" s="270">
        <v>17750</v>
      </c>
    </row>
    <row r="97" spans="1:14">
      <c r="A97" s="276" t="s">
        <v>703</v>
      </c>
      <c r="B97" s="277" t="s">
        <v>711</v>
      </c>
      <c r="C97" s="226" t="s">
        <v>655</v>
      </c>
      <c r="D97" s="226" t="s">
        <v>656</v>
      </c>
      <c r="E97" s="226" t="s">
        <v>657</v>
      </c>
      <c r="F97" s="270">
        <v>10743.8</v>
      </c>
      <c r="G97" s="270">
        <v>0</v>
      </c>
      <c r="H97" s="226">
        <v>0</v>
      </c>
      <c r="I97" s="226">
        <v>0</v>
      </c>
      <c r="J97" s="226">
        <v>0</v>
      </c>
      <c r="K97" s="226">
        <v>2256.2000000000003</v>
      </c>
      <c r="L97" s="226">
        <v>0</v>
      </c>
      <c r="M97" s="270">
        <v>0</v>
      </c>
      <c r="N97" s="270">
        <v>13000</v>
      </c>
    </row>
    <row r="98" spans="1:14">
      <c r="A98" s="276" t="s">
        <v>703</v>
      </c>
      <c r="B98" s="277" t="s">
        <v>712</v>
      </c>
      <c r="C98" s="226" t="s">
        <v>655</v>
      </c>
      <c r="D98" s="226" t="s">
        <v>656</v>
      </c>
      <c r="E98" s="226" t="s">
        <v>657</v>
      </c>
      <c r="F98" s="270">
        <v>15909.09</v>
      </c>
      <c r="G98" s="270">
        <v>0</v>
      </c>
      <c r="H98" s="226">
        <v>0</v>
      </c>
      <c r="I98" s="226">
        <v>0</v>
      </c>
      <c r="J98" s="226">
        <v>0</v>
      </c>
      <c r="K98" s="226">
        <v>3340.91</v>
      </c>
      <c r="L98" s="226">
        <v>0</v>
      </c>
      <c r="M98" s="270">
        <v>0</v>
      </c>
      <c r="N98" s="270">
        <v>19250</v>
      </c>
    </row>
    <row r="99" spans="1:14">
      <c r="A99" s="276" t="s">
        <v>703</v>
      </c>
      <c r="B99" s="277" t="s">
        <v>713</v>
      </c>
      <c r="C99" s="226" t="s">
        <v>655</v>
      </c>
      <c r="D99" s="226" t="s">
        <v>656</v>
      </c>
      <c r="E99" s="226" t="s">
        <v>657</v>
      </c>
      <c r="F99" s="270">
        <v>14669.42</v>
      </c>
      <c r="G99" s="270">
        <v>0</v>
      </c>
      <c r="H99" s="226">
        <v>0</v>
      </c>
      <c r="I99" s="226">
        <v>0</v>
      </c>
      <c r="J99" s="226">
        <v>0</v>
      </c>
      <c r="K99" s="226">
        <v>3080.58</v>
      </c>
      <c r="L99" s="226">
        <v>0</v>
      </c>
      <c r="M99" s="270">
        <v>0</v>
      </c>
      <c r="N99" s="270">
        <v>17750</v>
      </c>
    </row>
    <row r="100" spans="1:14">
      <c r="A100" s="276" t="s">
        <v>703</v>
      </c>
      <c r="B100" s="277" t="s">
        <v>714</v>
      </c>
      <c r="C100" s="226" t="s">
        <v>655</v>
      </c>
      <c r="D100" s="226" t="s">
        <v>656</v>
      </c>
      <c r="E100" s="226" t="s">
        <v>657</v>
      </c>
      <c r="F100" s="270">
        <v>10743.8</v>
      </c>
      <c r="G100" s="270">
        <v>0</v>
      </c>
      <c r="H100" s="226">
        <v>0</v>
      </c>
      <c r="I100" s="226">
        <v>0</v>
      </c>
      <c r="J100" s="226">
        <v>0</v>
      </c>
      <c r="K100" s="226">
        <v>2256.2000000000003</v>
      </c>
      <c r="L100" s="226">
        <v>0</v>
      </c>
      <c r="M100" s="270">
        <v>0</v>
      </c>
      <c r="N100" s="270">
        <v>13000</v>
      </c>
    </row>
    <row r="101" spans="1:14">
      <c r="A101" s="276" t="s">
        <v>703</v>
      </c>
      <c r="B101" s="277" t="s">
        <v>715</v>
      </c>
      <c r="C101" s="226" t="s">
        <v>655</v>
      </c>
      <c r="D101" s="226" t="s">
        <v>656</v>
      </c>
      <c r="E101" s="226" t="s">
        <v>657</v>
      </c>
      <c r="F101" s="270">
        <v>20661.16</v>
      </c>
      <c r="G101" s="270">
        <v>0</v>
      </c>
      <c r="H101" s="226">
        <v>0</v>
      </c>
      <c r="I101" s="226">
        <v>0</v>
      </c>
      <c r="J101" s="226">
        <v>0</v>
      </c>
      <c r="K101" s="226">
        <v>4338.84</v>
      </c>
      <c r="L101" s="226">
        <v>0</v>
      </c>
      <c r="M101" s="270">
        <v>0</v>
      </c>
      <c r="N101" s="270">
        <v>25000</v>
      </c>
    </row>
    <row r="102" spans="1:14">
      <c r="A102" s="276" t="s">
        <v>740</v>
      </c>
      <c r="B102" s="277" t="s">
        <v>741</v>
      </c>
      <c r="C102" s="226" t="s">
        <v>655</v>
      </c>
      <c r="D102" s="226" t="s">
        <v>656</v>
      </c>
      <c r="E102" s="226" t="s">
        <v>657</v>
      </c>
      <c r="F102" s="270">
        <v>10743.8</v>
      </c>
      <c r="G102" s="270">
        <v>0</v>
      </c>
      <c r="H102" s="226">
        <v>0</v>
      </c>
      <c r="I102" s="226">
        <v>0</v>
      </c>
      <c r="J102" s="226">
        <v>0</v>
      </c>
      <c r="K102" s="226">
        <v>2256.2000000000003</v>
      </c>
      <c r="L102" s="226">
        <v>0</v>
      </c>
      <c r="M102" s="270">
        <v>0</v>
      </c>
      <c r="N102" s="270">
        <v>13000</v>
      </c>
    </row>
    <row r="103" spans="1:14">
      <c r="A103" s="276" t="s">
        <v>740</v>
      </c>
      <c r="B103" s="277" t="s">
        <v>742</v>
      </c>
      <c r="C103" s="226" t="s">
        <v>655</v>
      </c>
      <c r="D103" s="226" t="s">
        <v>656</v>
      </c>
      <c r="E103" s="226" t="s">
        <v>657</v>
      </c>
      <c r="F103" s="270">
        <v>52066.12</v>
      </c>
      <c r="G103" s="270">
        <v>0</v>
      </c>
      <c r="H103" s="226">
        <v>0</v>
      </c>
      <c r="I103" s="226">
        <v>0</v>
      </c>
      <c r="J103" s="226">
        <v>0</v>
      </c>
      <c r="K103" s="226">
        <v>10933.88</v>
      </c>
      <c r="L103" s="226">
        <v>0</v>
      </c>
      <c r="M103" s="270">
        <v>0</v>
      </c>
      <c r="N103" s="270">
        <v>63000</v>
      </c>
    </row>
    <row r="104" spans="1:14">
      <c r="A104" s="276" t="s">
        <v>740</v>
      </c>
      <c r="B104" s="277" t="s">
        <v>743</v>
      </c>
      <c r="C104" s="226" t="s">
        <v>655</v>
      </c>
      <c r="D104" s="226" t="s">
        <v>656</v>
      </c>
      <c r="E104" s="226" t="s">
        <v>657</v>
      </c>
      <c r="F104" s="270">
        <v>7438.02</v>
      </c>
      <c r="G104" s="270">
        <v>0</v>
      </c>
      <c r="H104" s="226">
        <v>0</v>
      </c>
      <c r="I104" s="226">
        <v>0</v>
      </c>
      <c r="J104" s="226">
        <v>0</v>
      </c>
      <c r="K104" s="226">
        <v>1561.98</v>
      </c>
      <c r="L104" s="226">
        <v>0</v>
      </c>
      <c r="M104" s="270">
        <v>0</v>
      </c>
      <c r="N104" s="270">
        <v>9000</v>
      </c>
    </row>
    <row r="105" spans="1:14">
      <c r="A105" s="276" t="s">
        <v>740</v>
      </c>
      <c r="B105" s="277" t="s">
        <v>744</v>
      </c>
      <c r="C105" s="226" t="s">
        <v>655</v>
      </c>
      <c r="D105" s="226" t="s">
        <v>656</v>
      </c>
      <c r="E105" s="226" t="s">
        <v>657</v>
      </c>
      <c r="F105" s="270">
        <v>23471.07</v>
      </c>
      <c r="G105" s="270">
        <v>0</v>
      </c>
      <c r="H105" s="226">
        <v>0</v>
      </c>
      <c r="I105" s="226">
        <v>0</v>
      </c>
      <c r="J105" s="226">
        <v>0</v>
      </c>
      <c r="K105" s="226">
        <v>4928.93</v>
      </c>
      <c r="L105" s="226">
        <v>0</v>
      </c>
      <c r="M105" s="270">
        <v>0</v>
      </c>
      <c r="N105" s="270">
        <v>28400</v>
      </c>
    </row>
    <row r="106" spans="1:14">
      <c r="A106" s="276" t="s">
        <v>740</v>
      </c>
      <c r="B106" s="277" t="s">
        <v>745</v>
      </c>
      <c r="C106" s="226" t="s">
        <v>655</v>
      </c>
      <c r="D106" s="226" t="s">
        <v>656</v>
      </c>
      <c r="E106" s="226" t="s">
        <v>657</v>
      </c>
      <c r="F106" s="270">
        <v>11487.6</v>
      </c>
      <c r="G106" s="270">
        <v>0</v>
      </c>
      <c r="H106" s="226">
        <v>0</v>
      </c>
      <c r="I106" s="226">
        <v>0</v>
      </c>
      <c r="J106" s="226">
        <v>0</v>
      </c>
      <c r="K106" s="226">
        <v>2412.4</v>
      </c>
      <c r="L106" s="226">
        <v>0</v>
      </c>
      <c r="M106" s="270">
        <v>0</v>
      </c>
      <c r="N106" s="270">
        <v>13900</v>
      </c>
    </row>
    <row r="107" spans="1:14">
      <c r="A107" s="276" t="s">
        <v>740</v>
      </c>
      <c r="B107" s="277" t="s">
        <v>746</v>
      </c>
      <c r="C107" s="226" t="s">
        <v>655</v>
      </c>
      <c r="D107" s="226" t="s">
        <v>656</v>
      </c>
      <c r="E107" s="226" t="s">
        <v>657</v>
      </c>
      <c r="F107" s="270">
        <v>4462.8100000000004</v>
      </c>
      <c r="G107" s="270">
        <v>0</v>
      </c>
      <c r="H107" s="226">
        <v>0</v>
      </c>
      <c r="I107" s="226">
        <v>0</v>
      </c>
      <c r="J107" s="226">
        <v>0</v>
      </c>
      <c r="K107" s="226">
        <v>937.19</v>
      </c>
      <c r="L107" s="226">
        <v>0</v>
      </c>
      <c r="M107" s="270">
        <v>0</v>
      </c>
      <c r="N107" s="270">
        <v>5400</v>
      </c>
    </row>
    <row r="108" spans="1:14">
      <c r="A108" s="276" t="s">
        <v>740</v>
      </c>
      <c r="B108" s="277" t="s">
        <v>747</v>
      </c>
      <c r="C108" s="226" t="s">
        <v>748</v>
      </c>
      <c r="D108" s="226" t="s">
        <v>656</v>
      </c>
      <c r="E108" s="226">
        <v>30298513</v>
      </c>
      <c r="F108" s="270">
        <v>33884.300000000003</v>
      </c>
      <c r="G108" s="270">
        <v>0</v>
      </c>
      <c r="H108" s="226">
        <v>0</v>
      </c>
      <c r="I108" s="226">
        <v>0</v>
      </c>
      <c r="J108" s="226">
        <v>0</v>
      </c>
      <c r="K108" s="226">
        <v>7115.7</v>
      </c>
      <c r="L108" s="226">
        <v>0</v>
      </c>
      <c r="M108" s="270">
        <v>0</v>
      </c>
      <c r="N108" s="270">
        <v>41000</v>
      </c>
    </row>
    <row r="109" spans="1:14">
      <c r="A109" s="276" t="s">
        <v>740</v>
      </c>
      <c r="B109" s="277" t="s">
        <v>749</v>
      </c>
      <c r="C109" s="226" t="s">
        <v>655</v>
      </c>
      <c r="D109" s="226" t="s">
        <v>656</v>
      </c>
      <c r="E109" s="226" t="s">
        <v>657</v>
      </c>
      <c r="F109" s="270">
        <v>10743.8</v>
      </c>
      <c r="G109" s="270">
        <v>0</v>
      </c>
      <c r="H109" s="226">
        <v>0</v>
      </c>
      <c r="I109" s="226">
        <v>0</v>
      </c>
      <c r="J109" s="226">
        <v>0</v>
      </c>
      <c r="K109" s="226">
        <v>2256.2000000000003</v>
      </c>
      <c r="L109" s="226">
        <v>0</v>
      </c>
      <c r="M109" s="270">
        <v>0</v>
      </c>
      <c r="N109" s="270">
        <v>13000</v>
      </c>
    </row>
    <row r="110" spans="1:14">
      <c r="A110" s="276" t="s">
        <v>740</v>
      </c>
      <c r="B110" s="277" t="s">
        <v>750</v>
      </c>
      <c r="C110" s="226" t="s">
        <v>655</v>
      </c>
      <c r="D110" s="226" t="s">
        <v>656</v>
      </c>
      <c r="E110" s="226" t="s">
        <v>657</v>
      </c>
      <c r="F110" s="270">
        <v>22892.560000000001</v>
      </c>
      <c r="G110" s="270">
        <v>0</v>
      </c>
      <c r="H110" s="226">
        <v>0</v>
      </c>
      <c r="I110" s="226">
        <v>0</v>
      </c>
      <c r="J110" s="226">
        <v>0</v>
      </c>
      <c r="K110" s="226">
        <v>4807.4400000000005</v>
      </c>
      <c r="L110" s="226">
        <v>0</v>
      </c>
      <c r="M110" s="270">
        <v>0</v>
      </c>
      <c r="N110" s="270">
        <v>27700</v>
      </c>
    </row>
    <row r="111" spans="1:14">
      <c r="A111" s="276" t="s">
        <v>740</v>
      </c>
      <c r="B111" s="277" t="s">
        <v>751</v>
      </c>
      <c r="C111" s="226" t="s">
        <v>655</v>
      </c>
      <c r="D111" s="226" t="s">
        <v>656</v>
      </c>
      <c r="E111" s="226" t="s">
        <v>657</v>
      </c>
      <c r="F111" s="270">
        <v>34710.74</v>
      </c>
      <c r="G111" s="270">
        <v>0</v>
      </c>
      <c r="H111" s="226">
        <v>0</v>
      </c>
      <c r="I111" s="226">
        <v>0</v>
      </c>
      <c r="J111" s="226">
        <v>0</v>
      </c>
      <c r="K111" s="226">
        <v>7289.26</v>
      </c>
      <c r="L111" s="226">
        <v>0</v>
      </c>
      <c r="M111" s="270">
        <v>0</v>
      </c>
      <c r="N111" s="270">
        <v>42000</v>
      </c>
    </row>
    <row r="112" spans="1:14">
      <c r="A112" s="276" t="s">
        <v>740</v>
      </c>
      <c r="B112" s="277" t="s">
        <v>752</v>
      </c>
      <c r="C112" s="226" t="s">
        <v>655</v>
      </c>
      <c r="D112" s="226" t="s">
        <v>656</v>
      </c>
      <c r="E112" s="226" t="s">
        <v>657</v>
      </c>
      <c r="F112" s="270">
        <v>4132.2300000000005</v>
      </c>
      <c r="G112" s="270">
        <v>0</v>
      </c>
      <c r="H112" s="226">
        <v>0</v>
      </c>
      <c r="I112" s="226">
        <v>0</v>
      </c>
      <c r="J112" s="226">
        <v>0</v>
      </c>
      <c r="K112" s="226">
        <v>867.77</v>
      </c>
      <c r="L112" s="226">
        <v>0</v>
      </c>
      <c r="M112" s="270">
        <v>0</v>
      </c>
      <c r="N112" s="270">
        <v>5000</v>
      </c>
    </row>
    <row r="113" spans="1:14">
      <c r="A113" s="276" t="s">
        <v>740</v>
      </c>
      <c r="B113" s="277" t="s">
        <v>753</v>
      </c>
      <c r="C113" s="226" t="s">
        <v>655</v>
      </c>
      <c r="D113" s="226" t="s">
        <v>656</v>
      </c>
      <c r="E113" s="226" t="s">
        <v>657</v>
      </c>
      <c r="F113" s="270">
        <v>29338.84</v>
      </c>
      <c r="G113" s="270">
        <v>0</v>
      </c>
      <c r="H113" s="226">
        <v>0</v>
      </c>
      <c r="I113" s="226">
        <v>0</v>
      </c>
      <c r="J113" s="226">
        <v>0</v>
      </c>
      <c r="K113" s="226">
        <v>6161.16</v>
      </c>
      <c r="L113" s="226">
        <v>0</v>
      </c>
      <c r="M113" s="270">
        <v>0</v>
      </c>
      <c r="N113" s="270">
        <v>35500</v>
      </c>
    </row>
    <row r="114" spans="1:14">
      <c r="A114" s="276" t="s">
        <v>740</v>
      </c>
      <c r="B114" s="277" t="s">
        <v>754</v>
      </c>
      <c r="C114" s="226" t="s">
        <v>655</v>
      </c>
      <c r="D114" s="226" t="s">
        <v>656</v>
      </c>
      <c r="E114" s="226" t="s">
        <v>657</v>
      </c>
      <c r="F114" s="270">
        <v>7438.02</v>
      </c>
      <c r="G114" s="270">
        <v>0</v>
      </c>
      <c r="H114" s="226">
        <v>0</v>
      </c>
      <c r="I114" s="226">
        <v>0</v>
      </c>
      <c r="J114" s="226">
        <v>0</v>
      </c>
      <c r="K114" s="226">
        <v>1561.98</v>
      </c>
      <c r="L114" s="226">
        <v>0</v>
      </c>
      <c r="M114" s="270">
        <v>0</v>
      </c>
      <c r="N114" s="270">
        <v>9000</v>
      </c>
    </row>
    <row r="115" spans="1:14">
      <c r="A115" s="276" t="s">
        <v>766</v>
      </c>
      <c r="B115" s="277" t="s">
        <v>767</v>
      </c>
      <c r="C115" s="226" t="s">
        <v>655</v>
      </c>
      <c r="D115" s="226" t="s">
        <v>656</v>
      </c>
      <c r="E115" s="226" t="s">
        <v>657</v>
      </c>
      <c r="F115" s="270">
        <v>11487.6</v>
      </c>
      <c r="G115" s="270">
        <v>0</v>
      </c>
      <c r="H115" s="226">
        <v>0</v>
      </c>
      <c r="I115" s="226">
        <v>0</v>
      </c>
      <c r="J115" s="226">
        <v>0</v>
      </c>
      <c r="K115" s="226">
        <v>2412.4</v>
      </c>
      <c r="L115" s="226">
        <v>0</v>
      </c>
      <c r="M115" s="270">
        <v>0</v>
      </c>
      <c r="N115" s="270">
        <v>13900</v>
      </c>
    </row>
    <row r="116" spans="1:14">
      <c r="A116" s="276" t="s">
        <v>766</v>
      </c>
      <c r="B116" s="277" t="s">
        <v>768</v>
      </c>
      <c r="C116" s="226" t="s">
        <v>655</v>
      </c>
      <c r="D116" s="226" t="s">
        <v>656</v>
      </c>
      <c r="E116" s="226" t="s">
        <v>657</v>
      </c>
      <c r="F116" s="270">
        <v>9917.36</v>
      </c>
      <c r="G116" s="270">
        <v>0</v>
      </c>
      <c r="H116" s="226">
        <v>0</v>
      </c>
      <c r="I116" s="226">
        <v>0</v>
      </c>
      <c r="J116" s="226">
        <v>0</v>
      </c>
      <c r="K116" s="226">
        <v>2082.64</v>
      </c>
      <c r="L116" s="226">
        <v>0</v>
      </c>
      <c r="M116" s="270">
        <v>0</v>
      </c>
      <c r="N116" s="270">
        <v>12000</v>
      </c>
    </row>
    <row r="117" spans="1:14">
      <c r="A117" s="276" t="s">
        <v>766</v>
      </c>
      <c r="B117" s="277" t="s">
        <v>769</v>
      </c>
      <c r="C117" s="226" t="s">
        <v>655</v>
      </c>
      <c r="D117" s="226" t="s">
        <v>656</v>
      </c>
      <c r="E117" s="226" t="s">
        <v>657</v>
      </c>
      <c r="F117" s="270">
        <v>28925.62</v>
      </c>
      <c r="G117" s="270">
        <v>0</v>
      </c>
      <c r="H117" s="226">
        <v>0</v>
      </c>
      <c r="I117" s="226">
        <v>0</v>
      </c>
      <c r="J117" s="226">
        <v>0</v>
      </c>
      <c r="K117" s="226">
        <v>6074.38</v>
      </c>
      <c r="L117" s="226">
        <v>0</v>
      </c>
      <c r="M117" s="270">
        <v>0</v>
      </c>
      <c r="N117" s="270">
        <v>35000</v>
      </c>
    </row>
    <row r="118" spans="1:14">
      <c r="A118" s="276" t="s">
        <v>766</v>
      </c>
      <c r="B118" s="277" t="s">
        <v>770</v>
      </c>
      <c r="C118" s="226" t="s">
        <v>655</v>
      </c>
      <c r="D118" s="226" t="s">
        <v>656</v>
      </c>
      <c r="E118" s="226" t="s">
        <v>657</v>
      </c>
      <c r="F118" s="270">
        <v>16528.93</v>
      </c>
      <c r="G118" s="270">
        <v>0</v>
      </c>
      <c r="H118" s="226">
        <v>0</v>
      </c>
      <c r="I118" s="226">
        <v>0</v>
      </c>
      <c r="J118" s="226">
        <v>0</v>
      </c>
      <c r="K118" s="226">
        <v>3471.07</v>
      </c>
      <c r="L118" s="226">
        <v>0</v>
      </c>
      <c r="M118" s="270">
        <v>0</v>
      </c>
      <c r="N118" s="270">
        <v>20000</v>
      </c>
    </row>
    <row r="119" spans="1:14">
      <c r="A119" s="276" t="s">
        <v>766</v>
      </c>
      <c r="B119" s="277" t="s">
        <v>771</v>
      </c>
      <c r="C119" s="226" t="s">
        <v>655</v>
      </c>
      <c r="D119" s="226" t="s">
        <v>656</v>
      </c>
      <c r="E119" s="226" t="s">
        <v>657</v>
      </c>
      <c r="F119" s="270">
        <v>29338.84</v>
      </c>
      <c r="G119" s="270">
        <v>0</v>
      </c>
      <c r="H119" s="226">
        <v>0</v>
      </c>
      <c r="I119" s="226">
        <v>0</v>
      </c>
      <c r="J119" s="226">
        <v>0</v>
      </c>
      <c r="K119" s="226">
        <v>6161.16</v>
      </c>
      <c r="L119" s="226">
        <v>0</v>
      </c>
      <c r="M119" s="270">
        <v>0</v>
      </c>
      <c r="N119" s="270">
        <v>35500</v>
      </c>
    </row>
    <row r="120" spans="1:14">
      <c r="A120" s="276" t="s">
        <v>766</v>
      </c>
      <c r="B120" s="277" t="s">
        <v>772</v>
      </c>
      <c r="C120" s="226" t="s">
        <v>655</v>
      </c>
      <c r="D120" s="226" t="s">
        <v>656</v>
      </c>
      <c r="E120" s="226" t="s">
        <v>657</v>
      </c>
      <c r="F120" s="270">
        <v>21487.599999999999</v>
      </c>
      <c r="G120" s="270">
        <v>0</v>
      </c>
      <c r="H120" s="226">
        <v>0</v>
      </c>
      <c r="I120" s="226">
        <v>0</v>
      </c>
      <c r="J120" s="226">
        <v>0</v>
      </c>
      <c r="K120" s="226">
        <v>4512.4000000000005</v>
      </c>
      <c r="L120" s="226">
        <v>0</v>
      </c>
      <c r="M120" s="270">
        <v>0</v>
      </c>
      <c r="N120" s="270">
        <v>26000</v>
      </c>
    </row>
    <row r="121" spans="1:14">
      <c r="A121" s="276" t="s">
        <v>766</v>
      </c>
      <c r="B121" s="277" t="s">
        <v>773</v>
      </c>
      <c r="C121" s="226" t="s">
        <v>655</v>
      </c>
      <c r="D121" s="226" t="s">
        <v>656</v>
      </c>
      <c r="E121" s="226" t="s">
        <v>657</v>
      </c>
      <c r="F121" s="270">
        <v>21487.599999999999</v>
      </c>
      <c r="G121" s="270">
        <v>0</v>
      </c>
      <c r="H121" s="226">
        <v>0</v>
      </c>
      <c r="I121" s="226">
        <v>0</v>
      </c>
      <c r="J121" s="226">
        <v>0</v>
      </c>
      <c r="K121" s="226">
        <v>4512.4000000000005</v>
      </c>
      <c r="L121" s="226">
        <v>0</v>
      </c>
      <c r="M121" s="270">
        <v>0</v>
      </c>
      <c r="N121" s="270">
        <v>26000</v>
      </c>
    </row>
    <row r="122" spans="1:14">
      <c r="A122" s="276" t="s">
        <v>766</v>
      </c>
      <c r="B122" s="277" t="s">
        <v>774</v>
      </c>
      <c r="C122" s="226" t="s">
        <v>655</v>
      </c>
      <c r="D122" s="226" t="s">
        <v>656</v>
      </c>
      <c r="E122" s="226" t="s">
        <v>657</v>
      </c>
      <c r="F122" s="270">
        <v>10743.8</v>
      </c>
      <c r="G122" s="270">
        <v>0</v>
      </c>
      <c r="H122" s="226">
        <v>0</v>
      </c>
      <c r="I122" s="226">
        <v>0</v>
      </c>
      <c r="J122" s="226">
        <v>0</v>
      </c>
      <c r="K122" s="226">
        <v>2256.2000000000003</v>
      </c>
      <c r="L122" s="226">
        <v>0</v>
      </c>
      <c r="M122" s="270">
        <v>0</v>
      </c>
      <c r="N122" s="270">
        <v>13000</v>
      </c>
    </row>
    <row r="123" spans="1:14">
      <c r="A123" s="276" t="s">
        <v>766</v>
      </c>
      <c r="B123" s="277" t="s">
        <v>775</v>
      </c>
      <c r="C123" s="226" t="s">
        <v>655</v>
      </c>
      <c r="D123" s="226" t="s">
        <v>656</v>
      </c>
      <c r="E123" s="226" t="s">
        <v>657</v>
      </c>
      <c r="F123" s="270">
        <v>9917.36</v>
      </c>
      <c r="G123" s="270">
        <v>0</v>
      </c>
      <c r="H123" s="226">
        <v>0</v>
      </c>
      <c r="I123" s="226">
        <v>0</v>
      </c>
      <c r="J123" s="226">
        <v>0</v>
      </c>
      <c r="K123" s="226">
        <v>2082.64</v>
      </c>
      <c r="L123" s="226">
        <v>0</v>
      </c>
      <c r="M123" s="270">
        <v>0</v>
      </c>
      <c r="N123" s="270">
        <v>12000</v>
      </c>
    </row>
    <row r="124" spans="1:14">
      <c r="A124" s="276" t="s">
        <v>766</v>
      </c>
      <c r="B124" s="277" t="s">
        <v>776</v>
      </c>
      <c r="C124" s="226" t="s">
        <v>655</v>
      </c>
      <c r="D124" s="226" t="s">
        <v>656</v>
      </c>
      <c r="E124" s="226" t="s">
        <v>657</v>
      </c>
      <c r="F124" s="270">
        <v>14669.42</v>
      </c>
      <c r="G124" s="270">
        <v>0</v>
      </c>
      <c r="H124" s="226">
        <v>0</v>
      </c>
      <c r="I124" s="226">
        <v>0</v>
      </c>
      <c r="J124" s="226">
        <v>0</v>
      </c>
      <c r="K124" s="226">
        <v>3080.58</v>
      </c>
      <c r="L124" s="226">
        <v>0</v>
      </c>
      <c r="M124" s="270">
        <v>0</v>
      </c>
      <c r="N124" s="270">
        <v>17750</v>
      </c>
    </row>
    <row r="125" spans="1:14">
      <c r="A125" s="276" t="s">
        <v>766</v>
      </c>
      <c r="B125" s="277" t="s">
        <v>777</v>
      </c>
      <c r="C125" s="226" t="s">
        <v>655</v>
      </c>
      <c r="D125" s="226" t="s">
        <v>656</v>
      </c>
      <c r="E125" s="226" t="s">
        <v>657</v>
      </c>
      <c r="F125" s="270">
        <v>10743.8</v>
      </c>
      <c r="G125" s="270">
        <v>0</v>
      </c>
      <c r="H125" s="226">
        <v>0</v>
      </c>
      <c r="I125" s="226">
        <v>0</v>
      </c>
      <c r="J125" s="226">
        <v>0</v>
      </c>
      <c r="K125" s="226">
        <v>2256.2000000000003</v>
      </c>
      <c r="L125" s="226">
        <v>0</v>
      </c>
      <c r="M125" s="270">
        <v>0</v>
      </c>
      <c r="N125" s="270">
        <v>13000</v>
      </c>
    </row>
    <row r="126" spans="1:14">
      <c r="A126" s="276" t="s">
        <v>766</v>
      </c>
      <c r="B126" s="277" t="s">
        <v>778</v>
      </c>
      <c r="C126" s="226" t="s">
        <v>655</v>
      </c>
      <c r="D126" s="226" t="s">
        <v>656</v>
      </c>
      <c r="E126" s="226" t="s">
        <v>657</v>
      </c>
      <c r="F126" s="270">
        <v>14669.42</v>
      </c>
      <c r="G126" s="270">
        <v>0</v>
      </c>
      <c r="H126" s="226">
        <v>0</v>
      </c>
      <c r="I126" s="226">
        <v>0</v>
      </c>
      <c r="J126" s="226">
        <v>0</v>
      </c>
      <c r="K126" s="226">
        <v>3080.58</v>
      </c>
      <c r="L126" s="226">
        <v>0</v>
      </c>
      <c r="M126" s="270">
        <v>0</v>
      </c>
      <c r="N126" s="270">
        <v>17750</v>
      </c>
    </row>
    <row r="127" spans="1:14">
      <c r="A127" s="276" t="s">
        <v>796</v>
      </c>
      <c r="B127" s="277" t="s">
        <v>797</v>
      </c>
      <c r="C127" s="226" t="s">
        <v>655</v>
      </c>
      <c r="D127" s="226" t="s">
        <v>656</v>
      </c>
      <c r="E127" s="226" t="s">
        <v>657</v>
      </c>
      <c r="F127" s="270">
        <v>21487.599999999999</v>
      </c>
      <c r="G127" s="270">
        <v>0</v>
      </c>
      <c r="H127" s="226">
        <v>0</v>
      </c>
      <c r="I127" s="226">
        <v>0</v>
      </c>
      <c r="J127" s="226">
        <v>0</v>
      </c>
      <c r="K127" s="226">
        <v>4512.4000000000005</v>
      </c>
      <c r="L127" s="226">
        <v>0</v>
      </c>
      <c r="M127" s="270">
        <v>0</v>
      </c>
      <c r="N127" s="270">
        <v>26000</v>
      </c>
    </row>
    <row r="128" spans="1:14">
      <c r="A128" s="276" t="s">
        <v>796</v>
      </c>
      <c r="B128" s="277" t="s">
        <v>798</v>
      </c>
      <c r="C128" s="226" t="s">
        <v>799</v>
      </c>
      <c r="D128" s="226" t="s">
        <v>656</v>
      </c>
      <c r="E128" s="226">
        <v>29116688</v>
      </c>
      <c r="F128" s="270">
        <v>24628.1</v>
      </c>
      <c r="G128" s="270">
        <v>0</v>
      </c>
      <c r="H128" s="226">
        <v>0</v>
      </c>
      <c r="I128" s="226">
        <v>0</v>
      </c>
      <c r="J128" s="226">
        <v>0</v>
      </c>
      <c r="K128" s="226">
        <v>5171.9000000000005</v>
      </c>
      <c r="L128" s="226">
        <v>0</v>
      </c>
      <c r="M128" s="270">
        <v>0</v>
      </c>
      <c r="N128" s="270">
        <v>29800</v>
      </c>
    </row>
    <row r="129" spans="1:14">
      <c r="A129" s="276" t="s">
        <v>796</v>
      </c>
      <c r="B129" s="277" t="s">
        <v>800</v>
      </c>
      <c r="C129" s="226" t="s">
        <v>655</v>
      </c>
      <c r="D129" s="226" t="s">
        <v>656</v>
      </c>
      <c r="E129" s="226" t="s">
        <v>657</v>
      </c>
      <c r="F129" s="270">
        <v>52809.91</v>
      </c>
      <c r="G129" s="270">
        <v>0</v>
      </c>
      <c r="H129" s="226">
        <v>0</v>
      </c>
      <c r="I129" s="226">
        <v>0</v>
      </c>
      <c r="J129" s="226">
        <v>0</v>
      </c>
      <c r="K129" s="226">
        <v>11090.09</v>
      </c>
      <c r="L129" s="226">
        <v>0</v>
      </c>
      <c r="M129" s="270">
        <v>0</v>
      </c>
      <c r="N129" s="270">
        <v>63900</v>
      </c>
    </row>
    <row r="130" spans="1:14">
      <c r="A130" s="276" t="s">
        <v>796</v>
      </c>
      <c r="B130" s="277" t="s">
        <v>801</v>
      </c>
      <c r="C130" s="226" t="s">
        <v>655</v>
      </c>
      <c r="D130" s="226" t="s">
        <v>656</v>
      </c>
      <c r="E130" s="226" t="s">
        <v>657</v>
      </c>
      <c r="F130" s="270">
        <v>53719.01</v>
      </c>
      <c r="G130" s="270">
        <v>0</v>
      </c>
      <c r="H130" s="226">
        <v>0</v>
      </c>
      <c r="I130" s="226">
        <v>0</v>
      </c>
      <c r="J130" s="226">
        <v>0</v>
      </c>
      <c r="K130" s="226">
        <v>11280.99</v>
      </c>
      <c r="L130" s="226">
        <v>0</v>
      </c>
      <c r="M130" s="270">
        <v>0</v>
      </c>
      <c r="N130" s="270">
        <v>65000</v>
      </c>
    </row>
    <row r="131" spans="1:14">
      <c r="A131" s="276" t="s">
        <v>796</v>
      </c>
      <c r="B131" s="277" t="s">
        <v>802</v>
      </c>
      <c r="C131" s="226" t="s">
        <v>655</v>
      </c>
      <c r="D131" s="226" t="s">
        <v>656</v>
      </c>
      <c r="E131" s="226" t="s">
        <v>657</v>
      </c>
      <c r="F131" s="270">
        <v>66115.7</v>
      </c>
      <c r="G131" s="270">
        <v>0</v>
      </c>
      <c r="H131" s="226">
        <v>0</v>
      </c>
      <c r="I131" s="226">
        <v>0</v>
      </c>
      <c r="J131" s="226">
        <v>0</v>
      </c>
      <c r="K131" s="226">
        <v>13884.3</v>
      </c>
      <c r="L131" s="226">
        <v>0</v>
      </c>
      <c r="M131" s="270">
        <v>0</v>
      </c>
      <c r="N131" s="270">
        <v>80000</v>
      </c>
    </row>
    <row r="132" spans="1:14">
      <c r="A132" s="276" t="s">
        <v>796</v>
      </c>
      <c r="B132" s="277" t="s">
        <v>803</v>
      </c>
      <c r="C132" s="226" t="s">
        <v>655</v>
      </c>
      <c r="D132" s="226" t="s">
        <v>656</v>
      </c>
      <c r="E132" s="226" t="s">
        <v>657</v>
      </c>
      <c r="F132" s="270">
        <v>10743.8</v>
      </c>
      <c r="G132" s="270">
        <v>0</v>
      </c>
      <c r="H132" s="226">
        <v>0</v>
      </c>
      <c r="I132" s="226">
        <v>0</v>
      </c>
      <c r="J132" s="226">
        <v>0</v>
      </c>
      <c r="K132" s="226">
        <v>2256.2000000000003</v>
      </c>
      <c r="L132" s="226">
        <v>0</v>
      </c>
      <c r="M132" s="270">
        <v>0</v>
      </c>
      <c r="N132" s="270">
        <v>13000</v>
      </c>
    </row>
    <row r="133" spans="1:14">
      <c r="A133" s="276" t="s">
        <v>804</v>
      </c>
      <c r="B133" s="277" t="s">
        <v>805</v>
      </c>
      <c r="C133" s="226" t="s">
        <v>655</v>
      </c>
      <c r="D133" s="226" t="s">
        <v>656</v>
      </c>
      <c r="E133" s="226" t="s">
        <v>657</v>
      </c>
      <c r="F133" s="270">
        <v>14669.42</v>
      </c>
      <c r="G133" s="270">
        <v>0</v>
      </c>
      <c r="H133" s="226">
        <v>0</v>
      </c>
      <c r="I133" s="226">
        <v>0</v>
      </c>
      <c r="J133" s="226">
        <v>0</v>
      </c>
      <c r="K133" s="226">
        <v>3080.58</v>
      </c>
      <c r="L133" s="226">
        <v>0</v>
      </c>
      <c r="M133" s="270">
        <v>0</v>
      </c>
      <c r="N133" s="270">
        <v>17750</v>
      </c>
    </row>
    <row r="134" spans="1:14">
      <c r="A134" s="276" t="s">
        <v>804</v>
      </c>
      <c r="B134" s="277" t="s">
        <v>806</v>
      </c>
      <c r="C134" s="226" t="s">
        <v>655</v>
      </c>
      <c r="D134" s="226" t="s">
        <v>656</v>
      </c>
      <c r="E134" s="226" t="s">
        <v>657</v>
      </c>
      <c r="F134" s="270">
        <v>34462.81</v>
      </c>
      <c r="G134" s="270">
        <v>0</v>
      </c>
      <c r="H134" s="226">
        <v>0</v>
      </c>
      <c r="I134" s="226">
        <v>0</v>
      </c>
      <c r="J134" s="226">
        <v>0</v>
      </c>
      <c r="K134" s="226">
        <v>7237.19</v>
      </c>
      <c r="L134" s="226">
        <v>0</v>
      </c>
      <c r="M134" s="270">
        <v>0</v>
      </c>
      <c r="N134" s="270">
        <v>41700</v>
      </c>
    </row>
    <row r="135" spans="1:14">
      <c r="A135" s="276" t="s">
        <v>804</v>
      </c>
      <c r="B135" s="277" t="s">
        <v>807</v>
      </c>
      <c r="C135" s="226" t="s">
        <v>655</v>
      </c>
      <c r="D135" s="226" t="s">
        <v>656</v>
      </c>
      <c r="E135" s="226" t="s">
        <v>657</v>
      </c>
      <c r="F135" s="270">
        <v>37190.080000000002</v>
      </c>
      <c r="G135" s="270">
        <v>0</v>
      </c>
      <c r="H135" s="226">
        <v>0</v>
      </c>
      <c r="I135" s="226">
        <v>0</v>
      </c>
      <c r="J135" s="226">
        <v>0</v>
      </c>
      <c r="K135" s="226">
        <v>7809.92</v>
      </c>
      <c r="L135" s="226">
        <v>0</v>
      </c>
      <c r="M135" s="270">
        <v>0</v>
      </c>
      <c r="N135" s="270">
        <v>45000</v>
      </c>
    </row>
    <row r="136" spans="1:14">
      <c r="A136" s="276" t="s">
        <v>804</v>
      </c>
      <c r="B136" s="277" t="s">
        <v>808</v>
      </c>
      <c r="C136" s="226" t="s">
        <v>655</v>
      </c>
      <c r="D136" s="226" t="s">
        <v>656</v>
      </c>
      <c r="E136" s="226" t="s">
        <v>657</v>
      </c>
      <c r="F136" s="270">
        <v>5041.32</v>
      </c>
      <c r="G136" s="270">
        <v>0</v>
      </c>
      <c r="H136" s="226">
        <v>0</v>
      </c>
      <c r="I136" s="226">
        <v>0</v>
      </c>
      <c r="J136" s="226">
        <v>0</v>
      </c>
      <c r="K136" s="226">
        <v>1058.68</v>
      </c>
      <c r="L136" s="226">
        <v>0</v>
      </c>
      <c r="M136" s="270">
        <v>0</v>
      </c>
      <c r="N136" s="270">
        <v>6100</v>
      </c>
    </row>
    <row r="137" spans="1:14">
      <c r="A137" s="276" t="s">
        <v>804</v>
      </c>
      <c r="B137" s="277" t="s">
        <v>809</v>
      </c>
      <c r="C137" s="226" t="s">
        <v>655</v>
      </c>
      <c r="D137" s="226" t="s">
        <v>656</v>
      </c>
      <c r="E137" s="226" t="s">
        <v>657</v>
      </c>
      <c r="F137" s="270">
        <v>14669.42</v>
      </c>
      <c r="G137" s="270">
        <v>0</v>
      </c>
      <c r="H137" s="226">
        <v>0</v>
      </c>
      <c r="I137" s="226">
        <v>0</v>
      </c>
      <c r="J137" s="226">
        <v>0</v>
      </c>
      <c r="K137" s="226">
        <v>3080.58</v>
      </c>
      <c r="L137" s="226">
        <v>0</v>
      </c>
      <c r="M137" s="270">
        <v>0</v>
      </c>
      <c r="N137" s="270">
        <v>17750</v>
      </c>
    </row>
    <row r="138" spans="1:14">
      <c r="A138" s="276" t="s">
        <v>804</v>
      </c>
      <c r="B138" s="277" t="s">
        <v>810</v>
      </c>
      <c r="C138" s="226" t="s">
        <v>655</v>
      </c>
      <c r="D138" s="226" t="s">
        <v>656</v>
      </c>
      <c r="E138" s="226" t="s">
        <v>657</v>
      </c>
      <c r="F138" s="270">
        <v>6611.57</v>
      </c>
      <c r="G138" s="270">
        <v>0</v>
      </c>
      <c r="H138" s="226">
        <v>0</v>
      </c>
      <c r="I138" s="226">
        <v>0</v>
      </c>
      <c r="J138" s="226">
        <v>0</v>
      </c>
      <c r="K138" s="226">
        <v>1388.43</v>
      </c>
      <c r="L138" s="226">
        <v>0</v>
      </c>
      <c r="M138" s="270">
        <v>0</v>
      </c>
      <c r="N138" s="270">
        <v>8000</v>
      </c>
    </row>
    <row r="139" spans="1:14">
      <c r="A139" s="276" t="s">
        <v>804</v>
      </c>
      <c r="B139" s="277" t="s">
        <v>811</v>
      </c>
      <c r="C139" s="226" t="s">
        <v>655</v>
      </c>
      <c r="D139" s="226" t="s">
        <v>656</v>
      </c>
      <c r="E139" s="226" t="s">
        <v>657</v>
      </c>
      <c r="F139" s="270">
        <v>16528.93</v>
      </c>
      <c r="G139" s="270">
        <v>0</v>
      </c>
      <c r="H139" s="226">
        <v>0</v>
      </c>
      <c r="I139" s="226">
        <v>0</v>
      </c>
      <c r="J139" s="226">
        <v>0</v>
      </c>
      <c r="K139" s="226">
        <v>3471.07</v>
      </c>
      <c r="L139" s="226">
        <v>0</v>
      </c>
      <c r="M139" s="270">
        <v>0</v>
      </c>
      <c r="N139" s="270">
        <v>20000</v>
      </c>
    </row>
    <row r="140" spans="1:14">
      <c r="A140" s="276" t="s">
        <v>815</v>
      </c>
      <c r="B140" s="277" t="s">
        <v>816</v>
      </c>
      <c r="C140" s="226" t="s">
        <v>655</v>
      </c>
      <c r="D140" s="226" t="s">
        <v>656</v>
      </c>
      <c r="E140" s="226" t="s">
        <v>657</v>
      </c>
      <c r="F140" s="270">
        <v>7024.79</v>
      </c>
      <c r="G140" s="270">
        <v>0</v>
      </c>
      <c r="H140" s="226">
        <v>0</v>
      </c>
      <c r="I140" s="226">
        <v>0</v>
      </c>
      <c r="J140" s="226">
        <v>0</v>
      </c>
      <c r="K140" s="226">
        <v>1475.21</v>
      </c>
      <c r="L140" s="226">
        <v>0</v>
      </c>
      <c r="M140" s="270">
        <v>0</v>
      </c>
      <c r="N140" s="270">
        <v>8500</v>
      </c>
    </row>
    <row r="141" spans="1:14">
      <c r="A141" s="276" t="s">
        <v>815</v>
      </c>
      <c r="B141" s="277" t="s">
        <v>817</v>
      </c>
      <c r="C141" s="226" t="s">
        <v>655</v>
      </c>
      <c r="D141" s="226" t="s">
        <v>656</v>
      </c>
      <c r="E141" s="226" t="s">
        <v>657</v>
      </c>
      <c r="F141" s="270">
        <v>10743.8</v>
      </c>
      <c r="G141" s="270">
        <v>0</v>
      </c>
      <c r="H141" s="226">
        <v>0</v>
      </c>
      <c r="I141" s="226">
        <v>0</v>
      </c>
      <c r="J141" s="226">
        <v>0</v>
      </c>
      <c r="K141" s="226">
        <v>2256.2000000000003</v>
      </c>
      <c r="L141" s="226">
        <v>0</v>
      </c>
      <c r="M141" s="270">
        <v>0</v>
      </c>
      <c r="N141" s="270">
        <v>13000</v>
      </c>
    </row>
    <row r="142" spans="1:14">
      <c r="A142" s="276" t="s">
        <v>815</v>
      </c>
      <c r="B142" s="277" t="s">
        <v>818</v>
      </c>
      <c r="C142" s="226" t="s">
        <v>655</v>
      </c>
      <c r="D142" s="226" t="s">
        <v>656</v>
      </c>
      <c r="E142" s="226" t="s">
        <v>657</v>
      </c>
      <c r="F142" s="270">
        <v>11487.6</v>
      </c>
      <c r="G142" s="270">
        <v>0</v>
      </c>
      <c r="H142" s="226">
        <v>0</v>
      </c>
      <c r="I142" s="226">
        <v>0</v>
      </c>
      <c r="J142" s="226">
        <v>0</v>
      </c>
      <c r="K142" s="226">
        <v>2412.4</v>
      </c>
      <c r="L142" s="226">
        <v>0</v>
      </c>
      <c r="M142" s="270">
        <v>0</v>
      </c>
      <c r="N142" s="270">
        <v>13900</v>
      </c>
    </row>
    <row r="143" spans="1:14">
      <c r="A143" s="276" t="s">
        <v>815</v>
      </c>
      <c r="B143" s="277" t="s">
        <v>819</v>
      </c>
      <c r="C143" s="226" t="s">
        <v>655</v>
      </c>
      <c r="D143" s="226" t="s">
        <v>656</v>
      </c>
      <c r="E143" s="226" t="s">
        <v>657</v>
      </c>
      <c r="F143" s="270">
        <v>15206.61</v>
      </c>
      <c r="G143" s="270">
        <v>0</v>
      </c>
      <c r="H143" s="226">
        <v>0</v>
      </c>
      <c r="I143" s="226">
        <v>0</v>
      </c>
      <c r="J143" s="226">
        <v>0</v>
      </c>
      <c r="K143" s="226">
        <v>3193.39</v>
      </c>
      <c r="L143" s="226">
        <v>0</v>
      </c>
      <c r="M143" s="270">
        <v>0</v>
      </c>
      <c r="N143" s="270">
        <v>18400</v>
      </c>
    </row>
    <row r="144" spans="1:14">
      <c r="A144" s="276" t="s">
        <v>815</v>
      </c>
      <c r="B144" s="277" t="s">
        <v>820</v>
      </c>
      <c r="C144" s="226" t="s">
        <v>655</v>
      </c>
      <c r="D144" s="226" t="s">
        <v>656</v>
      </c>
      <c r="E144" s="226" t="s">
        <v>657</v>
      </c>
      <c r="F144" s="270">
        <v>21487.599999999999</v>
      </c>
      <c r="G144" s="270">
        <v>0</v>
      </c>
      <c r="H144" s="226">
        <v>0</v>
      </c>
      <c r="I144" s="226">
        <v>0</v>
      </c>
      <c r="J144" s="226">
        <v>0</v>
      </c>
      <c r="K144" s="226">
        <v>4512.4000000000005</v>
      </c>
      <c r="L144" s="226">
        <v>0</v>
      </c>
      <c r="M144" s="270">
        <v>0</v>
      </c>
      <c r="N144" s="270">
        <v>26000</v>
      </c>
    </row>
    <row r="145" spans="1:14">
      <c r="A145" s="276" t="s">
        <v>815</v>
      </c>
      <c r="B145" s="277" t="s">
        <v>821</v>
      </c>
      <c r="C145" s="226" t="s">
        <v>655</v>
      </c>
      <c r="D145" s="226" t="s">
        <v>656</v>
      </c>
      <c r="E145" s="226" t="s">
        <v>657</v>
      </c>
      <c r="F145" s="270">
        <v>14669.42</v>
      </c>
      <c r="G145" s="270">
        <v>0</v>
      </c>
      <c r="H145" s="226">
        <v>0</v>
      </c>
      <c r="I145" s="226">
        <v>0</v>
      </c>
      <c r="J145" s="226">
        <v>0</v>
      </c>
      <c r="K145" s="226">
        <v>3080.58</v>
      </c>
      <c r="L145" s="226">
        <v>0</v>
      </c>
      <c r="M145" s="270">
        <v>0</v>
      </c>
      <c r="N145" s="270">
        <v>17750</v>
      </c>
    </row>
    <row r="146" spans="1:14">
      <c r="A146" s="276" t="s">
        <v>815</v>
      </c>
      <c r="B146" s="277" t="s">
        <v>822</v>
      </c>
      <c r="C146" s="226" t="s">
        <v>655</v>
      </c>
      <c r="D146" s="226" t="s">
        <v>656</v>
      </c>
      <c r="E146" s="226" t="s">
        <v>657</v>
      </c>
      <c r="F146" s="270">
        <v>10743.8</v>
      </c>
      <c r="G146" s="270">
        <v>0</v>
      </c>
      <c r="H146" s="226">
        <v>0</v>
      </c>
      <c r="I146" s="226">
        <v>0</v>
      </c>
      <c r="J146" s="226">
        <v>0</v>
      </c>
      <c r="K146" s="226">
        <v>2256.2000000000003</v>
      </c>
      <c r="L146" s="226">
        <v>0</v>
      </c>
      <c r="M146" s="270">
        <v>0</v>
      </c>
      <c r="N146" s="270">
        <v>13000</v>
      </c>
    </row>
    <row r="147" spans="1:14">
      <c r="A147" s="276" t="s">
        <v>815</v>
      </c>
      <c r="B147" s="277" t="s">
        <v>823</v>
      </c>
      <c r="C147" s="226" t="s">
        <v>655</v>
      </c>
      <c r="D147" s="226" t="s">
        <v>656</v>
      </c>
      <c r="E147" s="226" t="s">
        <v>657</v>
      </c>
      <c r="F147" s="270">
        <v>10743.8</v>
      </c>
      <c r="G147" s="270">
        <v>0</v>
      </c>
      <c r="H147" s="226">
        <v>0</v>
      </c>
      <c r="I147" s="226">
        <v>0</v>
      </c>
      <c r="J147" s="226">
        <v>0</v>
      </c>
      <c r="K147" s="226">
        <v>2256.2000000000003</v>
      </c>
      <c r="L147" s="226">
        <v>0</v>
      </c>
      <c r="M147" s="270">
        <v>0</v>
      </c>
      <c r="N147" s="270">
        <v>13000</v>
      </c>
    </row>
    <row r="148" spans="1:14">
      <c r="A148" s="276" t="s">
        <v>815</v>
      </c>
      <c r="B148" s="277" t="s">
        <v>824</v>
      </c>
      <c r="C148" s="226" t="s">
        <v>655</v>
      </c>
      <c r="D148" s="226" t="s">
        <v>656</v>
      </c>
      <c r="E148" s="226" t="s">
        <v>657</v>
      </c>
      <c r="F148" s="270">
        <v>9917.36</v>
      </c>
      <c r="G148" s="270">
        <v>0</v>
      </c>
      <c r="H148" s="226">
        <v>0</v>
      </c>
      <c r="I148" s="226">
        <v>0</v>
      </c>
      <c r="J148" s="226">
        <v>0</v>
      </c>
      <c r="K148" s="226">
        <v>2082.64</v>
      </c>
      <c r="L148" s="226">
        <v>0</v>
      </c>
      <c r="M148" s="270">
        <v>0</v>
      </c>
      <c r="N148" s="270">
        <v>12000</v>
      </c>
    </row>
    <row r="149" spans="1:14">
      <c r="A149" s="276" t="s">
        <v>836</v>
      </c>
      <c r="B149" s="277" t="s">
        <v>839</v>
      </c>
      <c r="C149" s="226" t="s">
        <v>655</v>
      </c>
      <c r="D149" s="226" t="s">
        <v>656</v>
      </c>
      <c r="E149" s="226" t="s">
        <v>657</v>
      </c>
      <c r="F149" s="270">
        <v>8264.4600000000009</v>
      </c>
      <c r="G149" s="270">
        <v>0</v>
      </c>
      <c r="H149" s="226">
        <v>0</v>
      </c>
      <c r="I149" s="226">
        <v>0</v>
      </c>
      <c r="J149" s="226">
        <v>0</v>
      </c>
      <c r="K149" s="226">
        <v>1735.54</v>
      </c>
      <c r="L149" s="226">
        <v>0</v>
      </c>
      <c r="M149" s="270">
        <v>0</v>
      </c>
      <c r="N149" s="270">
        <v>10000</v>
      </c>
    </row>
    <row r="150" spans="1:14">
      <c r="A150" s="276" t="s">
        <v>836</v>
      </c>
      <c r="B150" s="277" t="s">
        <v>840</v>
      </c>
      <c r="C150" s="226" t="s">
        <v>655</v>
      </c>
      <c r="D150" s="226" t="s">
        <v>656</v>
      </c>
      <c r="E150" s="226" t="s">
        <v>657</v>
      </c>
      <c r="F150" s="270">
        <v>1735.54</v>
      </c>
      <c r="G150" s="270">
        <v>0</v>
      </c>
      <c r="H150" s="226">
        <v>0</v>
      </c>
      <c r="I150" s="226">
        <v>0</v>
      </c>
      <c r="J150" s="226">
        <v>0</v>
      </c>
      <c r="K150" s="226">
        <v>364.46</v>
      </c>
      <c r="L150" s="226">
        <v>0</v>
      </c>
      <c r="M150" s="270">
        <v>0</v>
      </c>
      <c r="N150" s="270">
        <v>2100</v>
      </c>
    </row>
    <row r="151" spans="1:14">
      <c r="A151" s="276" t="s">
        <v>836</v>
      </c>
      <c r="B151" s="277" t="s">
        <v>841</v>
      </c>
      <c r="C151" s="226" t="s">
        <v>655</v>
      </c>
      <c r="D151" s="226" t="s">
        <v>656</v>
      </c>
      <c r="E151" s="226" t="s">
        <v>657</v>
      </c>
      <c r="F151" s="270">
        <v>21487.599999999999</v>
      </c>
      <c r="G151" s="270">
        <v>0</v>
      </c>
      <c r="H151" s="226">
        <v>0</v>
      </c>
      <c r="I151" s="226">
        <v>0</v>
      </c>
      <c r="J151" s="226">
        <v>0</v>
      </c>
      <c r="K151" s="226">
        <v>4512.4000000000005</v>
      </c>
      <c r="L151" s="226">
        <v>0</v>
      </c>
      <c r="M151" s="270">
        <v>0</v>
      </c>
      <c r="N151" s="270">
        <v>26000</v>
      </c>
    </row>
    <row r="152" spans="1:14">
      <c r="A152" s="276" t="s">
        <v>836</v>
      </c>
      <c r="B152" s="277" t="s">
        <v>842</v>
      </c>
      <c r="C152" s="226" t="s">
        <v>655</v>
      </c>
      <c r="D152" s="226" t="s">
        <v>656</v>
      </c>
      <c r="E152" s="226" t="s">
        <v>657</v>
      </c>
      <c r="F152" s="270">
        <v>86776.86</v>
      </c>
      <c r="G152" s="270">
        <v>0</v>
      </c>
      <c r="H152" s="226">
        <v>0</v>
      </c>
      <c r="I152" s="226">
        <v>0</v>
      </c>
      <c r="J152" s="226">
        <v>0</v>
      </c>
      <c r="K152" s="226">
        <v>18223.14</v>
      </c>
      <c r="L152" s="226">
        <v>0</v>
      </c>
      <c r="M152" s="270">
        <v>0</v>
      </c>
      <c r="N152" s="270">
        <v>105000</v>
      </c>
    </row>
    <row r="153" spans="1:14">
      <c r="A153" s="276" t="s">
        <v>836</v>
      </c>
      <c r="B153" s="277" t="s">
        <v>843</v>
      </c>
      <c r="C153" s="226" t="s">
        <v>655</v>
      </c>
      <c r="D153" s="226" t="s">
        <v>656</v>
      </c>
      <c r="E153" s="226" t="s">
        <v>657</v>
      </c>
      <c r="F153" s="270">
        <v>16528.93</v>
      </c>
      <c r="G153" s="270">
        <v>0</v>
      </c>
      <c r="H153" s="226">
        <v>0</v>
      </c>
      <c r="I153" s="226">
        <v>0</v>
      </c>
      <c r="J153" s="226">
        <v>0</v>
      </c>
      <c r="K153" s="226">
        <v>3471.07</v>
      </c>
      <c r="L153" s="226">
        <v>0</v>
      </c>
      <c r="M153" s="270">
        <v>0</v>
      </c>
      <c r="N153" s="270">
        <v>20000</v>
      </c>
    </row>
    <row r="154" spans="1:14">
      <c r="A154" s="276" t="s">
        <v>836</v>
      </c>
      <c r="B154" s="277" t="s">
        <v>844</v>
      </c>
      <c r="C154" s="226" t="s">
        <v>655</v>
      </c>
      <c r="D154" s="226" t="s">
        <v>656</v>
      </c>
      <c r="E154" s="226" t="s">
        <v>657</v>
      </c>
      <c r="F154" s="270">
        <v>14669.42</v>
      </c>
      <c r="G154" s="270">
        <v>0</v>
      </c>
      <c r="H154" s="226">
        <v>0</v>
      </c>
      <c r="I154" s="226">
        <v>0</v>
      </c>
      <c r="J154" s="226">
        <v>0</v>
      </c>
      <c r="K154" s="226">
        <v>3080.58</v>
      </c>
      <c r="L154" s="226">
        <v>0</v>
      </c>
      <c r="M154" s="270">
        <v>0</v>
      </c>
      <c r="N154" s="270">
        <v>17750</v>
      </c>
    </row>
    <row r="155" spans="1:14">
      <c r="A155" s="276" t="s">
        <v>836</v>
      </c>
      <c r="B155" s="277" t="s">
        <v>845</v>
      </c>
      <c r="C155" s="226" t="s">
        <v>655</v>
      </c>
      <c r="D155" s="226" t="s">
        <v>656</v>
      </c>
      <c r="E155" s="226" t="s">
        <v>657</v>
      </c>
      <c r="F155" s="270">
        <v>28099.17</v>
      </c>
      <c r="G155" s="270">
        <v>0</v>
      </c>
      <c r="H155" s="226">
        <v>0</v>
      </c>
      <c r="I155" s="226">
        <v>0</v>
      </c>
      <c r="J155" s="226">
        <v>0</v>
      </c>
      <c r="K155" s="226">
        <v>5900.83</v>
      </c>
      <c r="L155" s="226">
        <v>0</v>
      </c>
      <c r="M155" s="270">
        <v>0</v>
      </c>
      <c r="N155" s="270">
        <v>34000</v>
      </c>
    </row>
    <row r="156" spans="1:14">
      <c r="A156" s="276" t="s">
        <v>836</v>
      </c>
      <c r="B156" s="277" t="s">
        <v>846</v>
      </c>
      <c r="C156" s="226" t="s">
        <v>655</v>
      </c>
      <c r="D156" s="226" t="s">
        <v>656</v>
      </c>
      <c r="E156" s="226" t="s">
        <v>657</v>
      </c>
      <c r="F156" s="270">
        <v>23471.07</v>
      </c>
      <c r="G156" s="270">
        <v>0</v>
      </c>
      <c r="H156" s="226">
        <v>0</v>
      </c>
      <c r="I156" s="226">
        <v>0</v>
      </c>
      <c r="J156" s="226">
        <v>0</v>
      </c>
      <c r="K156" s="226">
        <v>4928.93</v>
      </c>
      <c r="L156" s="226">
        <v>0</v>
      </c>
      <c r="M156" s="270">
        <v>0</v>
      </c>
      <c r="N156" s="270">
        <v>28400</v>
      </c>
    </row>
    <row r="157" spans="1:14">
      <c r="A157" s="276" t="s">
        <v>836</v>
      </c>
      <c r="B157" s="277" t="s">
        <v>847</v>
      </c>
      <c r="C157" s="226" t="s">
        <v>655</v>
      </c>
      <c r="D157" s="226" t="s">
        <v>656</v>
      </c>
      <c r="E157" s="226" t="s">
        <v>657</v>
      </c>
      <c r="F157" s="270">
        <v>3347.11</v>
      </c>
      <c r="G157" s="270">
        <v>0</v>
      </c>
      <c r="H157" s="226">
        <v>0</v>
      </c>
      <c r="I157" s="226">
        <v>0</v>
      </c>
      <c r="J157" s="226">
        <v>0</v>
      </c>
      <c r="K157" s="226">
        <v>702.89</v>
      </c>
      <c r="L157" s="226">
        <v>0</v>
      </c>
      <c r="M157" s="270">
        <v>0</v>
      </c>
      <c r="N157" s="270">
        <v>4050</v>
      </c>
    </row>
    <row r="158" spans="1:14">
      <c r="A158" s="276" t="s">
        <v>836</v>
      </c>
      <c r="B158" s="277" t="s">
        <v>848</v>
      </c>
      <c r="C158" s="226" t="s">
        <v>655</v>
      </c>
      <c r="D158" s="226" t="s">
        <v>656</v>
      </c>
      <c r="E158" s="226" t="s">
        <v>657</v>
      </c>
      <c r="F158" s="270">
        <v>21487.599999999999</v>
      </c>
      <c r="G158" s="270">
        <v>0</v>
      </c>
      <c r="H158" s="226">
        <v>0</v>
      </c>
      <c r="I158" s="226">
        <v>0</v>
      </c>
      <c r="J158" s="226">
        <v>0</v>
      </c>
      <c r="K158" s="226">
        <v>4512.4000000000005</v>
      </c>
      <c r="L158" s="226">
        <v>0</v>
      </c>
      <c r="M158" s="270">
        <v>0</v>
      </c>
      <c r="N158" s="270">
        <v>26000</v>
      </c>
    </row>
    <row r="159" spans="1:14">
      <c r="A159" s="276" t="s">
        <v>836</v>
      </c>
      <c r="B159" s="277" t="s">
        <v>849</v>
      </c>
      <c r="C159" s="226" t="s">
        <v>655</v>
      </c>
      <c r="D159" s="226" t="s">
        <v>656</v>
      </c>
      <c r="E159" s="226" t="s">
        <v>657</v>
      </c>
      <c r="F159" s="270">
        <v>14669.42</v>
      </c>
      <c r="G159" s="270">
        <v>0</v>
      </c>
      <c r="H159" s="226">
        <v>0</v>
      </c>
      <c r="I159" s="226">
        <v>0</v>
      </c>
      <c r="J159" s="226">
        <v>0</v>
      </c>
      <c r="K159" s="226">
        <v>3080.58</v>
      </c>
      <c r="L159" s="226">
        <v>0</v>
      </c>
      <c r="M159" s="270">
        <v>0</v>
      </c>
      <c r="N159" s="270">
        <v>17750</v>
      </c>
    </row>
    <row r="160" spans="1:14">
      <c r="A160" s="276" t="s">
        <v>836</v>
      </c>
      <c r="B160" s="277" t="s">
        <v>850</v>
      </c>
      <c r="C160" s="226" t="s">
        <v>655</v>
      </c>
      <c r="D160" s="226" t="s">
        <v>656</v>
      </c>
      <c r="E160" s="226" t="s">
        <v>657</v>
      </c>
      <c r="F160" s="270">
        <v>11735.54</v>
      </c>
      <c r="G160" s="270">
        <v>0</v>
      </c>
      <c r="H160" s="226">
        <v>0</v>
      </c>
      <c r="I160" s="226">
        <v>0</v>
      </c>
      <c r="J160" s="226">
        <v>0</v>
      </c>
      <c r="K160" s="226">
        <v>2464.46</v>
      </c>
      <c r="L160" s="226">
        <v>0</v>
      </c>
      <c r="M160" s="270">
        <v>0</v>
      </c>
      <c r="N160" s="270">
        <v>14200</v>
      </c>
    </row>
    <row r="161" spans="1:14">
      <c r="A161" s="276" t="s">
        <v>876</v>
      </c>
      <c r="B161" s="277" t="s">
        <v>878</v>
      </c>
      <c r="C161" s="226" t="s">
        <v>655</v>
      </c>
      <c r="D161" s="226" t="s">
        <v>656</v>
      </c>
      <c r="E161" s="226" t="s">
        <v>657</v>
      </c>
      <c r="F161" s="270">
        <v>26033.06</v>
      </c>
      <c r="G161" s="270">
        <v>0</v>
      </c>
      <c r="H161" s="226">
        <v>0</v>
      </c>
      <c r="I161" s="226">
        <v>0</v>
      </c>
      <c r="J161" s="226">
        <v>0</v>
      </c>
      <c r="K161" s="226">
        <v>5466.94</v>
      </c>
      <c r="L161" s="226">
        <v>0</v>
      </c>
      <c r="M161" s="270">
        <v>0</v>
      </c>
      <c r="N161" s="270">
        <v>31500</v>
      </c>
    </row>
    <row r="162" spans="1:14">
      <c r="A162" s="276" t="s">
        <v>876</v>
      </c>
      <c r="B162" s="277" t="s">
        <v>879</v>
      </c>
      <c r="C162" s="226" t="s">
        <v>655</v>
      </c>
      <c r="D162" s="226" t="s">
        <v>656</v>
      </c>
      <c r="E162" s="226" t="s">
        <v>657</v>
      </c>
      <c r="F162" s="270">
        <v>29338.84</v>
      </c>
      <c r="G162" s="270">
        <v>0</v>
      </c>
      <c r="H162" s="226">
        <v>0</v>
      </c>
      <c r="I162" s="226">
        <v>0</v>
      </c>
      <c r="J162" s="226">
        <v>0</v>
      </c>
      <c r="K162" s="226">
        <v>6161.16</v>
      </c>
      <c r="L162" s="226">
        <v>0</v>
      </c>
      <c r="M162" s="270">
        <v>0</v>
      </c>
      <c r="N162" s="270">
        <v>35500</v>
      </c>
    </row>
    <row r="163" spans="1:14">
      <c r="A163" s="276" t="s">
        <v>876</v>
      </c>
      <c r="B163" s="277" t="s">
        <v>880</v>
      </c>
      <c r="C163" s="226" t="s">
        <v>655</v>
      </c>
      <c r="D163" s="226" t="s">
        <v>656</v>
      </c>
      <c r="E163" s="226" t="s">
        <v>657</v>
      </c>
      <c r="F163" s="270">
        <v>10743.8</v>
      </c>
      <c r="G163" s="270">
        <v>0</v>
      </c>
      <c r="H163" s="226">
        <v>0</v>
      </c>
      <c r="I163" s="226">
        <v>0</v>
      </c>
      <c r="J163" s="226">
        <v>0</v>
      </c>
      <c r="K163" s="226">
        <v>2256.2000000000003</v>
      </c>
      <c r="L163" s="226">
        <v>0</v>
      </c>
      <c r="M163" s="270">
        <v>0</v>
      </c>
      <c r="N163" s="270">
        <v>13000</v>
      </c>
    </row>
    <row r="164" spans="1:14">
      <c r="A164" s="276" t="s">
        <v>876</v>
      </c>
      <c r="B164" s="277" t="s">
        <v>881</v>
      </c>
      <c r="C164" s="226" t="s">
        <v>655</v>
      </c>
      <c r="D164" s="226" t="s">
        <v>656</v>
      </c>
      <c r="E164" s="226" t="s">
        <v>657</v>
      </c>
      <c r="F164" s="270">
        <v>31818.18</v>
      </c>
      <c r="G164" s="270">
        <v>0</v>
      </c>
      <c r="H164" s="226">
        <v>0</v>
      </c>
      <c r="I164" s="226">
        <v>0</v>
      </c>
      <c r="J164" s="226">
        <v>0</v>
      </c>
      <c r="K164" s="226">
        <v>6681.82</v>
      </c>
      <c r="L164" s="226">
        <v>0</v>
      </c>
      <c r="M164" s="270">
        <v>0</v>
      </c>
      <c r="N164" s="270">
        <v>38500</v>
      </c>
    </row>
    <row r="165" spans="1:14">
      <c r="A165" s="276" t="s">
        <v>876</v>
      </c>
      <c r="B165" s="277" t="s">
        <v>882</v>
      </c>
      <c r="C165" s="226" t="s">
        <v>655</v>
      </c>
      <c r="D165" s="226" t="s">
        <v>656</v>
      </c>
      <c r="E165" s="226" t="s">
        <v>657</v>
      </c>
      <c r="F165" s="270">
        <v>21487.599999999999</v>
      </c>
      <c r="G165" s="270">
        <v>0</v>
      </c>
      <c r="H165" s="226">
        <v>0</v>
      </c>
      <c r="I165" s="226">
        <v>0</v>
      </c>
      <c r="J165" s="226">
        <v>0</v>
      </c>
      <c r="K165" s="226">
        <v>4512.4000000000005</v>
      </c>
      <c r="L165" s="226">
        <v>0</v>
      </c>
      <c r="M165" s="270">
        <v>0</v>
      </c>
      <c r="N165" s="270">
        <v>26000</v>
      </c>
    </row>
    <row r="166" spans="1:14">
      <c r="A166" s="276" t="s">
        <v>876</v>
      </c>
      <c r="B166" s="277" t="s">
        <v>883</v>
      </c>
      <c r="C166" s="226" t="s">
        <v>655</v>
      </c>
      <c r="D166" s="226" t="s">
        <v>656</v>
      </c>
      <c r="E166" s="226" t="s">
        <v>657</v>
      </c>
      <c r="F166" s="270">
        <v>21487.599999999999</v>
      </c>
      <c r="G166" s="270">
        <v>0</v>
      </c>
      <c r="H166" s="226">
        <v>0</v>
      </c>
      <c r="I166" s="226">
        <v>0</v>
      </c>
      <c r="J166" s="226">
        <v>0</v>
      </c>
      <c r="K166" s="226">
        <v>4512.4000000000005</v>
      </c>
      <c r="L166" s="226">
        <v>0</v>
      </c>
      <c r="M166" s="270">
        <v>0</v>
      </c>
      <c r="N166" s="270">
        <v>26000</v>
      </c>
    </row>
    <row r="167" spans="1:14">
      <c r="A167" s="276" t="s">
        <v>876</v>
      </c>
      <c r="B167" s="277" t="s">
        <v>884</v>
      </c>
      <c r="C167" s="226" t="s">
        <v>655</v>
      </c>
      <c r="D167" s="226" t="s">
        <v>656</v>
      </c>
      <c r="E167" s="226" t="s">
        <v>657</v>
      </c>
      <c r="F167" s="270">
        <v>78512.400000000009</v>
      </c>
      <c r="G167" s="270">
        <v>0</v>
      </c>
      <c r="H167" s="226">
        <v>0</v>
      </c>
      <c r="I167" s="226">
        <v>0</v>
      </c>
      <c r="J167" s="226">
        <v>0</v>
      </c>
      <c r="K167" s="226">
        <v>16487.599999999999</v>
      </c>
      <c r="L167" s="226">
        <v>0</v>
      </c>
      <c r="M167" s="270">
        <v>0</v>
      </c>
      <c r="N167" s="270">
        <v>95000</v>
      </c>
    </row>
    <row r="168" spans="1:14">
      <c r="A168" s="276" t="s">
        <v>876</v>
      </c>
      <c r="B168" s="277" t="s">
        <v>885</v>
      </c>
      <c r="C168" s="226" t="s">
        <v>886</v>
      </c>
      <c r="D168" s="226" t="s">
        <v>656</v>
      </c>
      <c r="E168" s="226">
        <v>95857770</v>
      </c>
      <c r="F168" s="270">
        <v>78512.400000000009</v>
      </c>
      <c r="G168" s="270">
        <v>0</v>
      </c>
      <c r="H168" s="226">
        <v>0</v>
      </c>
      <c r="I168" s="226">
        <v>0</v>
      </c>
      <c r="J168" s="226">
        <v>0</v>
      </c>
      <c r="K168" s="226">
        <v>16487.599999999999</v>
      </c>
      <c r="L168" s="226">
        <v>0</v>
      </c>
      <c r="M168" s="270">
        <v>0</v>
      </c>
      <c r="N168" s="270">
        <v>95000</v>
      </c>
    </row>
    <row r="169" spans="1:14">
      <c r="A169" s="276" t="s">
        <v>876</v>
      </c>
      <c r="B169" s="277" t="s">
        <v>887</v>
      </c>
      <c r="C169" s="226" t="s">
        <v>655</v>
      </c>
      <c r="D169" s="226" t="s">
        <v>656</v>
      </c>
      <c r="E169" s="226" t="s">
        <v>657</v>
      </c>
      <c r="F169" s="270">
        <v>12314.05</v>
      </c>
      <c r="G169" s="270">
        <v>0</v>
      </c>
      <c r="H169" s="226">
        <v>0</v>
      </c>
      <c r="I169" s="226">
        <v>0</v>
      </c>
      <c r="J169" s="226">
        <v>0</v>
      </c>
      <c r="K169" s="226">
        <v>2585.9500000000003</v>
      </c>
      <c r="L169" s="226">
        <v>0</v>
      </c>
      <c r="M169" s="270">
        <v>0</v>
      </c>
      <c r="N169" s="270">
        <v>14900</v>
      </c>
    </row>
    <row r="170" spans="1:14">
      <c r="A170" s="276" t="s">
        <v>876</v>
      </c>
      <c r="B170" s="277" t="s">
        <v>888</v>
      </c>
      <c r="C170" s="226" t="s">
        <v>655</v>
      </c>
      <c r="D170" s="226" t="s">
        <v>656</v>
      </c>
      <c r="E170" s="226" t="s">
        <v>657</v>
      </c>
      <c r="F170" s="270">
        <v>14669.42</v>
      </c>
      <c r="G170" s="270">
        <v>0</v>
      </c>
      <c r="H170" s="226">
        <v>0</v>
      </c>
      <c r="I170" s="226">
        <v>0</v>
      </c>
      <c r="J170" s="226">
        <v>0</v>
      </c>
      <c r="K170" s="226">
        <v>3080.58</v>
      </c>
      <c r="L170" s="226">
        <v>0</v>
      </c>
      <c r="M170" s="270">
        <v>0</v>
      </c>
      <c r="N170" s="270">
        <v>17750</v>
      </c>
    </row>
    <row r="171" spans="1:14">
      <c r="A171" s="276" t="s">
        <v>876</v>
      </c>
      <c r="B171" s="277" t="s">
        <v>889</v>
      </c>
      <c r="C171" s="226" t="s">
        <v>655</v>
      </c>
      <c r="D171" s="226" t="s">
        <v>656</v>
      </c>
      <c r="E171" s="226" t="s">
        <v>657</v>
      </c>
      <c r="F171" s="270">
        <v>10743.8</v>
      </c>
      <c r="G171" s="270">
        <v>0</v>
      </c>
      <c r="H171" s="226">
        <v>0</v>
      </c>
      <c r="I171" s="226">
        <v>0</v>
      </c>
      <c r="J171" s="226">
        <v>0</v>
      </c>
      <c r="K171" s="226">
        <v>2256.2000000000003</v>
      </c>
      <c r="L171" s="226">
        <v>0</v>
      </c>
      <c r="M171" s="270">
        <v>0</v>
      </c>
      <c r="N171" s="270">
        <v>13000</v>
      </c>
    </row>
    <row r="172" spans="1:14">
      <c r="A172" s="276" t="s">
        <v>876</v>
      </c>
      <c r="B172" s="277" t="s">
        <v>890</v>
      </c>
      <c r="C172" s="226" t="s">
        <v>655</v>
      </c>
      <c r="D172" s="226" t="s">
        <v>656</v>
      </c>
      <c r="E172" s="226" t="s">
        <v>657</v>
      </c>
      <c r="F172" s="270">
        <v>34462.81</v>
      </c>
      <c r="G172" s="270">
        <v>0</v>
      </c>
      <c r="H172" s="226">
        <v>0</v>
      </c>
      <c r="I172" s="226">
        <v>0</v>
      </c>
      <c r="J172" s="226">
        <v>0</v>
      </c>
      <c r="K172" s="226">
        <v>7237.19</v>
      </c>
      <c r="L172" s="226">
        <v>0</v>
      </c>
      <c r="M172" s="270">
        <v>0</v>
      </c>
      <c r="N172" s="270">
        <v>41700</v>
      </c>
    </row>
    <row r="173" spans="1:14">
      <c r="A173" s="276" t="s">
        <v>876</v>
      </c>
      <c r="B173" s="277" t="s">
        <v>891</v>
      </c>
      <c r="C173" s="226" t="s">
        <v>655</v>
      </c>
      <c r="D173" s="226" t="s">
        <v>656</v>
      </c>
      <c r="E173" s="226" t="s">
        <v>657</v>
      </c>
      <c r="F173" s="270">
        <v>14669.42</v>
      </c>
      <c r="G173" s="270">
        <v>0</v>
      </c>
      <c r="H173" s="226">
        <v>0</v>
      </c>
      <c r="I173" s="226">
        <v>0</v>
      </c>
      <c r="J173" s="226">
        <v>0</v>
      </c>
      <c r="K173" s="226">
        <v>3080.58</v>
      </c>
      <c r="L173" s="226">
        <v>0</v>
      </c>
      <c r="M173" s="270">
        <v>0</v>
      </c>
      <c r="N173" s="270">
        <v>17750</v>
      </c>
    </row>
    <row r="174" spans="1:14">
      <c r="A174" s="276" t="s">
        <v>894</v>
      </c>
      <c r="B174" s="277" t="s">
        <v>895</v>
      </c>
      <c r="C174" s="226" t="s">
        <v>655</v>
      </c>
      <c r="D174" s="226" t="s">
        <v>656</v>
      </c>
      <c r="E174" s="226" t="s">
        <v>657</v>
      </c>
      <c r="F174" s="270">
        <v>33884.300000000003</v>
      </c>
      <c r="G174" s="270">
        <v>0</v>
      </c>
      <c r="H174" s="226">
        <v>0</v>
      </c>
      <c r="I174" s="226">
        <v>0</v>
      </c>
      <c r="J174" s="226">
        <v>0</v>
      </c>
      <c r="K174" s="226">
        <v>7115.7</v>
      </c>
      <c r="L174" s="226">
        <v>0</v>
      </c>
      <c r="M174" s="270">
        <v>0</v>
      </c>
      <c r="N174" s="270">
        <v>41000</v>
      </c>
    </row>
    <row r="175" spans="1:14">
      <c r="A175" s="276" t="s">
        <v>894</v>
      </c>
      <c r="B175" s="277" t="s">
        <v>896</v>
      </c>
      <c r="C175" s="226" t="s">
        <v>655</v>
      </c>
      <c r="D175" s="226" t="s">
        <v>656</v>
      </c>
      <c r="E175" s="226" t="s">
        <v>657</v>
      </c>
      <c r="F175" s="270">
        <v>13223.14</v>
      </c>
      <c r="G175" s="270">
        <v>0</v>
      </c>
      <c r="H175" s="226">
        <v>0</v>
      </c>
      <c r="I175" s="226">
        <v>0</v>
      </c>
      <c r="J175" s="226">
        <v>0</v>
      </c>
      <c r="K175" s="226">
        <v>2776.86</v>
      </c>
      <c r="L175" s="226">
        <v>0</v>
      </c>
      <c r="M175" s="270">
        <v>0</v>
      </c>
      <c r="N175" s="270">
        <v>16000</v>
      </c>
    </row>
    <row r="176" spans="1:14">
      <c r="A176" s="276" t="s">
        <v>894</v>
      </c>
      <c r="B176" s="277" t="s">
        <v>897</v>
      </c>
      <c r="C176" s="226" t="s">
        <v>655</v>
      </c>
      <c r="D176" s="226" t="s">
        <v>656</v>
      </c>
      <c r="E176" s="226" t="s">
        <v>657</v>
      </c>
      <c r="F176" s="270">
        <v>7438.02</v>
      </c>
      <c r="G176" s="270">
        <v>0</v>
      </c>
      <c r="H176" s="226">
        <v>0</v>
      </c>
      <c r="I176" s="226">
        <v>0</v>
      </c>
      <c r="J176" s="226">
        <v>0</v>
      </c>
      <c r="K176" s="226">
        <v>1561.98</v>
      </c>
      <c r="L176" s="226">
        <v>0</v>
      </c>
      <c r="M176" s="270">
        <v>0</v>
      </c>
      <c r="N176" s="270">
        <v>9000</v>
      </c>
    </row>
    <row r="177" spans="1:14">
      <c r="A177" s="276" t="s">
        <v>894</v>
      </c>
      <c r="B177" s="277" t="s">
        <v>898</v>
      </c>
      <c r="C177" s="226" t="s">
        <v>655</v>
      </c>
      <c r="D177" s="226" t="s">
        <v>656</v>
      </c>
      <c r="E177" s="226" t="s">
        <v>657</v>
      </c>
      <c r="F177" s="270">
        <v>24545.46</v>
      </c>
      <c r="G177" s="270">
        <v>0</v>
      </c>
      <c r="H177" s="226">
        <v>0</v>
      </c>
      <c r="I177" s="226">
        <v>0</v>
      </c>
      <c r="J177" s="226">
        <v>0</v>
      </c>
      <c r="K177" s="226">
        <v>5154.54</v>
      </c>
      <c r="L177" s="226">
        <v>0</v>
      </c>
      <c r="M177" s="270">
        <v>0</v>
      </c>
      <c r="N177" s="270">
        <v>29700</v>
      </c>
    </row>
    <row r="178" spans="1:14">
      <c r="A178" s="276" t="s">
        <v>894</v>
      </c>
      <c r="B178" s="277" t="s">
        <v>899</v>
      </c>
      <c r="C178" s="226" t="s">
        <v>655</v>
      </c>
      <c r="D178" s="226" t="s">
        <v>656</v>
      </c>
      <c r="E178" s="226" t="s">
        <v>657</v>
      </c>
      <c r="F178" s="270">
        <v>29338.84</v>
      </c>
      <c r="G178" s="270">
        <v>0</v>
      </c>
      <c r="H178" s="226">
        <v>0</v>
      </c>
      <c r="I178" s="226">
        <v>0</v>
      </c>
      <c r="J178" s="226">
        <v>0</v>
      </c>
      <c r="K178" s="226">
        <v>6161.16</v>
      </c>
      <c r="L178" s="226">
        <v>0</v>
      </c>
      <c r="M178" s="270">
        <v>0</v>
      </c>
      <c r="N178" s="270">
        <v>35500</v>
      </c>
    </row>
    <row r="179" spans="1:14">
      <c r="A179" s="276" t="s">
        <v>894</v>
      </c>
      <c r="B179" s="277" t="s">
        <v>900</v>
      </c>
      <c r="C179" s="226" t="s">
        <v>655</v>
      </c>
      <c r="D179" s="226" t="s">
        <v>656</v>
      </c>
      <c r="E179" s="226" t="s">
        <v>657</v>
      </c>
      <c r="F179" s="270">
        <v>10330.58</v>
      </c>
      <c r="G179" s="270">
        <v>0</v>
      </c>
      <c r="H179" s="226">
        <v>0</v>
      </c>
      <c r="I179" s="226">
        <v>0</v>
      </c>
      <c r="J179" s="226">
        <v>0</v>
      </c>
      <c r="K179" s="226">
        <v>2169.42</v>
      </c>
      <c r="L179" s="226">
        <v>0</v>
      </c>
      <c r="M179" s="270">
        <v>0</v>
      </c>
      <c r="N179" s="270">
        <v>12500</v>
      </c>
    </row>
    <row r="180" spans="1:14">
      <c r="A180" s="276" t="s">
        <v>894</v>
      </c>
      <c r="B180" s="277" t="s">
        <v>901</v>
      </c>
      <c r="C180" s="226" t="s">
        <v>655</v>
      </c>
      <c r="D180" s="226" t="s">
        <v>656</v>
      </c>
      <c r="E180" s="226" t="s">
        <v>657</v>
      </c>
      <c r="F180" s="270">
        <v>10743.8</v>
      </c>
      <c r="G180" s="270">
        <v>0</v>
      </c>
      <c r="H180" s="226">
        <v>0</v>
      </c>
      <c r="I180" s="226">
        <v>0</v>
      </c>
      <c r="J180" s="226">
        <v>0</v>
      </c>
      <c r="K180" s="226">
        <v>2256.2000000000003</v>
      </c>
      <c r="L180" s="226">
        <v>0</v>
      </c>
      <c r="M180" s="270">
        <v>0</v>
      </c>
      <c r="N180" s="270">
        <v>13000</v>
      </c>
    </row>
    <row r="181" spans="1:14">
      <c r="A181" s="276" t="s">
        <v>894</v>
      </c>
      <c r="B181" s="277" t="s">
        <v>902</v>
      </c>
      <c r="C181" s="226" t="s">
        <v>655</v>
      </c>
      <c r="D181" s="226" t="s">
        <v>656</v>
      </c>
      <c r="E181" s="226" t="s">
        <v>657</v>
      </c>
      <c r="F181" s="270">
        <v>26033.06</v>
      </c>
      <c r="G181" s="270">
        <v>0</v>
      </c>
      <c r="H181" s="226">
        <v>0</v>
      </c>
      <c r="I181" s="226">
        <v>0</v>
      </c>
      <c r="J181" s="226">
        <v>0</v>
      </c>
      <c r="K181" s="226">
        <v>5466.94</v>
      </c>
      <c r="L181" s="226">
        <v>0</v>
      </c>
      <c r="M181" s="270">
        <v>0</v>
      </c>
      <c r="N181" s="270">
        <v>31500</v>
      </c>
    </row>
    <row r="182" spans="1:14">
      <c r="A182" s="276" t="s">
        <v>894</v>
      </c>
      <c r="B182" s="277" t="s">
        <v>903</v>
      </c>
      <c r="C182" s="226" t="s">
        <v>655</v>
      </c>
      <c r="D182" s="226" t="s">
        <v>656</v>
      </c>
      <c r="E182" s="226" t="s">
        <v>657</v>
      </c>
      <c r="F182" s="270">
        <v>11404.96</v>
      </c>
      <c r="G182" s="270">
        <v>0</v>
      </c>
      <c r="H182" s="226">
        <v>0</v>
      </c>
      <c r="I182" s="226">
        <v>0</v>
      </c>
      <c r="J182" s="226">
        <v>0</v>
      </c>
      <c r="K182" s="226">
        <v>2395.04</v>
      </c>
      <c r="L182" s="226">
        <v>0</v>
      </c>
      <c r="M182" s="270">
        <v>0</v>
      </c>
      <c r="N182" s="270">
        <v>13800</v>
      </c>
    </row>
    <row r="183" spans="1:14">
      <c r="A183" s="276" t="s">
        <v>894</v>
      </c>
      <c r="B183" s="277" t="s">
        <v>904</v>
      </c>
      <c r="C183" s="226" t="s">
        <v>655</v>
      </c>
      <c r="D183" s="226" t="s">
        <v>656</v>
      </c>
      <c r="E183" s="226" t="s">
        <v>657</v>
      </c>
      <c r="F183" s="270">
        <v>10661.16</v>
      </c>
      <c r="G183" s="270">
        <v>0</v>
      </c>
      <c r="H183" s="226">
        <v>0</v>
      </c>
      <c r="I183" s="226">
        <v>0</v>
      </c>
      <c r="J183" s="226">
        <v>0</v>
      </c>
      <c r="K183" s="226">
        <v>2238.84</v>
      </c>
      <c r="L183" s="226">
        <v>0</v>
      </c>
      <c r="M183" s="270">
        <v>0</v>
      </c>
      <c r="N183" s="270">
        <v>12900</v>
      </c>
    </row>
    <row r="184" spans="1:14">
      <c r="A184" s="276" t="s">
        <v>894</v>
      </c>
      <c r="B184" s="277" t="s">
        <v>905</v>
      </c>
      <c r="C184" s="226" t="s">
        <v>655</v>
      </c>
      <c r="D184" s="226" t="s">
        <v>656</v>
      </c>
      <c r="E184" s="226" t="s">
        <v>657</v>
      </c>
      <c r="F184" s="270">
        <v>24628.1</v>
      </c>
      <c r="G184" s="270">
        <v>0</v>
      </c>
      <c r="H184" s="226">
        <v>0</v>
      </c>
      <c r="I184" s="226">
        <v>0</v>
      </c>
      <c r="J184" s="226">
        <v>0</v>
      </c>
      <c r="K184" s="226">
        <v>5171.9000000000005</v>
      </c>
      <c r="L184" s="226">
        <v>0</v>
      </c>
      <c r="M184" s="270">
        <v>0</v>
      </c>
      <c r="N184" s="270">
        <v>29800</v>
      </c>
    </row>
    <row r="185" spans="1:14">
      <c r="A185" s="276" t="s">
        <v>894</v>
      </c>
      <c r="B185" s="277" t="s">
        <v>906</v>
      </c>
      <c r="C185" s="226" t="s">
        <v>655</v>
      </c>
      <c r="D185" s="226" t="s">
        <v>656</v>
      </c>
      <c r="E185" s="226" t="s">
        <v>657</v>
      </c>
      <c r="F185" s="270">
        <v>42396.69</v>
      </c>
      <c r="G185" s="270">
        <v>0</v>
      </c>
      <c r="H185" s="226">
        <v>0</v>
      </c>
      <c r="I185" s="226">
        <v>0</v>
      </c>
      <c r="J185" s="226">
        <v>0</v>
      </c>
      <c r="K185" s="226">
        <v>8903.31</v>
      </c>
      <c r="L185" s="226">
        <v>0</v>
      </c>
      <c r="M185" s="270">
        <v>0</v>
      </c>
      <c r="N185" s="270">
        <v>51300</v>
      </c>
    </row>
    <row r="186" spans="1:14">
      <c r="A186" s="276" t="s">
        <v>894</v>
      </c>
      <c r="B186" s="277" t="s">
        <v>907</v>
      </c>
      <c r="C186" s="226" t="s">
        <v>655</v>
      </c>
      <c r="D186" s="226" t="s">
        <v>656</v>
      </c>
      <c r="E186" s="226" t="s">
        <v>657</v>
      </c>
      <c r="F186" s="270">
        <v>13223.14</v>
      </c>
      <c r="G186" s="270">
        <v>0</v>
      </c>
      <c r="H186" s="226">
        <v>0</v>
      </c>
      <c r="I186" s="226">
        <v>0</v>
      </c>
      <c r="J186" s="226">
        <v>0</v>
      </c>
      <c r="K186" s="226">
        <v>2776.86</v>
      </c>
      <c r="L186" s="226">
        <v>0</v>
      </c>
      <c r="M186" s="270">
        <v>0</v>
      </c>
      <c r="N186" s="270">
        <v>16000</v>
      </c>
    </row>
    <row r="187" spans="1:14">
      <c r="A187" s="276" t="s">
        <v>894</v>
      </c>
      <c r="B187" s="277" t="s">
        <v>908</v>
      </c>
      <c r="C187" s="226" t="s">
        <v>655</v>
      </c>
      <c r="D187" s="226" t="s">
        <v>656</v>
      </c>
      <c r="E187" s="226" t="s">
        <v>657</v>
      </c>
      <c r="F187" s="270">
        <v>3057.85</v>
      </c>
      <c r="G187" s="270">
        <v>0</v>
      </c>
      <c r="H187" s="226">
        <v>0</v>
      </c>
      <c r="I187" s="226">
        <v>0</v>
      </c>
      <c r="J187" s="226">
        <v>0</v>
      </c>
      <c r="K187" s="226">
        <v>642.15</v>
      </c>
      <c r="L187" s="226">
        <v>0</v>
      </c>
      <c r="M187" s="270">
        <v>0</v>
      </c>
      <c r="N187" s="270">
        <v>3700</v>
      </c>
    </row>
    <row r="188" spans="1:14">
      <c r="A188" s="276" t="s">
        <v>915</v>
      </c>
      <c r="B188" s="277" t="s">
        <v>916</v>
      </c>
      <c r="C188" s="226" t="s">
        <v>655</v>
      </c>
      <c r="D188" s="226" t="s">
        <v>656</v>
      </c>
      <c r="E188" s="226" t="s">
        <v>657</v>
      </c>
      <c r="F188" s="270">
        <v>46942.15</v>
      </c>
      <c r="G188" s="270">
        <v>0</v>
      </c>
      <c r="H188" s="226">
        <v>0</v>
      </c>
      <c r="I188" s="226">
        <v>0</v>
      </c>
      <c r="J188" s="226">
        <v>0</v>
      </c>
      <c r="K188" s="226">
        <v>9857.85</v>
      </c>
      <c r="L188" s="226">
        <v>0</v>
      </c>
      <c r="M188" s="270">
        <v>0</v>
      </c>
      <c r="N188" s="270">
        <v>56800</v>
      </c>
    </row>
    <row r="189" spans="1:14">
      <c r="A189" s="276" t="s">
        <v>915</v>
      </c>
      <c r="B189" s="277" t="s">
        <v>917</v>
      </c>
      <c r="C189" s="226" t="s">
        <v>655</v>
      </c>
      <c r="D189" s="226" t="s">
        <v>656</v>
      </c>
      <c r="E189" s="226" t="s">
        <v>657</v>
      </c>
      <c r="F189" s="270">
        <v>29090.91</v>
      </c>
      <c r="G189" s="270">
        <v>0</v>
      </c>
      <c r="H189" s="226">
        <v>0</v>
      </c>
      <c r="I189" s="226">
        <v>0</v>
      </c>
      <c r="J189" s="226">
        <v>0</v>
      </c>
      <c r="K189" s="226">
        <v>6109.09</v>
      </c>
      <c r="L189" s="226">
        <v>0</v>
      </c>
      <c r="M189" s="270">
        <v>0</v>
      </c>
      <c r="N189" s="270">
        <v>35200</v>
      </c>
    </row>
    <row r="190" spans="1:14">
      <c r="A190" s="276" t="s">
        <v>915</v>
      </c>
      <c r="B190" s="277" t="s">
        <v>918</v>
      </c>
      <c r="C190" s="226" t="s">
        <v>655</v>
      </c>
      <c r="D190" s="226" t="s">
        <v>656</v>
      </c>
      <c r="E190" s="226" t="s">
        <v>657</v>
      </c>
      <c r="F190" s="270">
        <v>21487.599999999999</v>
      </c>
      <c r="G190" s="270">
        <v>0</v>
      </c>
      <c r="H190" s="226">
        <v>0</v>
      </c>
      <c r="I190" s="226">
        <v>0</v>
      </c>
      <c r="J190" s="226">
        <v>0</v>
      </c>
      <c r="K190" s="226">
        <v>4512.4000000000005</v>
      </c>
      <c r="L190" s="226">
        <v>0</v>
      </c>
      <c r="M190" s="270">
        <v>0</v>
      </c>
      <c r="N190" s="270">
        <v>26000</v>
      </c>
    </row>
    <row r="191" spans="1:14">
      <c r="A191" s="276" t="s">
        <v>915</v>
      </c>
      <c r="B191" s="277" t="s">
        <v>919</v>
      </c>
      <c r="C191" s="226" t="s">
        <v>655</v>
      </c>
      <c r="D191" s="226" t="s">
        <v>656</v>
      </c>
      <c r="E191" s="226" t="s">
        <v>657</v>
      </c>
      <c r="F191" s="270">
        <v>11487.6</v>
      </c>
      <c r="G191" s="270">
        <v>0</v>
      </c>
      <c r="H191" s="226">
        <v>0</v>
      </c>
      <c r="I191" s="226">
        <v>0</v>
      </c>
      <c r="J191" s="226">
        <v>0</v>
      </c>
      <c r="K191" s="226">
        <v>2412.4</v>
      </c>
      <c r="L191" s="226">
        <v>0</v>
      </c>
      <c r="M191" s="270">
        <v>0</v>
      </c>
      <c r="N191" s="270">
        <v>13900</v>
      </c>
    </row>
    <row r="192" spans="1:14">
      <c r="A192" s="276" t="s">
        <v>915</v>
      </c>
      <c r="B192" s="277" t="s">
        <v>920</v>
      </c>
      <c r="C192" s="226" t="s">
        <v>655</v>
      </c>
      <c r="D192" s="226" t="s">
        <v>656</v>
      </c>
      <c r="E192" s="226" t="s">
        <v>657</v>
      </c>
      <c r="F192" s="270">
        <v>10743.8</v>
      </c>
      <c r="G192" s="270">
        <v>0</v>
      </c>
      <c r="H192" s="226">
        <v>0</v>
      </c>
      <c r="I192" s="226">
        <v>0</v>
      </c>
      <c r="J192" s="226">
        <v>0</v>
      </c>
      <c r="K192" s="226">
        <v>2256.2000000000003</v>
      </c>
      <c r="L192" s="226">
        <v>0</v>
      </c>
      <c r="M192" s="270">
        <v>0</v>
      </c>
      <c r="N192" s="270">
        <v>13000</v>
      </c>
    </row>
    <row r="193" spans="1:14">
      <c r="A193" s="276" t="s">
        <v>915</v>
      </c>
      <c r="B193" s="277" t="s">
        <v>921</v>
      </c>
      <c r="C193" s="226" t="s">
        <v>655</v>
      </c>
      <c r="D193" s="226" t="s">
        <v>656</v>
      </c>
      <c r="E193" s="226" t="s">
        <v>657</v>
      </c>
      <c r="F193" s="270">
        <v>10743.8</v>
      </c>
      <c r="G193" s="270">
        <v>0</v>
      </c>
      <c r="H193" s="226">
        <v>0</v>
      </c>
      <c r="I193" s="226">
        <v>0</v>
      </c>
      <c r="J193" s="226">
        <v>0</v>
      </c>
      <c r="K193" s="226">
        <v>2256.2000000000003</v>
      </c>
      <c r="L193" s="226">
        <v>0</v>
      </c>
      <c r="M193" s="270">
        <v>0</v>
      </c>
      <c r="N193" s="270">
        <v>13000</v>
      </c>
    </row>
    <row r="194" spans="1:14">
      <c r="A194" s="276" t="s">
        <v>915</v>
      </c>
      <c r="B194" s="277" t="s">
        <v>922</v>
      </c>
      <c r="C194" s="226" t="s">
        <v>655</v>
      </c>
      <c r="D194" s="226" t="s">
        <v>656</v>
      </c>
      <c r="E194" s="226" t="s">
        <v>657</v>
      </c>
      <c r="F194" s="270">
        <v>14669.42</v>
      </c>
      <c r="G194" s="270">
        <v>0</v>
      </c>
      <c r="H194" s="226">
        <v>0</v>
      </c>
      <c r="I194" s="226">
        <v>0</v>
      </c>
      <c r="J194" s="226">
        <v>0</v>
      </c>
      <c r="K194" s="226">
        <v>3080.58</v>
      </c>
      <c r="L194" s="226">
        <v>0</v>
      </c>
      <c r="M194" s="270">
        <v>0</v>
      </c>
      <c r="N194" s="270">
        <v>17750</v>
      </c>
    </row>
    <row r="195" spans="1:14">
      <c r="A195" s="276" t="s">
        <v>915</v>
      </c>
      <c r="B195" s="277" t="s">
        <v>923</v>
      </c>
      <c r="C195" s="226" t="s">
        <v>655</v>
      </c>
      <c r="D195" s="226" t="s">
        <v>656</v>
      </c>
      <c r="E195" s="226" t="s">
        <v>657</v>
      </c>
      <c r="F195" s="270">
        <v>17603.310000000001</v>
      </c>
      <c r="G195" s="270">
        <v>0</v>
      </c>
      <c r="H195" s="226">
        <v>0</v>
      </c>
      <c r="I195" s="226">
        <v>0</v>
      </c>
      <c r="J195" s="226">
        <v>0</v>
      </c>
      <c r="K195" s="226">
        <v>3696.69</v>
      </c>
      <c r="L195" s="226">
        <v>0</v>
      </c>
      <c r="M195" s="270">
        <v>0</v>
      </c>
      <c r="N195" s="270">
        <v>21300</v>
      </c>
    </row>
    <row r="196" spans="1:14">
      <c r="A196" s="276" t="s">
        <v>915</v>
      </c>
      <c r="B196" s="277" t="s">
        <v>924</v>
      </c>
      <c r="C196" s="226" t="s">
        <v>655</v>
      </c>
      <c r="D196" s="226" t="s">
        <v>656</v>
      </c>
      <c r="E196" s="226" t="s">
        <v>657</v>
      </c>
      <c r="F196" s="270">
        <v>19834.71</v>
      </c>
      <c r="G196" s="270">
        <v>0</v>
      </c>
      <c r="H196" s="226">
        <v>0</v>
      </c>
      <c r="I196" s="226">
        <v>0</v>
      </c>
      <c r="J196" s="226">
        <v>0</v>
      </c>
      <c r="K196" s="226">
        <v>4165.29</v>
      </c>
      <c r="L196" s="226">
        <v>0</v>
      </c>
      <c r="M196" s="270">
        <v>0</v>
      </c>
      <c r="N196" s="270">
        <v>24000</v>
      </c>
    </row>
    <row r="197" spans="1:14">
      <c r="A197" s="276" t="s">
        <v>915</v>
      </c>
      <c r="B197" s="277" t="s">
        <v>925</v>
      </c>
      <c r="C197" s="226" t="s">
        <v>655</v>
      </c>
      <c r="D197" s="226" t="s">
        <v>656</v>
      </c>
      <c r="E197" s="226" t="s">
        <v>657</v>
      </c>
      <c r="F197" s="270">
        <v>86528.93</v>
      </c>
      <c r="G197" s="270">
        <v>0</v>
      </c>
      <c r="H197" s="226">
        <v>0</v>
      </c>
      <c r="I197" s="226">
        <v>0</v>
      </c>
      <c r="J197" s="226">
        <v>0</v>
      </c>
      <c r="K197" s="226">
        <v>18171.07</v>
      </c>
      <c r="L197" s="226">
        <v>0</v>
      </c>
      <c r="M197" s="270">
        <v>0</v>
      </c>
      <c r="N197" s="270">
        <v>104700</v>
      </c>
    </row>
    <row r="198" spans="1:14">
      <c r="A198" s="276" t="s">
        <v>915</v>
      </c>
      <c r="B198" s="277" t="s">
        <v>926</v>
      </c>
      <c r="C198" s="226" t="s">
        <v>655</v>
      </c>
      <c r="D198" s="226" t="s">
        <v>656</v>
      </c>
      <c r="E198" s="226" t="s">
        <v>657</v>
      </c>
      <c r="F198" s="270">
        <v>21487.599999999999</v>
      </c>
      <c r="G198" s="270">
        <v>0</v>
      </c>
      <c r="H198" s="226">
        <v>0</v>
      </c>
      <c r="I198" s="226">
        <v>0</v>
      </c>
      <c r="J198" s="226">
        <v>0</v>
      </c>
      <c r="K198" s="226">
        <v>4512.4000000000005</v>
      </c>
      <c r="L198" s="226">
        <v>0</v>
      </c>
      <c r="M198" s="270">
        <v>0</v>
      </c>
      <c r="N198" s="270">
        <v>26000</v>
      </c>
    </row>
    <row r="199" spans="1:14">
      <c r="A199" s="276" t="s">
        <v>927</v>
      </c>
      <c r="B199" s="277" t="s">
        <v>928</v>
      </c>
      <c r="C199" s="226" t="s">
        <v>655</v>
      </c>
      <c r="D199" s="226" t="s">
        <v>656</v>
      </c>
      <c r="E199" s="226" t="s">
        <v>657</v>
      </c>
      <c r="F199" s="270">
        <v>13223.14</v>
      </c>
      <c r="G199" s="270">
        <v>0</v>
      </c>
      <c r="H199" s="226">
        <v>0</v>
      </c>
      <c r="I199" s="226">
        <v>0</v>
      </c>
      <c r="J199" s="226">
        <v>0</v>
      </c>
      <c r="K199" s="226">
        <v>2776.86</v>
      </c>
      <c r="L199" s="226">
        <v>0</v>
      </c>
      <c r="M199" s="270">
        <v>0</v>
      </c>
      <c r="N199" s="270">
        <v>16000</v>
      </c>
    </row>
    <row r="200" spans="1:14">
      <c r="A200" s="276" t="s">
        <v>927</v>
      </c>
      <c r="B200" s="277" t="s">
        <v>929</v>
      </c>
      <c r="C200" s="226" t="s">
        <v>655</v>
      </c>
      <c r="D200" s="226" t="s">
        <v>656</v>
      </c>
      <c r="E200" s="226" t="s">
        <v>657</v>
      </c>
      <c r="F200" s="270">
        <v>12975.21</v>
      </c>
      <c r="G200" s="270">
        <v>0</v>
      </c>
      <c r="H200" s="226">
        <v>0</v>
      </c>
      <c r="I200" s="226">
        <v>0</v>
      </c>
      <c r="J200" s="226">
        <v>0</v>
      </c>
      <c r="K200" s="226">
        <v>2724.79</v>
      </c>
      <c r="L200" s="226">
        <v>0</v>
      </c>
      <c r="M200" s="270">
        <v>0</v>
      </c>
      <c r="N200" s="270">
        <v>15700</v>
      </c>
    </row>
    <row r="201" spans="1:14">
      <c r="A201" s="276" t="s">
        <v>927</v>
      </c>
      <c r="B201" s="277" t="s">
        <v>930</v>
      </c>
      <c r="C201" s="226" t="s">
        <v>655</v>
      </c>
      <c r="D201" s="226" t="s">
        <v>656</v>
      </c>
      <c r="E201" s="226" t="s">
        <v>657</v>
      </c>
      <c r="F201" s="270">
        <v>41322.31</v>
      </c>
      <c r="G201" s="270">
        <v>0</v>
      </c>
      <c r="H201" s="226">
        <v>0</v>
      </c>
      <c r="I201" s="226">
        <v>0</v>
      </c>
      <c r="J201" s="226">
        <v>0</v>
      </c>
      <c r="K201" s="226">
        <v>8677.69</v>
      </c>
      <c r="L201" s="226">
        <v>0</v>
      </c>
      <c r="M201" s="270">
        <v>0</v>
      </c>
      <c r="N201" s="270">
        <v>50000</v>
      </c>
    </row>
    <row r="202" spans="1:14">
      <c r="A202" s="276" t="s">
        <v>927</v>
      </c>
      <c r="B202" s="277" t="s">
        <v>931</v>
      </c>
      <c r="C202" s="226" t="s">
        <v>655</v>
      </c>
      <c r="D202" s="226" t="s">
        <v>656</v>
      </c>
      <c r="E202" s="226" t="s">
        <v>657</v>
      </c>
      <c r="F202" s="270">
        <v>24669.42</v>
      </c>
      <c r="G202" s="270">
        <v>0</v>
      </c>
      <c r="H202" s="226">
        <v>0</v>
      </c>
      <c r="I202" s="226">
        <v>0</v>
      </c>
      <c r="J202" s="226">
        <v>0</v>
      </c>
      <c r="K202" s="226">
        <v>5180.58</v>
      </c>
      <c r="L202" s="226">
        <v>0</v>
      </c>
      <c r="M202" s="270">
        <v>0</v>
      </c>
      <c r="N202" s="270">
        <v>29850</v>
      </c>
    </row>
    <row r="203" spans="1:14">
      <c r="A203" s="276" t="s">
        <v>927</v>
      </c>
      <c r="B203" s="277" t="s">
        <v>932</v>
      </c>
      <c r="C203" s="226" t="s">
        <v>655</v>
      </c>
      <c r="D203" s="226" t="s">
        <v>656</v>
      </c>
      <c r="E203" s="226" t="s">
        <v>657</v>
      </c>
      <c r="F203" s="270">
        <v>4132.2300000000005</v>
      </c>
      <c r="G203" s="270">
        <v>0</v>
      </c>
      <c r="H203" s="226">
        <v>0</v>
      </c>
      <c r="I203" s="226">
        <v>0</v>
      </c>
      <c r="J203" s="226">
        <v>0</v>
      </c>
      <c r="K203" s="226">
        <v>867.77</v>
      </c>
      <c r="L203" s="226">
        <v>0</v>
      </c>
      <c r="M203" s="270">
        <v>0</v>
      </c>
      <c r="N203" s="270">
        <v>5000</v>
      </c>
    </row>
    <row r="204" spans="1:14">
      <c r="A204" s="276" t="s">
        <v>927</v>
      </c>
      <c r="B204" s="277" t="s">
        <v>933</v>
      </c>
      <c r="C204" s="226" t="s">
        <v>655</v>
      </c>
      <c r="D204" s="226" t="s">
        <v>656</v>
      </c>
      <c r="E204" s="226" t="s">
        <v>657</v>
      </c>
      <c r="F204" s="270">
        <v>61157.02</v>
      </c>
      <c r="G204" s="270">
        <v>0</v>
      </c>
      <c r="H204" s="226">
        <v>0</v>
      </c>
      <c r="I204" s="226">
        <v>0</v>
      </c>
      <c r="J204" s="226">
        <v>0</v>
      </c>
      <c r="K204" s="226">
        <v>12842.98</v>
      </c>
      <c r="L204" s="226">
        <v>0</v>
      </c>
      <c r="M204" s="270">
        <v>0</v>
      </c>
      <c r="N204" s="270">
        <v>74000</v>
      </c>
    </row>
    <row r="205" spans="1:14">
      <c r="A205" s="276" t="s">
        <v>927</v>
      </c>
      <c r="B205" s="277" t="s">
        <v>934</v>
      </c>
      <c r="C205" s="226" t="s">
        <v>655</v>
      </c>
      <c r="D205" s="226" t="s">
        <v>656</v>
      </c>
      <c r="E205" s="226" t="s">
        <v>657</v>
      </c>
      <c r="F205" s="270">
        <v>21487.599999999999</v>
      </c>
      <c r="G205" s="270">
        <v>0</v>
      </c>
      <c r="H205" s="226">
        <v>0</v>
      </c>
      <c r="I205" s="226">
        <v>0</v>
      </c>
      <c r="J205" s="226">
        <v>0</v>
      </c>
      <c r="K205" s="226">
        <v>4512.4000000000005</v>
      </c>
      <c r="L205" s="226">
        <v>0</v>
      </c>
      <c r="M205" s="270">
        <v>0</v>
      </c>
      <c r="N205" s="270">
        <v>26000</v>
      </c>
    </row>
    <row r="206" spans="1:14">
      <c r="A206" s="276" t="s">
        <v>927</v>
      </c>
      <c r="B206" s="277" t="s">
        <v>935</v>
      </c>
      <c r="C206" s="226" t="s">
        <v>655</v>
      </c>
      <c r="D206" s="226" t="s">
        <v>656</v>
      </c>
      <c r="E206" s="226" t="s">
        <v>657</v>
      </c>
      <c r="F206" s="270">
        <v>10743.8</v>
      </c>
      <c r="G206" s="270">
        <v>0</v>
      </c>
      <c r="H206" s="226">
        <v>0</v>
      </c>
      <c r="I206" s="226">
        <v>0</v>
      </c>
      <c r="J206" s="226">
        <v>0</v>
      </c>
      <c r="K206" s="226">
        <v>2256.2000000000003</v>
      </c>
      <c r="L206" s="226">
        <v>0</v>
      </c>
      <c r="M206" s="270">
        <v>0</v>
      </c>
      <c r="N206" s="270">
        <v>13000</v>
      </c>
    </row>
    <row r="207" spans="1:14">
      <c r="A207" s="276" t="s">
        <v>927</v>
      </c>
      <c r="B207" s="277" t="s">
        <v>936</v>
      </c>
      <c r="C207" s="226" t="s">
        <v>655</v>
      </c>
      <c r="D207" s="226" t="s">
        <v>656</v>
      </c>
      <c r="E207" s="226" t="s">
        <v>657</v>
      </c>
      <c r="F207" s="270">
        <v>10743.8</v>
      </c>
      <c r="G207" s="270">
        <v>0</v>
      </c>
      <c r="H207" s="226">
        <v>0</v>
      </c>
      <c r="I207" s="226">
        <v>0</v>
      </c>
      <c r="J207" s="226">
        <v>0</v>
      </c>
      <c r="K207" s="226">
        <v>2256.2000000000003</v>
      </c>
      <c r="L207" s="226">
        <v>0</v>
      </c>
      <c r="M207" s="270">
        <v>0</v>
      </c>
      <c r="N207" s="270">
        <v>13000</v>
      </c>
    </row>
    <row r="208" spans="1:14">
      <c r="A208" s="276" t="s">
        <v>927</v>
      </c>
      <c r="B208" s="277" t="s">
        <v>937</v>
      </c>
      <c r="C208" s="226" t="s">
        <v>655</v>
      </c>
      <c r="D208" s="226" t="s">
        <v>656</v>
      </c>
      <c r="E208" s="226" t="s">
        <v>657</v>
      </c>
      <c r="F208" s="270">
        <v>21487.599999999999</v>
      </c>
      <c r="G208" s="270">
        <v>0</v>
      </c>
      <c r="H208" s="226">
        <v>0</v>
      </c>
      <c r="I208" s="226">
        <v>0</v>
      </c>
      <c r="J208" s="226">
        <v>0</v>
      </c>
      <c r="K208" s="226">
        <v>4512.4000000000005</v>
      </c>
      <c r="L208" s="226">
        <v>0</v>
      </c>
      <c r="M208" s="270">
        <v>0</v>
      </c>
      <c r="N208" s="270">
        <v>26000</v>
      </c>
    </row>
    <row r="209" spans="1:14">
      <c r="A209" s="276" t="s">
        <v>927</v>
      </c>
      <c r="B209" s="277" t="s">
        <v>938</v>
      </c>
      <c r="C209" s="226" t="s">
        <v>655</v>
      </c>
      <c r="D209" s="226" t="s">
        <v>656</v>
      </c>
      <c r="E209" s="226" t="s">
        <v>657</v>
      </c>
      <c r="F209" s="270">
        <v>15702.48</v>
      </c>
      <c r="G209" s="270">
        <v>0</v>
      </c>
      <c r="H209" s="226">
        <v>0</v>
      </c>
      <c r="I209" s="226">
        <v>0</v>
      </c>
      <c r="J209" s="226">
        <v>0</v>
      </c>
      <c r="K209" s="226">
        <v>3297.52</v>
      </c>
      <c r="L209" s="226">
        <v>0</v>
      </c>
      <c r="M209" s="270">
        <v>0</v>
      </c>
      <c r="N209" s="270">
        <v>19000</v>
      </c>
    </row>
    <row r="210" spans="1:14">
      <c r="A210" s="276" t="s">
        <v>927</v>
      </c>
      <c r="B210" s="277" t="s">
        <v>939</v>
      </c>
      <c r="C210" s="226" t="s">
        <v>655</v>
      </c>
      <c r="D210" s="226" t="s">
        <v>656</v>
      </c>
      <c r="E210" s="226" t="s">
        <v>657</v>
      </c>
      <c r="F210" s="270">
        <v>67768.600000000006</v>
      </c>
      <c r="G210" s="270">
        <v>0</v>
      </c>
      <c r="H210" s="226">
        <v>0</v>
      </c>
      <c r="I210" s="226">
        <v>0</v>
      </c>
      <c r="J210" s="226">
        <v>0</v>
      </c>
      <c r="K210" s="226">
        <v>14231.4</v>
      </c>
      <c r="L210" s="226">
        <v>0</v>
      </c>
      <c r="M210" s="270">
        <v>0</v>
      </c>
      <c r="N210" s="270">
        <v>82000</v>
      </c>
    </row>
    <row r="211" spans="1:14">
      <c r="A211" s="276" t="s">
        <v>927</v>
      </c>
      <c r="B211" s="277" t="s">
        <v>940</v>
      </c>
      <c r="C211" s="226" t="s">
        <v>655</v>
      </c>
      <c r="D211" s="226" t="s">
        <v>656</v>
      </c>
      <c r="E211" s="226" t="s">
        <v>657</v>
      </c>
      <c r="F211" s="270">
        <v>10743.8</v>
      </c>
      <c r="G211" s="270">
        <v>0</v>
      </c>
      <c r="H211" s="226">
        <v>0</v>
      </c>
      <c r="I211" s="226">
        <v>0</v>
      </c>
      <c r="J211" s="226">
        <v>0</v>
      </c>
      <c r="K211" s="226">
        <v>2256.2000000000003</v>
      </c>
      <c r="L211" s="226">
        <v>0</v>
      </c>
      <c r="M211" s="270">
        <v>0</v>
      </c>
      <c r="N211" s="270">
        <v>13000</v>
      </c>
    </row>
    <row r="212" spans="1:14">
      <c r="A212" s="276" t="s">
        <v>943</v>
      </c>
      <c r="B212" s="277" t="s">
        <v>944</v>
      </c>
      <c r="C212" s="226" t="s">
        <v>655</v>
      </c>
      <c r="D212" s="226" t="s">
        <v>656</v>
      </c>
      <c r="E212" s="226" t="s">
        <v>657</v>
      </c>
      <c r="F212" s="270">
        <v>10743.8</v>
      </c>
      <c r="G212" s="270">
        <v>0</v>
      </c>
      <c r="H212" s="226">
        <v>0</v>
      </c>
      <c r="I212" s="226">
        <v>0</v>
      </c>
      <c r="J212" s="226">
        <v>0</v>
      </c>
      <c r="K212" s="226">
        <v>2256.2000000000003</v>
      </c>
      <c r="L212" s="226">
        <v>0</v>
      </c>
      <c r="M212" s="270">
        <v>0</v>
      </c>
      <c r="N212" s="270">
        <v>13000</v>
      </c>
    </row>
    <row r="213" spans="1:14">
      <c r="A213" s="276" t="s">
        <v>943</v>
      </c>
      <c r="B213" s="277" t="s">
        <v>945</v>
      </c>
      <c r="C213" s="226" t="s">
        <v>655</v>
      </c>
      <c r="D213" s="226" t="s">
        <v>656</v>
      </c>
      <c r="E213" s="226" t="s">
        <v>657</v>
      </c>
      <c r="F213" s="270">
        <v>13181.82</v>
      </c>
      <c r="G213" s="270">
        <v>0</v>
      </c>
      <c r="H213" s="226">
        <v>0</v>
      </c>
      <c r="I213" s="226">
        <v>0</v>
      </c>
      <c r="J213" s="226">
        <v>0</v>
      </c>
      <c r="K213" s="226">
        <v>2768.18</v>
      </c>
      <c r="L213" s="226">
        <v>0</v>
      </c>
      <c r="M213" s="270">
        <v>0</v>
      </c>
      <c r="N213" s="270">
        <v>15950</v>
      </c>
    </row>
    <row r="214" spans="1:14">
      <c r="A214" s="276" t="s">
        <v>943</v>
      </c>
      <c r="B214" s="277" t="s">
        <v>946</v>
      </c>
      <c r="C214" s="226" t="s">
        <v>655</v>
      </c>
      <c r="D214" s="226" t="s">
        <v>656</v>
      </c>
      <c r="E214" s="226" t="s">
        <v>657</v>
      </c>
      <c r="F214" s="270">
        <v>7438.02</v>
      </c>
      <c r="G214" s="270">
        <v>0</v>
      </c>
      <c r="H214" s="226">
        <v>0</v>
      </c>
      <c r="I214" s="226">
        <v>0</v>
      </c>
      <c r="J214" s="226">
        <v>0</v>
      </c>
      <c r="K214" s="226">
        <v>1561.98</v>
      </c>
      <c r="L214" s="226">
        <v>0</v>
      </c>
      <c r="M214" s="270">
        <v>0</v>
      </c>
      <c r="N214" s="270">
        <v>9000</v>
      </c>
    </row>
    <row r="215" spans="1:14">
      <c r="A215" s="276" t="s">
        <v>943</v>
      </c>
      <c r="B215" s="277" t="s">
        <v>947</v>
      </c>
      <c r="C215" s="226" t="s">
        <v>655</v>
      </c>
      <c r="D215" s="226" t="s">
        <v>656</v>
      </c>
      <c r="E215" s="226" t="s">
        <v>657</v>
      </c>
      <c r="F215" s="270">
        <v>13223.14</v>
      </c>
      <c r="G215" s="270">
        <v>0</v>
      </c>
      <c r="H215" s="226">
        <v>0</v>
      </c>
      <c r="I215" s="226">
        <v>0</v>
      </c>
      <c r="J215" s="226">
        <v>0</v>
      </c>
      <c r="K215" s="226">
        <v>2776.86</v>
      </c>
      <c r="L215" s="226">
        <v>0</v>
      </c>
      <c r="M215" s="270">
        <v>0</v>
      </c>
      <c r="N215" s="270">
        <v>16000</v>
      </c>
    </row>
    <row r="216" spans="1:14">
      <c r="A216" s="276" t="s">
        <v>943</v>
      </c>
      <c r="B216" s="277" t="s">
        <v>948</v>
      </c>
      <c r="C216" s="226" t="s">
        <v>655</v>
      </c>
      <c r="D216" s="226" t="s">
        <v>656</v>
      </c>
      <c r="E216" s="226" t="s">
        <v>657</v>
      </c>
      <c r="F216" s="270">
        <v>22892.560000000001</v>
      </c>
      <c r="G216" s="270">
        <v>0</v>
      </c>
      <c r="H216" s="226">
        <v>0</v>
      </c>
      <c r="I216" s="226">
        <v>0</v>
      </c>
      <c r="J216" s="226">
        <v>0</v>
      </c>
      <c r="K216" s="226">
        <v>4807.4400000000005</v>
      </c>
      <c r="L216" s="226">
        <v>0</v>
      </c>
      <c r="M216" s="270">
        <v>0</v>
      </c>
      <c r="N216" s="270">
        <v>27700</v>
      </c>
    </row>
    <row r="217" spans="1:14">
      <c r="A217" s="276" t="s">
        <v>943</v>
      </c>
      <c r="B217" s="277" t="s">
        <v>949</v>
      </c>
      <c r="C217" s="226" t="s">
        <v>655</v>
      </c>
      <c r="D217" s="226" t="s">
        <v>656</v>
      </c>
      <c r="E217" s="226" t="s">
        <v>657</v>
      </c>
      <c r="F217" s="270">
        <v>2892.56</v>
      </c>
      <c r="G217" s="270">
        <v>0</v>
      </c>
      <c r="H217" s="226">
        <v>0</v>
      </c>
      <c r="I217" s="226">
        <v>0</v>
      </c>
      <c r="J217" s="226">
        <v>0</v>
      </c>
      <c r="K217" s="226">
        <v>607.44000000000005</v>
      </c>
      <c r="L217" s="226">
        <v>0</v>
      </c>
      <c r="M217" s="270">
        <v>0</v>
      </c>
      <c r="N217" s="270">
        <v>3500</v>
      </c>
    </row>
    <row r="218" spans="1:14">
      <c r="A218" s="276" t="s">
        <v>943</v>
      </c>
      <c r="B218" s="277" t="s">
        <v>950</v>
      </c>
      <c r="C218" s="226" t="s">
        <v>655</v>
      </c>
      <c r="D218" s="226" t="s">
        <v>656</v>
      </c>
      <c r="E218" s="226" t="s">
        <v>657</v>
      </c>
      <c r="F218" s="270">
        <v>21487.599999999999</v>
      </c>
      <c r="G218" s="270">
        <v>0</v>
      </c>
      <c r="H218" s="226">
        <v>0</v>
      </c>
      <c r="I218" s="226">
        <v>0</v>
      </c>
      <c r="J218" s="226">
        <v>0</v>
      </c>
      <c r="K218" s="226">
        <v>4512.4000000000005</v>
      </c>
      <c r="L218" s="226">
        <v>0</v>
      </c>
      <c r="M218" s="270">
        <v>0</v>
      </c>
      <c r="N218" s="270">
        <v>26000</v>
      </c>
    </row>
    <row r="219" spans="1:14">
      <c r="A219" s="276" t="s">
        <v>943</v>
      </c>
      <c r="B219" s="277" t="s">
        <v>951</v>
      </c>
      <c r="C219" s="226" t="s">
        <v>655</v>
      </c>
      <c r="D219" s="226" t="s">
        <v>656</v>
      </c>
      <c r="E219" s="226" t="s">
        <v>657</v>
      </c>
      <c r="F219" s="270">
        <v>14669.42</v>
      </c>
      <c r="G219" s="270">
        <v>0</v>
      </c>
      <c r="H219" s="226">
        <v>0</v>
      </c>
      <c r="I219" s="226">
        <v>0</v>
      </c>
      <c r="J219" s="226">
        <v>0</v>
      </c>
      <c r="K219" s="226">
        <v>3080.58</v>
      </c>
      <c r="L219" s="226">
        <v>0</v>
      </c>
      <c r="M219" s="270">
        <v>0</v>
      </c>
      <c r="N219" s="270">
        <v>17750</v>
      </c>
    </row>
    <row r="220" spans="1:14">
      <c r="A220" s="276" t="s">
        <v>943</v>
      </c>
      <c r="B220" s="277" t="s">
        <v>952</v>
      </c>
      <c r="C220" s="226" t="s">
        <v>655</v>
      </c>
      <c r="D220" s="226" t="s">
        <v>656</v>
      </c>
      <c r="E220" s="226" t="s">
        <v>657</v>
      </c>
      <c r="F220" s="270">
        <v>5371.9</v>
      </c>
      <c r="G220" s="270">
        <v>0</v>
      </c>
      <c r="H220" s="226">
        <v>0</v>
      </c>
      <c r="I220" s="226">
        <v>0</v>
      </c>
      <c r="J220" s="226">
        <v>0</v>
      </c>
      <c r="K220" s="226">
        <v>1128.1000000000001</v>
      </c>
      <c r="L220" s="226">
        <v>0</v>
      </c>
      <c r="M220" s="270">
        <v>0</v>
      </c>
      <c r="N220" s="270">
        <v>6500</v>
      </c>
    </row>
    <row r="221" spans="1:14">
      <c r="A221" s="276" t="s">
        <v>943</v>
      </c>
      <c r="B221" s="277" t="s">
        <v>953</v>
      </c>
      <c r="C221" s="226" t="s">
        <v>655</v>
      </c>
      <c r="D221" s="226" t="s">
        <v>656</v>
      </c>
      <c r="E221" s="226" t="s">
        <v>657</v>
      </c>
      <c r="F221" s="270">
        <v>15867.77</v>
      </c>
      <c r="G221" s="270">
        <v>0</v>
      </c>
      <c r="H221" s="226">
        <v>0</v>
      </c>
      <c r="I221" s="226">
        <v>0</v>
      </c>
      <c r="J221" s="226">
        <v>0</v>
      </c>
      <c r="K221" s="226">
        <v>3332.23</v>
      </c>
      <c r="L221" s="226">
        <v>0</v>
      </c>
      <c r="M221" s="270">
        <v>0</v>
      </c>
      <c r="N221" s="270">
        <v>19200</v>
      </c>
    </row>
    <row r="222" spans="1:14">
      <c r="A222" s="276" t="s">
        <v>943</v>
      </c>
      <c r="B222" s="277" t="s">
        <v>954</v>
      </c>
      <c r="C222" s="226" t="s">
        <v>655</v>
      </c>
      <c r="D222" s="226" t="s">
        <v>656</v>
      </c>
      <c r="E222" s="226" t="s">
        <v>657</v>
      </c>
      <c r="F222" s="270">
        <v>10330.58</v>
      </c>
      <c r="G222" s="270">
        <v>0</v>
      </c>
      <c r="H222" s="226">
        <v>0</v>
      </c>
      <c r="I222" s="226">
        <v>0</v>
      </c>
      <c r="J222" s="226">
        <v>0</v>
      </c>
      <c r="K222" s="226">
        <v>2169.42</v>
      </c>
      <c r="L222" s="226">
        <v>0</v>
      </c>
      <c r="M222" s="270">
        <v>0</v>
      </c>
      <c r="N222" s="270">
        <v>12500</v>
      </c>
    </row>
    <row r="223" spans="1:14">
      <c r="A223" s="276" t="s">
        <v>943</v>
      </c>
      <c r="B223" s="277" t="s">
        <v>955</v>
      </c>
      <c r="C223" s="226" t="s">
        <v>655</v>
      </c>
      <c r="D223" s="226" t="s">
        <v>656</v>
      </c>
      <c r="E223" s="226" t="s">
        <v>657</v>
      </c>
      <c r="F223" s="270">
        <v>3099.17</v>
      </c>
      <c r="G223" s="270">
        <v>0</v>
      </c>
      <c r="H223" s="226">
        <v>0</v>
      </c>
      <c r="I223" s="226">
        <v>0</v>
      </c>
      <c r="J223" s="226">
        <v>0</v>
      </c>
      <c r="K223" s="226">
        <v>650.83000000000004</v>
      </c>
      <c r="L223" s="226">
        <v>0</v>
      </c>
      <c r="M223" s="270">
        <v>0</v>
      </c>
      <c r="N223" s="270">
        <v>3750</v>
      </c>
    </row>
    <row r="224" spans="1:14">
      <c r="A224" s="276" t="s">
        <v>943</v>
      </c>
      <c r="B224" s="277" t="s">
        <v>956</v>
      </c>
      <c r="C224" s="226" t="s">
        <v>655</v>
      </c>
      <c r="D224" s="226" t="s">
        <v>656</v>
      </c>
      <c r="E224" s="226" t="s">
        <v>657</v>
      </c>
      <c r="F224" s="270">
        <v>8595.0400000000009</v>
      </c>
      <c r="G224" s="270">
        <v>0</v>
      </c>
      <c r="H224" s="226">
        <v>0</v>
      </c>
      <c r="I224" s="226">
        <v>0</v>
      </c>
      <c r="J224" s="226">
        <v>0</v>
      </c>
      <c r="K224" s="226">
        <v>1804.96</v>
      </c>
      <c r="L224" s="226">
        <v>0</v>
      </c>
      <c r="M224" s="270">
        <v>0</v>
      </c>
      <c r="N224" s="270">
        <v>10400</v>
      </c>
    </row>
    <row r="225" spans="1:14">
      <c r="A225" s="276" t="s">
        <v>943</v>
      </c>
      <c r="B225" s="277" t="s">
        <v>957</v>
      </c>
      <c r="C225" s="226" t="s">
        <v>655</v>
      </c>
      <c r="D225" s="226" t="s">
        <v>656</v>
      </c>
      <c r="E225" s="226" t="s">
        <v>657</v>
      </c>
      <c r="F225" s="270">
        <v>11735.54</v>
      </c>
      <c r="G225" s="270">
        <v>0</v>
      </c>
      <c r="H225" s="226">
        <v>0</v>
      </c>
      <c r="I225" s="226">
        <v>0</v>
      </c>
      <c r="J225" s="226">
        <v>0</v>
      </c>
      <c r="K225" s="226">
        <v>2464.46</v>
      </c>
      <c r="L225" s="226">
        <v>0</v>
      </c>
      <c r="M225" s="270">
        <v>0</v>
      </c>
      <c r="N225" s="270">
        <v>14200</v>
      </c>
    </row>
    <row r="226" spans="1:14">
      <c r="A226" s="276" t="s">
        <v>943</v>
      </c>
      <c r="B226" s="277" t="s">
        <v>958</v>
      </c>
      <c r="C226" s="226" t="s">
        <v>655</v>
      </c>
      <c r="D226" s="226" t="s">
        <v>656</v>
      </c>
      <c r="E226" s="226" t="s">
        <v>657</v>
      </c>
      <c r="F226" s="270">
        <v>10743.8</v>
      </c>
      <c r="G226" s="270">
        <v>0</v>
      </c>
      <c r="H226" s="226">
        <v>0</v>
      </c>
      <c r="I226" s="226">
        <v>0</v>
      </c>
      <c r="J226" s="226">
        <v>0</v>
      </c>
      <c r="K226" s="226">
        <v>2256.2000000000003</v>
      </c>
      <c r="L226" s="226">
        <v>0</v>
      </c>
      <c r="M226" s="270">
        <v>0</v>
      </c>
      <c r="N226" s="270">
        <v>13000</v>
      </c>
    </row>
    <row r="227" spans="1:14">
      <c r="A227" s="276" t="s">
        <v>943</v>
      </c>
      <c r="B227" s="277" t="s">
        <v>959</v>
      </c>
      <c r="C227" s="226" t="s">
        <v>655</v>
      </c>
      <c r="D227" s="226" t="s">
        <v>656</v>
      </c>
      <c r="E227" s="226" t="s">
        <v>657</v>
      </c>
      <c r="F227" s="270">
        <v>20454.54</v>
      </c>
      <c r="G227" s="270">
        <v>0</v>
      </c>
      <c r="H227" s="226">
        <v>0</v>
      </c>
      <c r="I227" s="226">
        <v>0</v>
      </c>
      <c r="J227" s="226">
        <v>0</v>
      </c>
      <c r="K227" s="226">
        <v>4295.46</v>
      </c>
      <c r="L227" s="226">
        <v>0</v>
      </c>
      <c r="M227" s="270">
        <v>0</v>
      </c>
      <c r="N227" s="270">
        <v>24750</v>
      </c>
    </row>
    <row r="228" spans="1:14">
      <c r="A228" s="276" t="s">
        <v>943</v>
      </c>
      <c r="B228" s="277" t="s">
        <v>960</v>
      </c>
      <c r="C228" s="226" t="s">
        <v>655</v>
      </c>
      <c r="D228" s="226" t="s">
        <v>656</v>
      </c>
      <c r="E228" s="226" t="s">
        <v>657</v>
      </c>
      <c r="F228" s="270">
        <v>8595.0400000000009</v>
      </c>
      <c r="G228" s="270">
        <v>0</v>
      </c>
      <c r="H228" s="226">
        <v>0</v>
      </c>
      <c r="I228" s="226">
        <v>0</v>
      </c>
      <c r="J228" s="226">
        <v>0</v>
      </c>
      <c r="K228" s="226">
        <v>1804.96</v>
      </c>
      <c r="L228" s="226">
        <v>0</v>
      </c>
      <c r="M228" s="270">
        <v>0</v>
      </c>
      <c r="N228" s="270">
        <v>10400</v>
      </c>
    </row>
    <row r="229" spans="1:14">
      <c r="A229" s="276" t="s">
        <v>943</v>
      </c>
      <c r="B229" s="277" t="s">
        <v>961</v>
      </c>
      <c r="C229" s="226" t="s">
        <v>655</v>
      </c>
      <c r="D229" s="226" t="s">
        <v>656</v>
      </c>
      <c r="E229" s="226" t="s">
        <v>657</v>
      </c>
      <c r="F229" s="270">
        <v>19834.71</v>
      </c>
      <c r="G229" s="270">
        <v>0</v>
      </c>
      <c r="H229" s="226">
        <v>0</v>
      </c>
      <c r="I229" s="226">
        <v>0</v>
      </c>
      <c r="J229" s="226">
        <v>0</v>
      </c>
      <c r="K229" s="226">
        <v>4165.29</v>
      </c>
      <c r="L229" s="226">
        <v>0</v>
      </c>
      <c r="M229" s="270">
        <v>0</v>
      </c>
      <c r="N229" s="270">
        <v>24000</v>
      </c>
    </row>
    <row r="230" spans="1:14">
      <c r="A230" s="276" t="s">
        <v>973</v>
      </c>
      <c r="B230" s="277" t="s">
        <v>974</v>
      </c>
      <c r="C230" s="226" t="s">
        <v>655</v>
      </c>
      <c r="D230" s="226" t="s">
        <v>656</v>
      </c>
      <c r="E230" s="226" t="s">
        <v>657</v>
      </c>
      <c r="F230" s="270">
        <v>12396.69</v>
      </c>
      <c r="G230" s="270">
        <v>0</v>
      </c>
      <c r="H230" s="226">
        <v>0</v>
      </c>
      <c r="I230" s="226">
        <v>0</v>
      </c>
      <c r="J230" s="226">
        <v>0</v>
      </c>
      <c r="K230" s="226">
        <v>2603.31</v>
      </c>
      <c r="L230" s="226">
        <v>0</v>
      </c>
      <c r="M230" s="270">
        <v>0</v>
      </c>
      <c r="N230" s="270">
        <v>15000</v>
      </c>
    </row>
    <row r="231" spans="1:14">
      <c r="A231" s="276" t="s">
        <v>973</v>
      </c>
      <c r="B231" s="277" t="s">
        <v>975</v>
      </c>
      <c r="C231" s="226" t="s">
        <v>655</v>
      </c>
      <c r="D231" s="226" t="s">
        <v>656</v>
      </c>
      <c r="E231" s="226" t="s">
        <v>657</v>
      </c>
      <c r="F231" s="270">
        <v>65950.41</v>
      </c>
      <c r="G231" s="270">
        <v>0</v>
      </c>
      <c r="H231" s="226">
        <v>0</v>
      </c>
      <c r="I231" s="226">
        <v>0</v>
      </c>
      <c r="J231" s="226">
        <v>0</v>
      </c>
      <c r="K231" s="226">
        <v>13849.59</v>
      </c>
      <c r="L231" s="226">
        <v>0</v>
      </c>
      <c r="M231" s="270">
        <v>0</v>
      </c>
      <c r="N231" s="270">
        <v>79800</v>
      </c>
    </row>
    <row r="232" spans="1:14">
      <c r="A232" s="276" t="s">
        <v>973</v>
      </c>
      <c r="B232" s="277" t="s">
        <v>976</v>
      </c>
      <c r="C232" s="226" t="s">
        <v>655</v>
      </c>
      <c r="D232" s="226" t="s">
        <v>656</v>
      </c>
      <c r="E232" s="226" t="s">
        <v>657</v>
      </c>
      <c r="F232" s="270">
        <v>34710.74</v>
      </c>
      <c r="G232" s="270">
        <v>0</v>
      </c>
      <c r="H232" s="226">
        <v>0</v>
      </c>
      <c r="I232" s="226">
        <v>0</v>
      </c>
      <c r="J232" s="226">
        <v>0</v>
      </c>
      <c r="K232" s="226">
        <v>7289.26</v>
      </c>
      <c r="L232" s="226">
        <v>0</v>
      </c>
      <c r="M232" s="270">
        <v>0</v>
      </c>
      <c r="N232" s="270">
        <v>42000</v>
      </c>
    </row>
    <row r="233" spans="1:14">
      <c r="A233" s="276" t="s">
        <v>973</v>
      </c>
      <c r="B233" s="277" t="s">
        <v>977</v>
      </c>
      <c r="C233" s="226" t="s">
        <v>655</v>
      </c>
      <c r="D233" s="226" t="s">
        <v>656</v>
      </c>
      <c r="E233" s="226" t="s">
        <v>657</v>
      </c>
      <c r="F233" s="270">
        <v>31818.18</v>
      </c>
      <c r="G233" s="270">
        <v>0</v>
      </c>
      <c r="H233" s="226">
        <v>0</v>
      </c>
      <c r="I233" s="226">
        <v>0</v>
      </c>
      <c r="J233" s="226">
        <v>0</v>
      </c>
      <c r="K233" s="226">
        <v>6681.82</v>
      </c>
      <c r="L233" s="226">
        <v>0</v>
      </c>
      <c r="M233" s="270">
        <v>0</v>
      </c>
      <c r="N233" s="270">
        <v>38500</v>
      </c>
    </row>
    <row r="234" spans="1:14">
      <c r="A234" s="276" t="s">
        <v>973</v>
      </c>
      <c r="B234" s="277" t="s">
        <v>978</v>
      </c>
      <c r="C234" s="226" t="s">
        <v>655</v>
      </c>
      <c r="D234" s="226" t="s">
        <v>656</v>
      </c>
      <c r="E234" s="226" t="s">
        <v>657</v>
      </c>
      <c r="F234" s="270">
        <v>25413.22</v>
      </c>
      <c r="G234" s="270">
        <v>0</v>
      </c>
      <c r="H234" s="226">
        <v>0</v>
      </c>
      <c r="I234" s="226">
        <v>0</v>
      </c>
      <c r="J234" s="226">
        <v>0</v>
      </c>
      <c r="K234" s="226">
        <v>5336.78</v>
      </c>
      <c r="L234" s="226">
        <v>0</v>
      </c>
      <c r="M234" s="270">
        <v>0</v>
      </c>
      <c r="N234" s="270">
        <v>30750</v>
      </c>
    </row>
    <row r="235" spans="1:14">
      <c r="A235" s="276" t="s">
        <v>973</v>
      </c>
      <c r="B235" s="277" t="s">
        <v>979</v>
      </c>
      <c r="C235" s="226" t="s">
        <v>655</v>
      </c>
      <c r="D235" s="226" t="s">
        <v>656</v>
      </c>
      <c r="E235" s="226" t="s">
        <v>657</v>
      </c>
      <c r="F235" s="270">
        <v>14876.03</v>
      </c>
      <c r="G235" s="270">
        <v>0</v>
      </c>
      <c r="H235" s="226">
        <v>0</v>
      </c>
      <c r="I235" s="226">
        <v>0</v>
      </c>
      <c r="J235" s="226">
        <v>0</v>
      </c>
      <c r="K235" s="226">
        <v>3123.97</v>
      </c>
      <c r="L235" s="226">
        <v>0</v>
      </c>
      <c r="M235" s="270">
        <v>0</v>
      </c>
      <c r="N235" s="270">
        <v>18000</v>
      </c>
    </row>
    <row r="236" spans="1:14">
      <c r="A236" s="276" t="s">
        <v>973</v>
      </c>
      <c r="B236" s="277" t="s">
        <v>980</v>
      </c>
      <c r="C236" s="226" t="s">
        <v>655</v>
      </c>
      <c r="D236" s="226" t="s">
        <v>656</v>
      </c>
      <c r="E236" s="226" t="s">
        <v>657</v>
      </c>
      <c r="F236" s="270">
        <v>35371.9</v>
      </c>
      <c r="G236" s="270">
        <v>0</v>
      </c>
      <c r="H236" s="226">
        <v>0</v>
      </c>
      <c r="I236" s="226">
        <v>0</v>
      </c>
      <c r="J236" s="226">
        <v>0</v>
      </c>
      <c r="K236" s="226">
        <v>7428.1</v>
      </c>
      <c r="L236" s="226">
        <v>0</v>
      </c>
      <c r="M236" s="270">
        <v>0</v>
      </c>
      <c r="N236" s="270">
        <v>42800</v>
      </c>
    </row>
    <row r="237" spans="1:14">
      <c r="A237" s="276" t="s">
        <v>973</v>
      </c>
      <c r="B237" s="277" t="s">
        <v>981</v>
      </c>
      <c r="C237" s="226" t="s">
        <v>655</v>
      </c>
      <c r="D237" s="226" t="s">
        <v>656</v>
      </c>
      <c r="E237" s="226" t="s">
        <v>657</v>
      </c>
      <c r="F237" s="270">
        <v>16528.93</v>
      </c>
      <c r="G237" s="270">
        <v>0</v>
      </c>
      <c r="H237" s="226">
        <v>0</v>
      </c>
      <c r="I237" s="226">
        <v>0</v>
      </c>
      <c r="J237" s="226">
        <v>0</v>
      </c>
      <c r="K237" s="226">
        <v>3471.07</v>
      </c>
      <c r="L237" s="226">
        <v>0</v>
      </c>
      <c r="M237" s="270">
        <v>0</v>
      </c>
      <c r="N237" s="270">
        <v>20000</v>
      </c>
    </row>
    <row r="238" spans="1:14">
      <c r="A238" s="276" t="s">
        <v>973</v>
      </c>
      <c r="B238" s="277" t="s">
        <v>982</v>
      </c>
      <c r="C238" s="226" t="s">
        <v>983</v>
      </c>
      <c r="D238" s="226" t="s">
        <v>656</v>
      </c>
      <c r="E238" s="226">
        <v>29078770</v>
      </c>
      <c r="F238" s="270">
        <v>29338.84</v>
      </c>
      <c r="G238" s="270">
        <v>0</v>
      </c>
      <c r="H238" s="226">
        <v>0</v>
      </c>
      <c r="I238" s="226">
        <v>0</v>
      </c>
      <c r="J238" s="226">
        <v>0</v>
      </c>
      <c r="K238" s="226">
        <v>6161.16</v>
      </c>
      <c r="L238" s="226">
        <v>0</v>
      </c>
      <c r="M238" s="270">
        <v>0</v>
      </c>
      <c r="N238" s="270">
        <v>35500</v>
      </c>
    </row>
    <row r="239" spans="1:14">
      <c r="A239" s="276" t="s">
        <v>973</v>
      </c>
      <c r="B239" s="277" t="s">
        <v>984</v>
      </c>
      <c r="C239" s="226" t="s">
        <v>655</v>
      </c>
      <c r="D239" s="226" t="s">
        <v>656</v>
      </c>
      <c r="E239" s="226" t="s">
        <v>657</v>
      </c>
      <c r="F239" s="270">
        <v>10330.58</v>
      </c>
      <c r="G239" s="270">
        <v>0</v>
      </c>
      <c r="H239" s="226">
        <v>0</v>
      </c>
      <c r="I239" s="226">
        <v>0</v>
      </c>
      <c r="J239" s="226">
        <v>0</v>
      </c>
      <c r="K239" s="226">
        <v>2169.42</v>
      </c>
      <c r="L239" s="226">
        <v>0</v>
      </c>
      <c r="M239" s="270">
        <v>0</v>
      </c>
      <c r="N239" s="270">
        <v>12500</v>
      </c>
    </row>
    <row r="240" spans="1:14">
      <c r="A240" s="276" t="s">
        <v>973</v>
      </c>
      <c r="B240" s="277" t="s">
        <v>985</v>
      </c>
      <c r="C240" s="226" t="s">
        <v>655</v>
      </c>
      <c r="D240" s="226" t="s">
        <v>656</v>
      </c>
      <c r="E240" s="226" t="s">
        <v>657</v>
      </c>
      <c r="F240" s="270">
        <v>10743.8</v>
      </c>
      <c r="G240" s="270">
        <v>0</v>
      </c>
      <c r="H240" s="226">
        <v>0</v>
      </c>
      <c r="I240" s="226">
        <v>0</v>
      </c>
      <c r="J240" s="226">
        <v>0</v>
      </c>
      <c r="K240" s="226">
        <v>2256.2000000000003</v>
      </c>
      <c r="L240" s="226">
        <v>0</v>
      </c>
      <c r="M240" s="270">
        <v>0</v>
      </c>
      <c r="N240" s="270">
        <v>13000</v>
      </c>
    </row>
    <row r="241" spans="1:14">
      <c r="A241" s="276" t="s">
        <v>973</v>
      </c>
      <c r="B241" s="277" t="s">
        <v>986</v>
      </c>
      <c r="C241" s="226" t="s">
        <v>655</v>
      </c>
      <c r="D241" s="226" t="s">
        <v>656</v>
      </c>
      <c r="E241" s="226" t="s">
        <v>657</v>
      </c>
      <c r="F241" s="270">
        <v>9917.36</v>
      </c>
      <c r="G241" s="270">
        <v>0</v>
      </c>
      <c r="H241" s="226">
        <v>0</v>
      </c>
      <c r="I241" s="226">
        <v>0</v>
      </c>
      <c r="J241" s="226">
        <v>0</v>
      </c>
      <c r="K241" s="226">
        <v>2082.64</v>
      </c>
      <c r="L241" s="226">
        <v>0</v>
      </c>
      <c r="M241" s="270">
        <v>0</v>
      </c>
      <c r="N241" s="270">
        <v>12000</v>
      </c>
    </row>
    <row r="242" spans="1:14">
      <c r="A242" s="276" t="s">
        <v>973</v>
      </c>
      <c r="B242" s="277" t="s">
        <v>987</v>
      </c>
      <c r="C242" s="226" t="s">
        <v>655</v>
      </c>
      <c r="D242" s="226" t="s">
        <v>656</v>
      </c>
      <c r="E242" s="226" t="s">
        <v>657</v>
      </c>
      <c r="F242" s="270">
        <v>14669.42</v>
      </c>
      <c r="G242" s="270">
        <v>0</v>
      </c>
      <c r="H242" s="226">
        <v>0</v>
      </c>
      <c r="I242" s="226">
        <v>0</v>
      </c>
      <c r="J242" s="226">
        <v>0</v>
      </c>
      <c r="K242" s="226">
        <v>3080.58</v>
      </c>
      <c r="L242" s="226">
        <v>0</v>
      </c>
      <c r="M242" s="270">
        <v>0</v>
      </c>
      <c r="N242" s="270">
        <v>17750</v>
      </c>
    </row>
    <row r="243" spans="1:14">
      <c r="A243" s="276" t="s">
        <v>973</v>
      </c>
      <c r="B243" s="277" t="s">
        <v>988</v>
      </c>
      <c r="C243" s="226" t="s">
        <v>655</v>
      </c>
      <c r="D243" s="226" t="s">
        <v>656</v>
      </c>
      <c r="E243" s="226" t="s">
        <v>657</v>
      </c>
      <c r="F243" s="270">
        <v>10743.8</v>
      </c>
      <c r="G243" s="270">
        <v>0</v>
      </c>
      <c r="H243" s="226">
        <v>0</v>
      </c>
      <c r="I243" s="226">
        <v>0</v>
      </c>
      <c r="J243" s="226">
        <v>0</v>
      </c>
      <c r="K243" s="226">
        <v>2256.2000000000003</v>
      </c>
      <c r="L243" s="226">
        <v>0</v>
      </c>
      <c r="M243" s="270">
        <v>0</v>
      </c>
      <c r="N243" s="270">
        <v>13000</v>
      </c>
    </row>
    <row r="244" spans="1:14">
      <c r="A244" s="276" t="s">
        <v>994</v>
      </c>
      <c r="B244" s="277" t="s">
        <v>995</v>
      </c>
      <c r="C244" s="226" t="s">
        <v>655</v>
      </c>
      <c r="D244" s="226" t="s">
        <v>656</v>
      </c>
      <c r="E244" s="226" t="s">
        <v>657</v>
      </c>
      <c r="F244" s="270">
        <v>14669.42</v>
      </c>
      <c r="G244" s="270">
        <v>0</v>
      </c>
      <c r="H244" s="226">
        <v>0</v>
      </c>
      <c r="I244" s="226">
        <v>0</v>
      </c>
      <c r="J244" s="226">
        <v>0</v>
      </c>
      <c r="K244" s="226">
        <v>3080.58</v>
      </c>
      <c r="L244" s="226">
        <v>0</v>
      </c>
      <c r="M244" s="270">
        <v>0</v>
      </c>
      <c r="N244" s="270">
        <v>17750</v>
      </c>
    </row>
    <row r="245" spans="1:14">
      <c r="A245" s="276" t="s">
        <v>994</v>
      </c>
      <c r="B245" s="277" t="s">
        <v>996</v>
      </c>
      <c r="C245" s="226" t="s">
        <v>655</v>
      </c>
      <c r="D245" s="226" t="s">
        <v>656</v>
      </c>
      <c r="E245" s="226" t="s">
        <v>657</v>
      </c>
      <c r="F245" s="270">
        <v>11487.6</v>
      </c>
      <c r="G245" s="270">
        <v>0</v>
      </c>
      <c r="H245" s="226">
        <v>0</v>
      </c>
      <c r="I245" s="226">
        <v>0</v>
      </c>
      <c r="J245" s="226">
        <v>0</v>
      </c>
      <c r="K245" s="226">
        <v>2412.4</v>
      </c>
      <c r="L245" s="226">
        <v>0</v>
      </c>
      <c r="M245" s="270">
        <v>0</v>
      </c>
      <c r="N245" s="270">
        <v>13900</v>
      </c>
    </row>
    <row r="246" spans="1:14">
      <c r="A246" s="276" t="s">
        <v>994</v>
      </c>
      <c r="B246" s="277" t="s">
        <v>997</v>
      </c>
      <c r="C246" s="226" t="s">
        <v>655</v>
      </c>
      <c r="D246" s="226" t="s">
        <v>656</v>
      </c>
      <c r="E246" s="226" t="s">
        <v>657</v>
      </c>
      <c r="F246" s="270">
        <v>10330.58</v>
      </c>
      <c r="G246" s="270">
        <v>0</v>
      </c>
      <c r="H246" s="226">
        <v>0</v>
      </c>
      <c r="I246" s="226">
        <v>0</v>
      </c>
      <c r="J246" s="226">
        <v>0</v>
      </c>
      <c r="K246" s="226">
        <v>2169.42</v>
      </c>
      <c r="L246" s="226">
        <v>0</v>
      </c>
      <c r="M246" s="270">
        <v>0</v>
      </c>
      <c r="N246" s="270">
        <v>12500</v>
      </c>
    </row>
    <row r="247" spans="1:14">
      <c r="A247" s="276" t="s">
        <v>994</v>
      </c>
      <c r="B247" s="277" t="s">
        <v>998</v>
      </c>
      <c r="C247" s="226" t="s">
        <v>655</v>
      </c>
      <c r="D247" s="226" t="s">
        <v>656</v>
      </c>
      <c r="E247" s="226" t="s">
        <v>657</v>
      </c>
      <c r="F247" s="270">
        <v>15909.09</v>
      </c>
      <c r="G247" s="270">
        <v>0</v>
      </c>
      <c r="H247" s="226">
        <v>0</v>
      </c>
      <c r="I247" s="226">
        <v>0</v>
      </c>
      <c r="J247" s="226">
        <v>0</v>
      </c>
      <c r="K247" s="226">
        <v>3340.91</v>
      </c>
      <c r="L247" s="226">
        <v>0</v>
      </c>
      <c r="M247" s="270">
        <v>0</v>
      </c>
      <c r="N247" s="270">
        <v>19250</v>
      </c>
    </row>
    <row r="248" spans="1:14">
      <c r="A248" s="276" t="s">
        <v>994</v>
      </c>
      <c r="B248" s="277" t="s">
        <v>999</v>
      </c>
      <c r="C248" s="226" t="s">
        <v>655</v>
      </c>
      <c r="D248" s="226" t="s">
        <v>656</v>
      </c>
      <c r="E248" s="226" t="s">
        <v>657</v>
      </c>
      <c r="F248" s="270">
        <v>32231.4</v>
      </c>
      <c r="G248" s="270">
        <v>0</v>
      </c>
      <c r="H248" s="226">
        <v>0</v>
      </c>
      <c r="I248" s="226">
        <v>0</v>
      </c>
      <c r="J248" s="226">
        <v>0</v>
      </c>
      <c r="K248" s="226">
        <v>6768.6</v>
      </c>
      <c r="L248" s="226">
        <v>0</v>
      </c>
      <c r="M248" s="270">
        <v>0</v>
      </c>
      <c r="N248" s="270">
        <v>39000</v>
      </c>
    </row>
    <row r="249" spans="1:14">
      <c r="A249" s="276" t="s">
        <v>994</v>
      </c>
      <c r="B249" s="277" t="s">
        <v>1000</v>
      </c>
      <c r="C249" s="226" t="s">
        <v>655</v>
      </c>
      <c r="D249" s="226" t="s">
        <v>656</v>
      </c>
      <c r="E249" s="226" t="s">
        <v>657</v>
      </c>
      <c r="F249" s="270">
        <v>10661.16</v>
      </c>
      <c r="G249" s="270">
        <v>0</v>
      </c>
      <c r="H249" s="226">
        <v>0</v>
      </c>
      <c r="I249" s="226">
        <v>0</v>
      </c>
      <c r="J249" s="226">
        <v>0</v>
      </c>
      <c r="K249" s="226">
        <v>2238.84</v>
      </c>
      <c r="L249" s="226">
        <v>0</v>
      </c>
      <c r="M249" s="270">
        <v>0</v>
      </c>
      <c r="N249" s="270">
        <v>12900</v>
      </c>
    </row>
    <row r="250" spans="1:14">
      <c r="A250" s="276" t="s">
        <v>994</v>
      </c>
      <c r="B250" s="277" t="s">
        <v>1001</v>
      </c>
      <c r="C250" s="226" t="s">
        <v>655</v>
      </c>
      <c r="D250" s="226" t="s">
        <v>656</v>
      </c>
      <c r="E250" s="226" t="s">
        <v>657</v>
      </c>
      <c r="F250" s="270">
        <v>16528.93</v>
      </c>
      <c r="G250" s="270">
        <v>0</v>
      </c>
      <c r="H250" s="226">
        <v>0</v>
      </c>
      <c r="I250" s="226">
        <v>0</v>
      </c>
      <c r="J250" s="226">
        <v>0</v>
      </c>
      <c r="K250" s="226">
        <v>3471.07</v>
      </c>
      <c r="L250" s="226">
        <v>0</v>
      </c>
      <c r="M250" s="270">
        <v>0</v>
      </c>
      <c r="N250" s="270">
        <v>20000</v>
      </c>
    </row>
    <row r="251" spans="1:14">
      <c r="A251" s="276" t="s">
        <v>994</v>
      </c>
      <c r="B251" s="277" t="s">
        <v>1002</v>
      </c>
      <c r="C251" s="226" t="s">
        <v>655</v>
      </c>
      <c r="D251" s="226" t="s">
        <v>656</v>
      </c>
      <c r="E251" s="226" t="s">
        <v>657</v>
      </c>
      <c r="F251" s="270">
        <v>11487.6</v>
      </c>
      <c r="G251" s="270">
        <v>0</v>
      </c>
      <c r="H251" s="226">
        <v>0</v>
      </c>
      <c r="I251" s="226">
        <v>0</v>
      </c>
      <c r="J251" s="226">
        <v>0</v>
      </c>
      <c r="K251" s="226">
        <v>2412.4</v>
      </c>
      <c r="L251" s="226">
        <v>0</v>
      </c>
      <c r="M251" s="270">
        <v>0</v>
      </c>
      <c r="N251" s="270">
        <v>13900</v>
      </c>
    </row>
    <row r="252" spans="1:14">
      <c r="A252" s="276" t="s">
        <v>994</v>
      </c>
      <c r="B252" s="277" t="s">
        <v>1003</v>
      </c>
      <c r="C252" s="226" t="s">
        <v>655</v>
      </c>
      <c r="D252" s="226" t="s">
        <v>656</v>
      </c>
      <c r="E252" s="226" t="s">
        <v>657</v>
      </c>
      <c r="F252" s="270">
        <v>33884.300000000003</v>
      </c>
      <c r="G252" s="270">
        <v>0</v>
      </c>
      <c r="H252" s="226">
        <v>0</v>
      </c>
      <c r="I252" s="226">
        <v>0</v>
      </c>
      <c r="J252" s="226">
        <v>0</v>
      </c>
      <c r="K252" s="226">
        <v>7115.7</v>
      </c>
      <c r="L252" s="226">
        <v>0</v>
      </c>
      <c r="M252" s="270">
        <v>0</v>
      </c>
      <c r="N252" s="270">
        <v>41000</v>
      </c>
    </row>
    <row r="253" spans="1:14">
      <c r="A253" s="276" t="s">
        <v>994</v>
      </c>
      <c r="B253" s="277" t="s">
        <v>1004</v>
      </c>
      <c r="C253" s="226" t="s">
        <v>655</v>
      </c>
      <c r="D253" s="226" t="s">
        <v>656</v>
      </c>
      <c r="E253" s="226" t="s">
        <v>657</v>
      </c>
      <c r="F253" s="270">
        <v>20495.87</v>
      </c>
      <c r="G253" s="270">
        <v>0</v>
      </c>
      <c r="H253" s="226">
        <v>0</v>
      </c>
      <c r="I253" s="226">
        <v>0</v>
      </c>
      <c r="J253" s="226">
        <v>0</v>
      </c>
      <c r="K253" s="226">
        <v>4304.13</v>
      </c>
      <c r="L253" s="226">
        <v>0</v>
      </c>
      <c r="M253" s="270">
        <v>0</v>
      </c>
      <c r="N253" s="270">
        <v>24800</v>
      </c>
    </row>
    <row r="254" spans="1:14">
      <c r="A254" s="276" t="s">
        <v>994</v>
      </c>
      <c r="B254" s="277" t="s">
        <v>1005</v>
      </c>
      <c r="C254" s="226" t="s">
        <v>655</v>
      </c>
      <c r="D254" s="226" t="s">
        <v>656</v>
      </c>
      <c r="E254" s="226" t="s">
        <v>657</v>
      </c>
      <c r="F254" s="270">
        <v>21487.599999999999</v>
      </c>
      <c r="G254" s="270">
        <v>0</v>
      </c>
      <c r="H254" s="226">
        <v>0</v>
      </c>
      <c r="I254" s="226">
        <v>0</v>
      </c>
      <c r="J254" s="226">
        <v>0</v>
      </c>
      <c r="K254" s="226">
        <v>4512.4000000000005</v>
      </c>
      <c r="L254" s="226">
        <v>0</v>
      </c>
      <c r="M254" s="270">
        <v>0</v>
      </c>
      <c r="N254" s="270">
        <v>26000</v>
      </c>
    </row>
    <row r="255" spans="1:14">
      <c r="A255" s="276" t="s">
        <v>994</v>
      </c>
      <c r="B255" s="277" t="s">
        <v>1006</v>
      </c>
      <c r="C255" s="226" t="s">
        <v>655</v>
      </c>
      <c r="D255" s="226" t="s">
        <v>656</v>
      </c>
      <c r="E255" s="226" t="s">
        <v>657</v>
      </c>
      <c r="F255" s="270">
        <v>21487.599999999999</v>
      </c>
      <c r="G255" s="270">
        <v>0</v>
      </c>
      <c r="H255" s="226">
        <v>0</v>
      </c>
      <c r="I255" s="226">
        <v>0</v>
      </c>
      <c r="J255" s="226">
        <v>0</v>
      </c>
      <c r="K255" s="226">
        <v>4512.4000000000005</v>
      </c>
      <c r="L255" s="226">
        <v>0</v>
      </c>
      <c r="M255" s="270">
        <v>0</v>
      </c>
      <c r="N255" s="270">
        <v>26000</v>
      </c>
    </row>
    <row r="256" spans="1:14">
      <c r="A256" s="276" t="s">
        <v>994</v>
      </c>
      <c r="B256" s="277" t="s">
        <v>1007</v>
      </c>
      <c r="C256" s="226" t="s">
        <v>655</v>
      </c>
      <c r="D256" s="226" t="s">
        <v>656</v>
      </c>
      <c r="E256" s="226" t="s">
        <v>657</v>
      </c>
      <c r="F256" s="270">
        <v>29338.84</v>
      </c>
      <c r="G256" s="270">
        <v>0</v>
      </c>
      <c r="H256" s="226">
        <v>0</v>
      </c>
      <c r="I256" s="226">
        <v>0</v>
      </c>
      <c r="J256" s="226">
        <v>0</v>
      </c>
      <c r="K256" s="226">
        <v>6161.16</v>
      </c>
      <c r="L256" s="226">
        <v>0</v>
      </c>
      <c r="M256" s="270">
        <v>0</v>
      </c>
      <c r="N256" s="270">
        <v>35500</v>
      </c>
    </row>
    <row r="257" spans="1:14">
      <c r="A257" s="276" t="s">
        <v>1012</v>
      </c>
      <c r="B257" s="277" t="s">
        <v>1013</v>
      </c>
      <c r="C257" s="226" t="s">
        <v>655</v>
      </c>
      <c r="D257" s="226" t="s">
        <v>656</v>
      </c>
      <c r="E257" s="226" t="s">
        <v>657</v>
      </c>
      <c r="F257" s="270">
        <v>14669.42</v>
      </c>
      <c r="G257" s="270">
        <v>0</v>
      </c>
      <c r="H257" s="226">
        <v>0</v>
      </c>
      <c r="I257" s="226">
        <v>0</v>
      </c>
      <c r="J257" s="226">
        <v>0</v>
      </c>
      <c r="K257" s="226">
        <v>3080.58</v>
      </c>
      <c r="L257" s="226">
        <v>0</v>
      </c>
      <c r="M257" s="270">
        <v>0</v>
      </c>
      <c r="N257" s="270">
        <v>17750</v>
      </c>
    </row>
    <row r="258" spans="1:14">
      <c r="A258" s="276" t="s">
        <v>1012</v>
      </c>
      <c r="B258" s="277" t="s">
        <v>1014</v>
      </c>
      <c r="C258" s="226" t="s">
        <v>655</v>
      </c>
      <c r="D258" s="226" t="s">
        <v>656</v>
      </c>
      <c r="E258" s="226" t="s">
        <v>657</v>
      </c>
      <c r="F258" s="270">
        <v>147933.88</v>
      </c>
      <c r="G258" s="270">
        <v>0</v>
      </c>
      <c r="H258" s="226">
        <v>0</v>
      </c>
      <c r="I258" s="226">
        <v>0</v>
      </c>
      <c r="J258" s="226">
        <v>0</v>
      </c>
      <c r="K258" s="226">
        <v>31066.12</v>
      </c>
      <c r="L258" s="226">
        <v>0</v>
      </c>
      <c r="M258" s="270">
        <v>0</v>
      </c>
      <c r="N258" s="270">
        <v>179000</v>
      </c>
    </row>
    <row r="259" spans="1:14">
      <c r="A259" s="276" t="s">
        <v>1012</v>
      </c>
      <c r="B259" s="277" t="s">
        <v>1015</v>
      </c>
      <c r="C259" s="226" t="s">
        <v>655</v>
      </c>
      <c r="D259" s="226" t="s">
        <v>656</v>
      </c>
      <c r="E259" s="226" t="s">
        <v>657</v>
      </c>
      <c r="F259" s="270">
        <v>3388.43</v>
      </c>
      <c r="G259" s="270">
        <v>0</v>
      </c>
      <c r="H259" s="226">
        <v>0</v>
      </c>
      <c r="I259" s="226">
        <v>0</v>
      </c>
      <c r="J259" s="226">
        <v>0</v>
      </c>
      <c r="K259" s="226">
        <v>711.57</v>
      </c>
      <c r="L259" s="226">
        <v>0</v>
      </c>
      <c r="M259" s="270">
        <v>0</v>
      </c>
      <c r="N259" s="270">
        <v>4100</v>
      </c>
    </row>
    <row r="260" spans="1:14">
      <c r="A260" s="276" t="s">
        <v>1012</v>
      </c>
      <c r="B260" s="277" t="s">
        <v>1016</v>
      </c>
      <c r="C260" s="226" t="s">
        <v>655</v>
      </c>
      <c r="D260" s="226" t="s">
        <v>656</v>
      </c>
      <c r="E260" s="226" t="s">
        <v>657</v>
      </c>
      <c r="F260" s="270">
        <v>10743.8</v>
      </c>
      <c r="G260" s="270">
        <v>0</v>
      </c>
      <c r="H260" s="226">
        <v>0</v>
      </c>
      <c r="I260" s="226">
        <v>0</v>
      </c>
      <c r="J260" s="226">
        <v>0</v>
      </c>
      <c r="K260" s="226">
        <v>2256.2000000000003</v>
      </c>
      <c r="L260" s="226">
        <v>0</v>
      </c>
      <c r="M260" s="270">
        <v>0</v>
      </c>
      <c r="N260" s="270">
        <v>13000</v>
      </c>
    </row>
    <row r="261" spans="1:14">
      <c r="A261" s="276" t="s">
        <v>1012</v>
      </c>
      <c r="B261" s="277" t="s">
        <v>1017</v>
      </c>
      <c r="C261" s="226" t="s">
        <v>655</v>
      </c>
      <c r="D261" s="226" t="s">
        <v>656</v>
      </c>
      <c r="E261" s="226" t="s">
        <v>657</v>
      </c>
      <c r="F261" s="270">
        <v>71487.600000000006</v>
      </c>
      <c r="G261" s="270">
        <v>0</v>
      </c>
      <c r="H261" s="226">
        <v>0</v>
      </c>
      <c r="I261" s="226">
        <v>0</v>
      </c>
      <c r="J261" s="226">
        <v>0</v>
      </c>
      <c r="K261" s="226">
        <v>15012.4</v>
      </c>
      <c r="L261" s="226">
        <v>0</v>
      </c>
      <c r="M261" s="270">
        <v>0</v>
      </c>
      <c r="N261" s="270">
        <v>86500</v>
      </c>
    </row>
    <row r="262" spans="1:14">
      <c r="A262" s="276" t="s">
        <v>1012</v>
      </c>
      <c r="B262" s="277" t="s">
        <v>1018</v>
      </c>
      <c r="C262" s="226" t="s">
        <v>655</v>
      </c>
      <c r="D262" s="226" t="s">
        <v>656</v>
      </c>
      <c r="E262" s="226" t="s">
        <v>657</v>
      </c>
      <c r="F262" s="270">
        <v>31818.18</v>
      </c>
      <c r="G262" s="270">
        <v>0</v>
      </c>
      <c r="H262" s="226">
        <v>0</v>
      </c>
      <c r="I262" s="226">
        <v>0</v>
      </c>
      <c r="J262" s="226">
        <v>0</v>
      </c>
      <c r="K262" s="226">
        <v>6681.82</v>
      </c>
      <c r="L262" s="226">
        <v>0</v>
      </c>
      <c r="M262" s="270">
        <v>0</v>
      </c>
      <c r="N262" s="270">
        <v>38500</v>
      </c>
    </row>
    <row r="263" spans="1:14">
      <c r="A263" s="276" t="s">
        <v>1012</v>
      </c>
      <c r="B263" s="277" t="s">
        <v>1019</v>
      </c>
      <c r="C263" s="226" t="s">
        <v>655</v>
      </c>
      <c r="D263" s="226" t="s">
        <v>656</v>
      </c>
      <c r="E263" s="226" t="s">
        <v>657</v>
      </c>
      <c r="F263" s="270">
        <v>10743.8</v>
      </c>
      <c r="G263" s="270">
        <v>0</v>
      </c>
      <c r="H263" s="226">
        <v>0</v>
      </c>
      <c r="I263" s="226">
        <v>0</v>
      </c>
      <c r="J263" s="226">
        <v>0</v>
      </c>
      <c r="K263" s="226">
        <v>2256.2000000000003</v>
      </c>
      <c r="L263" s="226">
        <v>0</v>
      </c>
      <c r="M263" s="270">
        <v>0</v>
      </c>
      <c r="N263" s="270">
        <v>13000</v>
      </c>
    </row>
    <row r="264" spans="1:14">
      <c r="A264" s="276" t="s">
        <v>1012</v>
      </c>
      <c r="B264" s="277" t="s">
        <v>1020</v>
      </c>
      <c r="C264" s="226" t="s">
        <v>655</v>
      </c>
      <c r="D264" s="226" t="s">
        <v>656</v>
      </c>
      <c r="E264" s="226" t="s">
        <v>657</v>
      </c>
      <c r="F264" s="270">
        <v>10743.8</v>
      </c>
      <c r="G264" s="270">
        <v>0</v>
      </c>
      <c r="H264" s="226">
        <v>0</v>
      </c>
      <c r="I264" s="226">
        <v>0</v>
      </c>
      <c r="J264" s="226">
        <v>0</v>
      </c>
      <c r="K264" s="226">
        <v>2256.2000000000003</v>
      </c>
      <c r="L264" s="226">
        <v>0</v>
      </c>
      <c r="M264" s="270">
        <v>0</v>
      </c>
      <c r="N264" s="270">
        <v>13000</v>
      </c>
    </row>
    <row r="265" spans="1:14">
      <c r="A265" s="276" t="s">
        <v>1012</v>
      </c>
      <c r="B265" s="277" t="s">
        <v>1021</v>
      </c>
      <c r="C265" s="226" t="s">
        <v>655</v>
      </c>
      <c r="D265" s="226" t="s">
        <v>656</v>
      </c>
      <c r="E265" s="226" t="s">
        <v>657</v>
      </c>
      <c r="F265" s="270">
        <v>28099.17</v>
      </c>
      <c r="G265" s="270">
        <v>0</v>
      </c>
      <c r="H265" s="226">
        <v>0</v>
      </c>
      <c r="I265" s="226">
        <v>0</v>
      </c>
      <c r="J265" s="226">
        <v>0</v>
      </c>
      <c r="K265" s="226">
        <v>5900.83</v>
      </c>
      <c r="L265" s="226">
        <v>0</v>
      </c>
      <c r="M265" s="270">
        <v>0</v>
      </c>
      <c r="N265" s="270">
        <v>34000</v>
      </c>
    </row>
    <row r="266" spans="1:14">
      <c r="A266" s="276" t="s">
        <v>1012</v>
      </c>
      <c r="B266" s="277" t="s">
        <v>1022</v>
      </c>
      <c r="C266" s="226" t="s">
        <v>655</v>
      </c>
      <c r="D266" s="226" t="s">
        <v>656</v>
      </c>
      <c r="E266" s="226" t="s">
        <v>657</v>
      </c>
      <c r="F266" s="270">
        <v>24793.39</v>
      </c>
      <c r="G266" s="270">
        <v>0</v>
      </c>
      <c r="H266" s="226">
        <v>0</v>
      </c>
      <c r="I266" s="226">
        <v>0</v>
      </c>
      <c r="J266" s="226">
        <v>0</v>
      </c>
      <c r="K266" s="226">
        <v>5206.6099999999997</v>
      </c>
      <c r="L266" s="226">
        <v>0</v>
      </c>
      <c r="M266" s="270">
        <v>0</v>
      </c>
      <c r="N266" s="270">
        <v>30000</v>
      </c>
    </row>
    <row r="267" spans="1:14">
      <c r="A267" s="276" t="s">
        <v>1012</v>
      </c>
      <c r="B267" s="277" t="s">
        <v>1023</v>
      </c>
      <c r="C267" s="226" t="s">
        <v>1024</v>
      </c>
      <c r="D267" s="226" t="s">
        <v>656</v>
      </c>
      <c r="E267" s="226">
        <v>13881587</v>
      </c>
      <c r="F267" s="270">
        <v>29752.07</v>
      </c>
      <c r="G267" s="270">
        <v>0</v>
      </c>
      <c r="H267" s="226">
        <v>0</v>
      </c>
      <c r="I267" s="226">
        <v>0</v>
      </c>
      <c r="J267" s="226">
        <v>0</v>
      </c>
      <c r="K267" s="226">
        <v>6247.93</v>
      </c>
      <c r="L267" s="226">
        <v>0</v>
      </c>
      <c r="M267" s="270">
        <v>0</v>
      </c>
      <c r="N267" s="270">
        <v>36000</v>
      </c>
    </row>
    <row r="268" spans="1:14">
      <c r="A268" s="276" t="s">
        <v>1012</v>
      </c>
      <c r="B268" s="277" t="s">
        <v>1025</v>
      </c>
      <c r="C268" s="226" t="s">
        <v>655</v>
      </c>
      <c r="D268" s="226" t="s">
        <v>656</v>
      </c>
      <c r="E268" s="226" t="s">
        <v>657</v>
      </c>
      <c r="F268" s="270">
        <v>14669.42</v>
      </c>
      <c r="G268" s="270">
        <v>0</v>
      </c>
      <c r="H268" s="226">
        <v>0</v>
      </c>
      <c r="I268" s="226">
        <v>0</v>
      </c>
      <c r="J268" s="226">
        <v>0</v>
      </c>
      <c r="K268" s="226">
        <v>3080.58</v>
      </c>
      <c r="L268" s="226">
        <v>0</v>
      </c>
      <c r="M268" s="270">
        <v>0</v>
      </c>
      <c r="N268" s="270">
        <v>17750</v>
      </c>
    </row>
    <row r="269" spans="1:14">
      <c r="A269" s="276" t="s">
        <v>1030</v>
      </c>
      <c r="B269" s="277" t="s">
        <v>1031</v>
      </c>
      <c r="C269" s="226" t="s">
        <v>1032</v>
      </c>
      <c r="D269" s="226" t="s">
        <v>656</v>
      </c>
      <c r="E269" s="226">
        <v>24190411</v>
      </c>
      <c r="F269" s="270">
        <v>8595.0400000000009</v>
      </c>
      <c r="G269" s="270">
        <v>0</v>
      </c>
      <c r="H269" s="226">
        <v>0</v>
      </c>
      <c r="I269" s="226">
        <v>0</v>
      </c>
      <c r="J269" s="226">
        <v>0</v>
      </c>
      <c r="K269" s="226">
        <v>1804.96</v>
      </c>
      <c r="L269" s="226">
        <v>0</v>
      </c>
      <c r="M269" s="270">
        <v>0</v>
      </c>
      <c r="N269" s="270">
        <v>10400</v>
      </c>
    </row>
    <row r="270" spans="1:14">
      <c r="A270" s="276" t="s">
        <v>1030</v>
      </c>
      <c r="B270" s="277" t="s">
        <v>1033</v>
      </c>
      <c r="C270" s="226" t="s">
        <v>655</v>
      </c>
      <c r="D270" s="226" t="s">
        <v>656</v>
      </c>
      <c r="E270" s="226" t="s">
        <v>657</v>
      </c>
      <c r="F270" s="270">
        <v>10743.8</v>
      </c>
      <c r="G270" s="270">
        <v>0</v>
      </c>
      <c r="H270" s="226">
        <v>0</v>
      </c>
      <c r="I270" s="226">
        <v>0</v>
      </c>
      <c r="J270" s="226">
        <v>0</v>
      </c>
      <c r="K270" s="226">
        <v>2256.2000000000003</v>
      </c>
      <c r="L270" s="226">
        <v>0</v>
      </c>
      <c r="M270" s="270">
        <v>0</v>
      </c>
      <c r="N270" s="270">
        <v>13000</v>
      </c>
    </row>
    <row r="271" spans="1:14">
      <c r="A271" s="276" t="s">
        <v>1030</v>
      </c>
      <c r="B271" s="277" t="s">
        <v>1034</v>
      </c>
      <c r="C271" s="226" t="s">
        <v>655</v>
      </c>
      <c r="D271" s="226" t="s">
        <v>656</v>
      </c>
      <c r="E271" s="226" t="s">
        <v>657</v>
      </c>
      <c r="F271" s="270">
        <v>15702.48</v>
      </c>
      <c r="G271" s="270">
        <v>0</v>
      </c>
      <c r="H271" s="226">
        <v>0</v>
      </c>
      <c r="I271" s="226">
        <v>0</v>
      </c>
      <c r="J271" s="226">
        <v>0</v>
      </c>
      <c r="K271" s="226">
        <v>3297.52</v>
      </c>
      <c r="L271" s="226">
        <v>0</v>
      </c>
      <c r="M271" s="270">
        <v>0</v>
      </c>
      <c r="N271" s="270">
        <v>19000</v>
      </c>
    </row>
    <row r="272" spans="1:14">
      <c r="A272" s="276" t="s">
        <v>1030</v>
      </c>
      <c r="B272" s="277" t="s">
        <v>1035</v>
      </c>
      <c r="C272" s="226" t="s">
        <v>655</v>
      </c>
      <c r="D272" s="226" t="s">
        <v>656</v>
      </c>
      <c r="E272" s="226" t="s">
        <v>657</v>
      </c>
      <c r="F272" s="270">
        <v>14669.42</v>
      </c>
      <c r="G272" s="270">
        <v>0</v>
      </c>
      <c r="H272" s="226">
        <v>0</v>
      </c>
      <c r="I272" s="226">
        <v>0</v>
      </c>
      <c r="J272" s="226">
        <v>0</v>
      </c>
      <c r="K272" s="226">
        <v>3080.58</v>
      </c>
      <c r="L272" s="226">
        <v>0</v>
      </c>
      <c r="M272" s="270">
        <v>0</v>
      </c>
      <c r="N272" s="270">
        <v>17750</v>
      </c>
    </row>
    <row r="273" spans="1:14">
      <c r="A273" s="276" t="s">
        <v>1030</v>
      </c>
      <c r="B273" s="277" t="s">
        <v>1036</v>
      </c>
      <c r="C273" s="226" t="s">
        <v>655</v>
      </c>
      <c r="D273" s="226" t="s">
        <v>656</v>
      </c>
      <c r="E273" s="226" t="s">
        <v>657</v>
      </c>
      <c r="F273" s="270">
        <v>10743.8</v>
      </c>
      <c r="G273" s="270">
        <v>0</v>
      </c>
      <c r="H273" s="226">
        <v>0</v>
      </c>
      <c r="I273" s="226">
        <v>0</v>
      </c>
      <c r="J273" s="226">
        <v>0</v>
      </c>
      <c r="K273" s="226">
        <v>2256.2000000000003</v>
      </c>
      <c r="L273" s="226">
        <v>0</v>
      </c>
      <c r="M273" s="270">
        <v>0</v>
      </c>
      <c r="N273" s="270">
        <v>13000</v>
      </c>
    </row>
    <row r="274" spans="1:14">
      <c r="A274" s="276" t="s">
        <v>1030</v>
      </c>
      <c r="B274" s="277" t="s">
        <v>1037</v>
      </c>
      <c r="C274" s="226" t="s">
        <v>655</v>
      </c>
      <c r="D274" s="226" t="s">
        <v>656</v>
      </c>
      <c r="E274" s="226" t="s">
        <v>657</v>
      </c>
      <c r="F274" s="270">
        <v>21487.599999999999</v>
      </c>
      <c r="G274" s="270">
        <v>0</v>
      </c>
      <c r="H274" s="226">
        <v>0</v>
      </c>
      <c r="I274" s="226">
        <v>0</v>
      </c>
      <c r="J274" s="226">
        <v>0</v>
      </c>
      <c r="K274" s="226">
        <v>4512.4000000000005</v>
      </c>
      <c r="L274" s="226">
        <v>0</v>
      </c>
      <c r="M274" s="270">
        <v>0</v>
      </c>
      <c r="N274" s="270">
        <v>26000</v>
      </c>
    </row>
    <row r="275" spans="1:14">
      <c r="A275" s="276" t="s">
        <v>1030</v>
      </c>
      <c r="B275" s="277" t="s">
        <v>1038</v>
      </c>
      <c r="C275" s="226" t="s">
        <v>655</v>
      </c>
      <c r="D275" s="226" t="s">
        <v>656</v>
      </c>
      <c r="E275" s="226" t="s">
        <v>657</v>
      </c>
      <c r="F275" s="270">
        <v>15702.48</v>
      </c>
      <c r="G275" s="270">
        <v>0</v>
      </c>
      <c r="H275" s="226">
        <v>0</v>
      </c>
      <c r="I275" s="226">
        <v>0</v>
      </c>
      <c r="J275" s="226">
        <v>0</v>
      </c>
      <c r="K275" s="226">
        <v>3297.52</v>
      </c>
      <c r="L275" s="226">
        <v>0</v>
      </c>
      <c r="M275" s="270">
        <v>0</v>
      </c>
      <c r="N275" s="270">
        <v>19000</v>
      </c>
    </row>
    <row r="276" spans="1:14">
      <c r="A276" s="276" t="s">
        <v>1030</v>
      </c>
      <c r="B276" s="277" t="s">
        <v>1039</v>
      </c>
      <c r="C276" s="226" t="s">
        <v>655</v>
      </c>
      <c r="D276" s="226" t="s">
        <v>656</v>
      </c>
      <c r="E276" s="226" t="s">
        <v>657</v>
      </c>
      <c r="F276" s="270">
        <v>12314.05</v>
      </c>
      <c r="G276" s="270">
        <v>0</v>
      </c>
      <c r="H276" s="226">
        <v>0</v>
      </c>
      <c r="I276" s="226">
        <v>0</v>
      </c>
      <c r="J276" s="226">
        <v>0</v>
      </c>
      <c r="K276" s="226">
        <v>2585.9500000000003</v>
      </c>
      <c r="L276" s="226">
        <v>0</v>
      </c>
      <c r="M276" s="270">
        <v>0</v>
      </c>
      <c r="N276" s="270">
        <v>14900</v>
      </c>
    </row>
    <row r="277" spans="1:14">
      <c r="A277" s="276" t="s">
        <v>1030</v>
      </c>
      <c r="B277" s="277" t="s">
        <v>1040</v>
      </c>
      <c r="C277" s="226" t="s">
        <v>655</v>
      </c>
      <c r="D277" s="226" t="s">
        <v>656</v>
      </c>
      <c r="E277" s="226" t="s">
        <v>657</v>
      </c>
      <c r="F277" s="270">
        <v>10743.8</v>
      </c>
      <c r="G277" s="270">
        <v>0</v>
      </c>
      <c r="H277" s="226">
        <v>0</v>
      </c>
      <c r="I277" s="226">
        <v>0</v>
      </c>
      <c r="J277" s="226">
        <v>0</v>
      </c>
      <c r="K277" s="226">
        <v>2256.2000000000003</v>
      </c>
      <c r="L277" s="226">
        <v>0</v>
      </c>
      <c r="M277" s="270">
        <v>0</v>
      </c>
      <c r="N277" s="270">
        <v>13000</v>
      </c>
    </row>
    <row r="278" spans="1:14">
      <c r="A278" s="276" t="s">
        <v>1030</v>
      </c>
      <c r="B278" s="277" t="s">
        <v>1041</v>
      </c>
      <c r="C278" s="226" t="s">
        <v>655</v>
      </c>
      <c r="D278" s="226" t="s">
        <v>656</v>
      </c>
      <c r="E278" s="226" t="s">
        <v>657</v>
      </c>
      <c r="F278" s="270">
        <v>12396.69</v>
      </c>
      <c r="G278" s="270">
        <v>0</v>
      </c>
      <c r="H278" s="226">
        <v>0</v>
      </c>
      <c r="I278" s="226">
        <v>0</v>
      </c>
      <c r="J278" s="226">
        <v>0</v>
      </c>
      <c r="K278" s="226">
        <v>2603.31</v>
      </c>
      <c r="L278" s="226">
        <v>0</v>
      </c>
      <c r="M278" s="270">
        <v>0</v>
      </c>
      <c r="N278" s="270">
        <v>15000</v>
      </c>
    </row>
    <row r="279" spans="1:14">
      <c r="A279" s="276" t="s">
        <v>1030</v>
      </c>
      <c r="B279" s="277" t="s">
        <v>1042</v>
      </c>
      <c r="C279" s="226" t="s">
        <v>655</v>
      </c>
      <c r="D279" s="226" t="s">
        <v>656</v>
      </c>
      <c r="E279" s="226" t="s">
        <v>657</v>
      </c>
      <c r="F279" s="270">
        <v>42975.21</v>
      </c>
      <c r="G279" s="270">
        <v>0</v>
      </c>
      <c r="H279" s="226">
        <v>0</v>
      </c>
      <c r="I279" s="226">
        <v>0</v>
      </c>
      <c r="J279" s="226">
        <v>0</v>
      </c>
      <c r="K279" s="226">
        <v>9024.7900000000009</v>
      </c>
      <c r="L279" s="226">
        <v>0</v>
      </c>
      <c r="M279" s="270">
        <v>0</v>
      </c>
      <c r="N279" s="270">
        <v>52000</v>
      </c>
    </row>
    <row r="280" spans="1:14">
      <c r="A280" s="276" t="s">
        <v>1030</v>
      </c>
      <c r="B280" s="277" t="s">
        <v>1043</v>
      </c>
      <c r="C280" s="226" t="s">
        <v>655</v>
      </c>
      <c r="D280" s="226" t="s">
        <v>656</v>
      </c>
      <c r="E280" s="226" t="s">
        <v>657</v>
      </c>
      <c r="F280" s="270">
        <v>28925.62</v>
      </c>
      <c r="G280" s="270">
        <v>0</v>
      </c>
      <c r="H280" s="226">
        <v>0</v>
      </c>
      <c r="I280" s="226">
        <v>0</v>
      </c>
      <c r="J280" s="226">
        <v>0</v>
      </c>
      <c r="K280" s="226">
        <v>6074.38</v>
      </c>
      <c r="L280" s="226">
        <v>0</v>
      </c>
      <c r="M280" s="270">
        <v>0</v>
      </c>
      <c r="N280" s="270">
        <v>35000</v>
      </c>
    </row>
    <row r="281" spans="1:14">
      <c r="A281" s="276" t="s">
        <v>1030</v>
      </c>
      <c r="B281" s="277" t="s">
        <v>1044</v>
      </c>
      <c r="C281" s="226" t="s">
        <v>655</v>
      </c>
      <c r="D281" s="226" t="s">
        <v>656</v>
      </c>
      <c r="E281" s="226" t="s">
        <v>657</v>
      </c>
      <c r="F281" s="270">
        <v>20661.16</v>
      </c>
      <c r="G281" s="270">
        <v>0</v>
      </c>
      <c r="H281" s="226">
        <v>0</v>
      </c>
      <c r="I281" s="226">
        <v>0</v>
      </c>
      <c r="J281" s="226">
        <v>0</v>
      </c>
      <c r="K281" s="226">
        <v>4338.84</v>
      </c>
      <c r="L281" s="226">
        <v>0</v>
      </c>
      <c r="M281" s="270">
        <v>0</v>
      </c>
      <c r="N281" s="270">
        <v>25000</v>
      </c>
    </row>
    <row r="282" spans="1:14">
      <c r="A282" s="276" t="s">
        <v>1030</v>
      </c>
      <c r="B282" s="277" t="s">
        <v>1045</v>
      </c>
      <c r="C282" s="226" t="s">
        <v>655</v>
      </c>
      <c r="D282" s="226" t="s">
        <v>656</v>
      </c>
      <c r="E282" s="226" t="s">
        <v>657</v>
      </c>
      <c r="F282" s="270">
        <v>10743.8</v>
      </c>
      <c r="G282" s="270">
        <v>0</v>
      </c>
      <c r="H282" s="226">
        <v>0</v>
      </c>
      <c r="I282" s="226">
        <v>0</v>
      </c>
      <c r="J282" s="226">
        <v>0</v>
      </c>
      <c r="K282" s="226">
        <v>2256.2000000000003</v>
      </c>
      <c r="L282" s="226">
        <v>0</v>
      </c>
      <c r="M282" s="270">
        <v>0</v>
      </c>
      <c r="N282" s="270">
        <v>13000</v>
      </c>
    </row>
    <row r="283" spans="1:14">
      <c r="A283" s="276" t="s">
        <v>1030</v>
      </c>
      <c r="B283" s="277" t="s">
        <v>1046</v>
      </c>
      <c r="C283" s="226" t="s">
        <v>1047</v>
      </c>
      <c r="D283" s="226" t="s">
        <v>656</v>
      </c>
      <c r="E283" s="226">
        <v>5584608</v>
      </c>
      <c r="F283" s="270">
        <v>29752.07</v>
      </c>
      <c r="G283" s="270">
        <v>0</v>
      </c>
      <c r="H283" s="226">
        <v>0</v>
      </c>
      <c r="I283" s="226">
        <v>0</v>
      </c>
      <c r="J283" s="226">
        <v>0</v>
      </c>
      <c r="K283" s="226">
        <v>6247.93</v>
      </c>
      <c r="L283" s="226">
        <v>0</v>
      </c>
      <c r="M283" s="270">
        <v>0</v>
      </c>
      <c r="N283" s="270">
        <v>36000</v>
      </c>
    </row>
    <row r="284" spans="1:14">
      <c r="A284" s="276" t="s">
        <v>1030</v>
      </c>
      <c r="B284" s="277" t="s">
        <v>1048</v>
      </c>
      <c r="C284" s="226" t="s">
        <v>655</v>
      </c>
      <c r="D284" s="226" t="s">
        <v>656</v>
      </c>
      <c r="E284" s="226" t="s">
        <v>657</v>
      </c>
      <c r="F284" s="270">
        <v>10743.8</v>
      </c>
      <c r="G284" s="270">
        <v>0</v>
      </c>
      <c r="H284" s="226">
        <v>0</v>
      </c>
      <c r="I284" s="226">
        <v>0</v>
      </c>
      <c r="J284" s="226">
        <v>0</v>
      </c>
      <c r="K284" s="226">
        <v>2256.2000000000003</v>
      </c>
      <c r="L284" s="226">
        <v>0</v>
      </c>
      <c r="M284" s="270">
        <v>0</v>
      </c>
      <c r="N284" s="270">
        <v>13000</v>
      </c>
    </row>
    <row r="285" spans="1:14">
      <c r="A285" s="276" t="s">
        <v>1030</v>
      </c>
      <c r="B285" s="277" t="s">
        <v>1049</v>
      </c>
      <c r="C285" s="226" t="s">
        <v>655</v>
      </c>
      <c r="D285" s="226" t="s">
        <v>656</v>
      </c>
      <c r="E285" s="226" t="s">
        <v>657</v>
      </c>
      <c r="F285" s="270">
        <v>10743.8</v>
      </c>
      <c r="G285" s="270">
        <v>0</v>
      </c>
      <c r="H285" s="226">
        <v>0</v>
      </c>
      <c r="I285" s="226">
        <v>0</v>
      </c>
      <c r="J285" s="226">
        <v>0</v>
      </c>
      <c r="K285" s="226">
        <v>2256.2000000000003</v>
      </c>
      <c r="L285" s="226">
        <v>0</v>
      </c>
      <c r="M285" s="270">
        <v>0</v>
      </c>
      <c r="N285" s="270">
        <v>13000</v>
      </c>
    </row>
    <row r="286" spans="1:14">
      <c r="A286" s="276" t="s">
        <v>1030</v>
      </c>
      <c r="B286" s="277" t="s">
        <v>1050</v>
      </c>
      <c r="C286" s="226" t="s">
        <v>655</v>
      </c>
      <c r="D286" s="226" t="s">
        <v>656</v>
      </c>
      <c r="E286" s="226" t="s">
        <v>657</v>
      </c>
      <c r="F286" s="270">
        <v>14669.42</v>
      </c>
      <c r="G286" s="270">
        <v>0</v>
      </c>
      <c r="H286" s="226">
        <v>0</v>
      </c>
      <c r="I286" s="226">
        <v>0</v>
      </c>
      <c r="J286" s="226">
        <v>0</v>
      </c>
      <c r="K286" s="226">
        <v>3080.58</v>
      </c>
      <c r="L286" s="226">
        <v>0</v>
      </c>
      <c r="M286" s="270">
        <v>0</v>
      </c>
      <c r="N286" s="270">
        <v>17750</v>
      </c>
    </row>
    <row r="287" spans="1:14">
      <c r="A287" s="276" t="s">
        <v>1057</v>
      </c>
      <c r="B287" s="277" t="s">
        <v>1058</v>
      </c>
      <c r="C287" s="226" t="s">
        <v>655</v>
      </c>
      <c r="D287" s="226" t="s">
        <v>656</v>
      </c>
      <c r="E287" s="226" t="s">
        <v>657</v>
      </c>
      <c r="F287" s="270">
        <v>79338.850000000006</v>
      </c>
      <c r="G287" s="270">
        <v>0</v>
      </c>
      <c r="H287" s="226">
        <v>0</v>
      </c>
      <c r="I287" s="226">
        <v>0</v>
      </c>
      <c r="J287" s="226">
        <v>0</v>
      </c>
      <c r="K287" s="226">
        <v>16661.150000000001</v>
      </c>
      <c r="L287" s="226">
        <v>0</v>
      </c>
      <c r="M287" s="270">
        <v>0</v>
      </c>
      <c r="N287" s="270">
        <v>96000</v>
      </c>
    </row>
    <row r="288" spans="1:14">
      <c r="A288" s="276" t="s">
        <v>1057</v>
      </c>
      <c r="B288" s="277" t="s">
        <v>1059</v>
      </c>
      <c r="C288" s="226" t="s">
        <v>655</v>
      </c>
      <c r="D288" s="226" t="s">
        <v>656</v>
      </c>
      <c r="E288" s="226" t="s">
        <v>657</v>
      </c>
      <c r="F288" s="270">
        <v>15909.09</v>
      </c>
      <c r="G288" s="270">
        <v>0</v>
      </c>
      <c r="H288" s="226">
        <v>0</v>
      </c>
      <c r="I288" s="226">
        <v>0</v>
      </c>
      <c r="J288" s="226">
        <v>0</v>
      </c>
      <c r="K288" s="226">
        <v>3340.91</v>
      </c>
      <c r="L288" s="226">
        <v>0</v>
      </c>
      <c r="M288" s="270">
        <v>0</v>
      </c>
      <c r="N288" s="270">
        <v>19250</v>
      </c>
    </row>
    <row r="289" spans="1:14">
      <c r="A289" s="276" t="s">
        <v>1057</v>
      </c>
      <c r="B289" s="277" t="s">
        <v>1060</v>
      </c>
      <c r="C289" s="226" t="s">
        <v>655</v>
      </c>
      <c r="D289" s="226" t="s">
        <v>656</v>
      </c>
      <c r="E289" s="226" t="s">
        <v>657</v>
      </c>
      <c r="F289" s="270">
        <v>13223.14</v>
      </c>
      <c r="G289" s="270">
        <v>0</v>
      </c>
      <c r="H289" s="226">
        <v>0</v>
      </c>
      <c r="I289" s="226">
        <v>0</v>
      </c>
      <c r="J289" s="226">
        <v>0</v>
      </c>
      <c r="K289" s="226">
        <v>2776.86</v>
      </c>
      <c r="L289" s="226">
        <v>0</v>
      </c>
      <c r="M289" s="270">
        <v>0</v>
      </c>
      <c r="N289" s="270">
        <v>16000</v>
      </c>
    </row>
    <row r="290" spans="1:14">
      <c r="A290" s="276" t="s">
        <v>1057</v>
      </c>
      <c r="B290" s="277" t="s">
        <v>1061</v>
      </c>
      <c r="C290" s="226" t="s">
        <v>655</v>
      </c>
      <c r="D290" s="226" t="s">
        <v>656</v>
      </c>
      <c r="E290" s="226" t="s">
        <v>657</v>
      </c>
      <c r="F290" s="270">
        <v>14669.42</v>
      </c>
      <c r="G290" s="270">
        <v>0</v>
      </c>
      <c r="H290" s="226">
        <v>0</v>
      </c>
      <c r="I290" s="226">
        <v>0</v>
      </c>
      <c r="J290" s="226">
        <v>0</v>
      </c>
      <c r="K290" s="226">
        <v>3080.58</v>
      </c>
      <c r="L290" s="226">
        <v>0</v>
      </c>
      <c r="M290" s="270">
        <v>0</v>
      </c>
      <c r="N290" s="270">
        <v>17750</v>
      </c>
    </row>
    <row r="291" spans="1:14">
      <c r="A291" s="276" t="s">
        <v>1057</v>
      </c>
      <c r="B291" s="277" t="s">
        <v>1062</v>
      </c>
      <c r="C291" s="226" t="s">
        <v>655</v>
      </c>
      <c r="D291" s="226" t="s">
        <v>656</v>
      </c>
      <c r="E291" s="226" t="s">
        <v>657</v>
      </c>
      <c r="F291" s="270">
        <v>10743.8</v>
      </c>
      <c r="G291" s="270">
        <v>0</v>
      </c>
      <c r="H291" s="226">
        <v>0</v>
      </c>
      <c r="I291" s="226">
        <v>0</v>
      </c>
      <c r="J291" s="226">
        <v>0</v>
      </c>
      <c r="K291" s="226">
        <v>2256.2000000000003</v>
      </c>
      <c r="L291" s="226">
        <v>0</v>
      </c>
      <c r="M291" s="270">
        <v>0</v>
      </c>
      <c r="N291" s="270">
        <v>13000</v>
      </c>
    </row>
    <row r="292" spans="1:14">
      <c r="A292" s="276" t="s">
        <v>1057</v>
      </c>
      <c r="B292" s="277" t="s">
        <v>1063</v>
      </c>
      <c r="C292" s="226" t="s">
        <v>655</v>
      </c>
      <c r="D292" s="226" t="s">
        <v>656</v>
      </c>
      <c r="E292" s="226" t="s">
        <v>657</v>
      </c>
      <c r="F292" s="270">
        <v>64462.810000000005</v>
      </c>
      <c r="G292" s="270">
        <v>0</v>
      </c>
      <c r="H292" s="226">
        <v>0</v>
      </c>
      <c r="I292" s="226">
        <v>0</v>
      </c>
      <c r="J292" s="226">
        <v>0</v>
      </c>
      <c r="K292" s="226">
        <v>13537.19</v>
      </c>
      <c r="L292" s="226">
        <v>0</v>
      </c>
      <c r="M292" s="270">
        <v>0</v>
      </c>
      <c r="N292" s="270">
        <v>78000</v>
      </c>
    </row>
    <row r="293" spans="1:14">
      <c r="A293" s="276" t="s">
        <v>1057</v>
      </c>
      <c r="B293" s="277" t="s">
        <v>1064</v>
      </c>
      <c r="C293" s="226" t="s">
        <v>655</v>
      </c>
      <c r="D293" s="226" t="s">
        <v>656</v>
      </c>
      <c r="E293" s="226" t="s">
        <v>657</v>
      </c>
      <c r="F293" s="270">
        <v>33801.65</v>
      </c>
      <c r="G293" s="270">
        <v>0</v>
      </c>
      <c r="H293" s="226">
        <v>0</v>
      </c>
      <c r="I293" s="226">
        <v>0</v>
      </c>
      <c r="J293" s="226">
        <v>0</v>
      </c>
      <c r="K293" s="226">
        <v>7098.35</v>
      </c>
      <c r="L293" s="226">
        <v>0</v>
      </c>
      <c r="M293" s="270">
        <v>0</v>
      </c>
      <c r="N293" s="270">
        <v>40900</v>
      </c>
    </row>
    <row r="294" spans="1:14">
      <c r="A294" s="276" t="s">
        <v>1057</v>
      </c>
      <c r="B294" s="277" t="s">
        <v>1065</v>
      </c>
      <c r="C294" s="226" t="s">
        <v>655</v>
      </c>
      <c r="D294" s="226" t="s">
        <v>656</v>
      </c>
      <c r="E294" s="226" t="s">
        <v>657</v>
      </c>
      <c r="F294" s="270">
        <v>4462.8100000000004</v>
      </c>
      <c r="G294" s="270">
        <v>0</v>
      </c>
      <c r="H294" s="226">
        <v>0</v>
      </c>
      <c r="I294" s="226">
        <v>0</v>
      </c>
      <c r="J294" s="226">
        <v>0</v>
      </c>
      <c r="K294" s="226">
        <v>937.19</v>
      </c>
      <c r="L294" s="226">
        <v>0</v>
      </c>
      <c r="M294" s="270">
        <v>0</v>
      </c>
      <c r="N294" s="270">
        <v>5400</v>
      </c>
    </row>
    <row r="295" spans="1:14">
      <c r="A295" s="276" t="s">
        <v>1057</v>
      </c>
      <c r="B295" s="277" t="s">
        <v>1066</v>
      </c>
      <c r="C295" s="226" t="s">
        <v>655</v>
      </c>
      <c r="D295" s="226" t="s">
        <v>656</v>
      </c>
      <c r="E295" s="226" t="s">
        <v>657</v>
      </c>
      <c r="F295" s="270">
        <v>41322.31</v>
      </c>
      <c r="G295" s="270">
        <v>0</v>
      </c>
      <c r="H295" s="226">
        <v>0</v>
      </c>
      <c r="I295" s="226">
        <v>0</v>
      </c>
      <c r="J295" s="226">
        <v>0</v>
      </c>
      <c r="K295" s="226">
        <v>8677.69</v>
      </c>
      <c r="L295" s="226">
        <v>0</v>
      </c>
      <c r="M295" s="270">
        <v>0</v>
      </c>
      <c r="N295" s="270">
        <v>50000</v>
      </c>
    </row>
    <row r="296" spans="1:14">
      <c r="A296" s="276" t="s">
        <v>1057</v>
      </c>
      <c r="B296" s="277" t="s">
        <v>1067</v>
      </c>
      <c r="C296" s="226" t="s">
        <v>655</v>
      </c>
      <c r="D296" s="226" t="s">
        <v>656</v>
      </c>
      <c r="E296" s="226" t="s">
        <v>657</v>
      </c>
      <c r="F296" s="270">
        <v>5867.77</v>
      </c>
      <c r="G296" s="270">
        <v>0</v>
      </c>
      <c r="H296" s="226">
        <v>0</v>
      </c>
      <c r="I296" s="226">
        <v>0</v>
      </c>
      <c r="J296" s="226">
        <v>0</v>
      </c>
      <c r="K296" s="226">
        <v>1232.23</v>
      </c>
      <c r="L296" s="226">
        <v>0</v>
      </c>
      <c r="M296" s="270">
        <v>0</v>
      </c>
      <c r="N296" s="270">
        <v>7100</v>
      </c>
    </row>
    <row r="297" spans="1:14">
      <c r="A297" s="276" t="s">
        <v>1057</v>
      </c>
      <c r="B297" s="277" t="s">
        <v>1068</v>
      </c>
      <c r="C297" s="226" t="s">
        <v>655</v>
      </c>
      <c r="D297" s="226" t="s">
        <v>656</v>
      </c>
      <c r="E297" s="226" t="s">
        <v>657</v>
      </c>
      <c r="F297" s="270">
        <v>21487.599999999999</v>
      </c>
      <c r="G297" s="270">
        <v>0</v>
      </c>
      <c r="H297" s="226">
        <v>0</v>
      </c>
      <c r="I297" s="226">
        <v>0</v>
      </c>
      <c r="J297" s="226">
        <v>0</v>
      </c>
      <c r="K297" s="226">
        <v>4512.4000000000005</v>
      </c>
      <c r="L297" s="226">
        <v>0</v>
      </c>
      <c r="M297" s="270">
        <v>0</v>
      </c>
      <c r="N297" s="270">
        <v>26000</v>
      </c>
    </row>
    <row r="298" spans="1:14">
      <c r="A298" s="276" t="s">
        <v>1057</v>
      </c>
      <c r="B298" s="277" t="s">
        <v>1069</v>
      </c>
      <c r="C298" s="226" t="s">
        <v>655</v>
      </c>
      <c r="D298" s="226" t="s">
        <v>656</v>
      </c>
      <c r="E298" s="226" t="s">
        <v>657</v>
      </c>
      <c r="F298" s="270">
        <v>10743.8</v>
      </c>
      <c r="G298" s="270">
        <v>0</v>
      </c>
      <c r="H298" s="226">
        <v>0</v>
      </c>
      <c r="I298" s="226">
        <v>0</v>
      </c>
      <c r="J298" s="226">
        <v>0</v>
      </c>
      <c r="K298" s="226">
        <v>2256.2000000000003</v>
      </c>
      <c r="L298" s="226">
        <v>0</v>
      </c>
      <c r="M298" s="270">
        <v>0</v>
      </c>
      <c r="N298" s="270">
        <v>13000</v>
      </c>
    </row>
    <row r="299" spans="1:14">
      <c r="A299" s="276" t="s">
        <v>1057</v>
      </c>
      <c r="B299" s="277" t="s">
        <v>1070</v>
      </c>
      <c r="C299" s="226" t="s">
        <v>655</v>
      </c>
      <c r="D299" s="226" t="s">
        <v>656</v>
      </c>
      <c r="E299" s="226" t="s">
        <v>657</v>
      </c>
      <c r="F299" s="270">
        <v>14669.42</v>
      </c>
      <c r="G299" s="270">
        <v>0</v>
      </c>
      <c r="H299" s="226">
        <v>0</v>
      </c>
      <c r="I299" s="226">
        <v>0</v>
      </c>
      <c r="J299" s="226">
        <v>0</v>
      </c>
      <c r="K299" s="226">
        <v>3080.58</v>
      </c>
      <c r="L299" s="226">
        <v>0</v>
      </c>
      <c r="M299" s="270">
        <v>0</v>
      </c>
      <c r="N299" s="270">
        <v>17750</v>
      </c>
    </row>
    <row r="300" spans="1:14">
      <c r="A300" s="276" t="s">
        <v>1057</v>
      </c>
      <c r="B300" s="277" t="s">
        <v>1071</v>
      </c>
      <c r="C300" s="226" t="s">
        <v>655</v>
      </c>
      <c r="D300" s="226" t="s">
        <v>656</v>
      </c>
      <c r="E300" s="226" t="s">
        <v>657</v>
      </c>
      <c r="F300" s="270">
        <v>23057.85</v>
      </c>
      <c r="G300" s="270">
        <v>0</v>
      </c>
      <c r="H300" s="226">
        <v>0</v>
      </c>
      <c r="I300" s="226">
        <v>0</v>
      </c>
      <c r="J300" s="226">
        <v>0</v>
      </c>
      <c r="K300" s="226">
        <v>4842.1500000000005</v>
      </c>
      <c r="L300" s="226">
        <v>0</v>
      </c>
      <c r="M300" s="270">
        <v>0</v>
      </c>
      <c r="N300" s="270">
        <v>27900</v>
      </c>
    </row>
    <row r="301" spans="1:14">
      <c r="A301" s="276" t="s">
        <v>1057</v>
      </c>
      <c r="B301" s="277" t="s">
        <v>1072</v>
      </c>
      <c r="C301" s="226" t="s">
        <v>655</v>
      </c>
      <c r="D301" s="226" t="s">
        <v>656</v>
      </c>
      <c r="E301" s="226" t="s">
        <v>657</v>
      </c>
      <c r="F301" s="270">
        <v>11487.6</v>
      </c>
      <c r="G301" s="270">
        <v>0</v>
      </c>
      <c r="H301" s="226">
        <v>0</v>
      </c>
      <c r="I301" s="226">
        <v>0</v>
      </c>
      <c r="J301" s="226">
        <v>0</v>
      </c>
      <c r="K301" s="226">
        <v>2412.4</v>
      </c>
      <c r="L301" s="226">
        <v>0</v>
      </c>
      <c r="M301" s="270">
        <v>0</v>
      </c>
      <c r="N301" s="270">
        <v>13900</v>
      </c>
    </row>
    <row r="302" spans="1:14">
      <c r="A302" s="276" t="s">
        <v>1057</v>
      </c>
      <c r="B302" s="277" t="s">
        <v>1073</v>
      </c>
      <c r="C302" s="226" t="s">
        <v>655</v>
      </c>
      <c r="D302" s="226" t="s">
        <v>656</v>
      </c>
      <c r="E302" s="226" t="s">
        <v>657</v>
      </c>
      <c r="F302" s="270">
        <v>41322.31</v>
      </c>
      <c r="G302" s="270">
        <v>0</v>
      </c>
      <c r="H302" s="226">
        <v>0</v>
      </c>
      <c r="I302" s="226">
        <v>0</v>
      </c>
      <c r="J302" s="226">
        <v>0</v>
      </c>
      <c r="K302" s="226">
        <v>8677.69</v>
      </c>
      <c r="L302" s="226">
        <v>0</v>
      </c>
      <c r="M302" s="270">
        <v>0</v>
      </c>
      <c r="N302" s="270">
        <v>50000</v>
      </c>
    </row>
    <row r="303" spans="1:14">
      <c r="A303" s="276" t="s">
        <v>1057</v>
      </c>
      <c r="B303" s="277" t="s">
        <v>1074</v>
      </c>
      <c r="C303" s="226" t="s">
        <v>655</v>
      </c>
      <c r="D303" s="226" t="s">
        <v>656</v>
      </c>
      <c r="E303" s="226" t="s">
        <v>657</v>
      </c>
      <c r="F303" s="270">
        <v>9917.36</v>
      </c>
      <c r="G303" s="270">
        <v>0</v>
      </c>
      <c r="H303" s="226">
        <v>0</v>
      </c>
      <c r="I303" s="226">
        <v>0</v>
      </c>
      <c r="J303" s="226">
        <v>0</v>
      </c>
      <c r="K303" s="226">
        <v>2082.64</v>
      </c>
      <c r="L303" s="226">
        <v>0</v>
      </c>
      <c r="M303" s="270">
        <v>0</v>
      </c>
      <c r="N303" s="270">
        <v>12000</v>
      </c>
    </row>
    <row r="304" spans="1:14">
      <c r="A304" s="276" t="s">
        <v>1057</v>
      </c>
      <c r="B304" s="277" t="s">
        <v>1075</v>
      </c>
      <c r="C304" s="226" t="s">
        <v>655</v>
      </c>
      <c r="D304" s="226" t="s">
        <v>656</v>
      </c>
      <c r="E304" s="226" t="s">
        <v>657</v>
      </c>
      <c r="F304" s="270">
        <v>10743.8</v>
      </c>
      <c r="G304" s="270">
        <v>0</v>
      </c>
      <c r="H304" s="226">
        <v>0</v>
      </c>
      <c r="I304" s="226">
        <v>0</v>
      </c>
      <c r="J304" s="226">
        <v>0</v>
      </c>
      <c r="K304" s="226">
        <v>2256.2000000000003</v>
      </c>
      <c r="L304" s="226">
        <v>0</v>
      </c>
      <c r="M304" s="270">
        <v>0</v>
      </c>
      <c r="N304" s="270">
        <v>13000</v>
      </c>
    </row>
    <row r="305" spans="1:14">
      <c r="A305" s="276" t="s">
        <v>1057</v>
      </c>
      <c r="B305" s="277" t="s">
        <v>1076</v>
      </c>
      <c r="C305" s="226" t="s">
        <v>655</v>
      </c>
      <c r="D305" s="226" t="s">
        <v>656</v>
      </c>
      <c r="E305" s="226" t="s">
        <v>657</v>
      </c>
      <c r="F305" s="270">
        <v>21487.599999999999</v>
      </c>
      <c r="G305" s="270">
        <v>0</v>
      </c>
      <c r="H305" s="226">
        <v>0</v>
      </c>
      <c r="I305" s="226">
        <v>0</v>
      </c>
      <c r="J305" s="226">
        <v>0</v>
      </c>
      <c r="K305" s="226">
        <v>4512.4000000000005</v>
      </c>
      <c r="L305" s="226">
        <v>0</v>
      </c>
      <c r="M305" s="270">
        <v>0</v>
      </c>
      <c r="N305" s="270">
        <v>26000</v>
      </c>
    </row>
    <row r="306" spans="1:14">
      <c r="A306" s="276" t="s">
        <v>1057</v>
      </c>
      <c r="B306" s="277" t="s">
        <v>1077</v>
      </c>
      <c r="C306" s="226" t="s">
        <v>655</v>
      </c>
      <c r="D306" s="226" t="s">
        <v>656</v>
      </c>
      <c r="E306" s="226" t="s">
        <v>657</v>
      </c>
      <c r="F306" s="270">
        <v>21487.599999999999</v>
      </c>
      <c r="G306" s="270">
        <v>0</v>
      </c>
      <c r="H306" s="226">
        <v>0</v>
      </c>
      <c r="I306" s="226">
        <v>0</v>
      </c>
      <c r="J306" s="226">
        <v>0</v>
      </c>
      <c r="K306" s="226">
        <v>4512.4000000000005</v>
      </c>
      <c r="L306" s="226">
        <v>0</v>
      </c>
      <c r="M306" s="270">
        <v>0</v>
      </c>
      <c r="N306" s="270">
        <v>26000</v>
      </c>
    </row>
    <row r="307" spans="1:14">
      <c r="A307" s="276" t="s">
        <v>1057</v>
      </c>
      <c r="B307" s="277" t="s">
        <v>1078</v>
      </c>
      <c r="C307" s="226" t="s">
        <v>655</v>
      </c>
      <c r="D307" s="226" t="s">
        <v>656</v>
      </c>
      <c r="E307" s="226" t="s">
        <v>657</v>
      </c>
      <c r="F307" s="270">
        <v>21487.599999999999</v>
      </c>
      <c r="G307" s="270">
        <v>0</v>
      </c>
      <c r="H307" s="226">
        <v>0</v>
      </c>
      <c r="I307" s="226">
        <v>0</v>
      </c>
      <c r="J307" s="226">
        <v>0</v>
      </c>
      <c r="K307" s="226">
        <v>4512.4000000000005</v>
      </c>
      <c r="L307" s="226">
        <v>0</v>
      </c>
      <c r="M307" s="270">
        <v>0</v>
      </c>
      <c r="N307" s="270">
        <v>26000</v>
      </c>
    </row>
    <row r="308" spans="1:14">
      <c r="A308" s="276" t="s">
        <v>1057</v>
      </c>
      <c r="B308" s="277" t="s">
        <v>1079</v>
      </c>
      <c r="C308" s="226" t="s">
        <v>655</v>
      </c>
      <c r="D308" s="226" t="s">
        <v>656</v>
      </c>
      <c r="E308" s="226" t="s">
        <v>657</v>
      </c>
      <c r="F308" s="270">
        <v>14669.42</v>
      </c>
      <c r="G308" s="270">
        <v>0</v>
      </c>
      <c r="H308" s="226">
        <v>0</v>
      </c>
      <c r="I308" s="226">
        <v>0</v>
      </c>
      <c r="J308" s="226">
        <v>0</v>
      </c>
      <c r="K308" s="226">
        <v>3080.58</v>
      </c>
      <c r="L308" s="226">
        <v>0</v>
      </c>
      <c r="M308" s="270">
        <v>0</v>
      </c>
      <c r="N308" s="270">
        <v>17750</v>
      </c>
    </row>
    <row r="309" spans="1:14">
      <c r="A309" s="276" t="s">
        <v>1057</v>
      </c>
      <c r="B309" s="277" t="s">
        <v>1080</v>
      </c>
      <c r="C309" s="226" t="s">
        <v>655</v>
      </c>
      <c r="D309" s="226" t="s">
        <v>656</v>
      </c>
      <c r="E309" s="226" t="s">
        <v>657</v>
      </c>
      <c r="F309" s="270">
        <v>12809.92</v>
      </c>
      <c r="G309" s="270">
        <v>0</v>
      </c>
      <c r="H309" s="226">
        <v>0</v>
      </c>
      <c r="I309" s="226">
        <v>0</v>
      </c>
      <c r="J309" s="226">
        <v>0</v>
      </c>
      <c r="K309" s="226">
        <v>2690.08</v>
      </c>
      <c r="L309" s="226">
        <v>0</v>
      </c>
      <c r="M309" s="270">
        <v>0</v>
      </c>
      <c r="N309" s="270">
        <v>15500</v>
      </c>
    </row>
    <row r="310" spans="1:14">
      <c r="A310" s="276" t="s">
        <v>1098</v>
      </c>
      <c r="B310" s="277" t="s">
        <v>1101</v>
      </c>
      <c r="C310" s="226" t="s">
        <v>655</v>
      </c>
      <c r="D310" s="226" t="s">
        <v>656</v>
      </c>
      <c r="E310" s="226" t="s">
        <v>657</v>
      </c>
      <c r="F310" s="270">
        <v>10743.8</v>
      </c>
      <c r="G310" s="270">
        <v>0</v>
      </c>
      <c r="H310" s="226">
        <v>0</v>
      </c>
      <c r="I310" s="226">
        <v>0</v>
      </c>
      <c r="J310" s="226">
        <v>0</v>
      </c>
      <c r="K310" s="226">
        <v>2256.2000000000003</v>
      </c>
      <c r="L310" s="226">
        <v>0</v>
      </c>
      <c r="M310" s="270">
        <v>0</v>
      </c>
      <c r="N310" s="270">
        <v>13000</v>
      </c>
    </row>
    <row r="311" spans="1:14">
      <c r="A311" s="276" t="s">
        <v>1098</v>
      </c>
      <c r="B311" s="277" t="s">
        <v>1102</v>
      </c>
      <c r="C311" s="226" t="s">
        <v>655</v>
      </c>
      <c r="D311" s="226" t="s">
        <v>656</v>
      </c>
      <c r="E311" s="226" t="s">
        <v>657</v>
      </c>
      <c r="F311" s="270">
        <v>12314.05</v>
      </c>
      <c r="G311" s="270">
        <v>0</v>
      </c>
      <c r="H311" s="226">
        <v>0</v>
      </c>
      <c r="I311" s="226">
        <v>0</v>
      </c>
      <c r="J311" s="226">
        <v>0</v>
      </c>
      <c r="K311" s="226">
        <v>2585.9500000000003</v>
      </c>
      <c r="L311" s="226">
        <v>0</v>
      </c>
      <c r="M311" s="270">
        <v>0</v>
      </c>
      <c r="N311" s="270">
        <v>14900</v>
      </c>
    </row>
    <row r="312" spans="1:14">
      <c r="A312" s="276" t="s">
        <v>1098</v>
      </c>
      <c r="B312" s="277" t="s">
        <v>1103</v>
      </c>
      <c r="C312" s="226" t="s">
        <v>655</v>
      </c>
      <c r="D312" s="226" t="s">
        <v>656</v>
      </c>
      <c r="E312" s="226" t="s">
        <v>657</v>
      </c>
      <c r="F312" s="270">
        <v>34710.74</v>
      </c>
      <c r="G312" s="270">
        <v>0</v>
      </c>
      <c r="H312" s="226">
        <v>0</v>
      </c>
      <c r="I312" s="226">
        <v>0</v>
      </c>
      <c r="J312" s="226">
        <v>0</v>
      </c>
      <c r="K312" s="226">
        <v>7289.26</v>
      </c>
      <c r="L312" s="226">
        <v>0</v>
      </c>
      <c r="M312" s="270">
        <v>0</v>
      </c>
      <c r="N312" s="270">
        <v>42000</v>
      </c>
    </row>
    <row r="313" spans="1:14">
      <c r="A313" s="276" t="s">
        <v>1098</v>
      </c>
      <c r="B313" s="277" t="s">
        <v>1104</v>
      </c>
      <c r="C313" s="226" t="s">
        <v>655</v>
      </c>
      <c r="D313" s="226" t="s">
        <v>656</v>
      </c>
      <c r="E313" s="226" t="s">
        <v>657</v>
      </c>
      <c r="F313" s="270">
        <v>48347.11</v>
      </c>
      <c r="G313" s="270">
        <v>0</v>
      </c>
      <c r="H313" s="226">
        <v>0</v>
      </c>
      <c r="I313" s="226">
        <v>0</v>
      </c>
      <c r="J313" s="226">
        <v>0</v>
      </c>
      <c r="K313" s="226">
        <v>10152.89</v>
      </c>
      <c r="L313" s="226">
        <v>0</v>
      </c>
      <c r="M313" s="270">
        <v>0</v>
      </c>
      <c r="N313" s="270">
        <v>58500</v>
      </c>
    </row>
    <row r="314" spans="1:14">
      <c r="A314" s="276" t="s">
        <v>1098</v>
      </c>
      <c r="B314" s="277" t="s">
        <v>1105</v>
      </c>
      <c r="C314" s="226" t="s">
        <v>655</v>
      </c>
      <c r="D314" s="226" t="s">
        <v>656</v>
      </c>
      <c r="E314" s="226" t="s">
        <v>657</v>
      </c>
      <c r="F314" s="270">
        <v>10743.8</v>
      </c>
      <c r="G314" s="270">
        <v>0</v>
      </c>
      <c r="H314" s="226">
        <v>0</v>
      </c>
      <c r="I314" s="226">
        <v>0</v>
      </c>
      <c r="J314" s="226">
        <v>0</v>
      </c>
      <c r="K314" s="226">
        <v>2256.2000000000003</v>
      </c>
      <c r="L314" s="226">
        <v>0</v>
      </c>
      <c r="M314" s="270">
        <v>0</v>
      </c>
      <c r="N314" s="270">
        <v>13000</v>
      </c>
    </row>
    <row r="315" spans="1:14">
      <c r="A315" s="276" t="s">
        <v>1098</v>
      </c>
      <c r="B315" s="277" t="s">
        <v>1106</v>
      </c>
      <c r="C315" s="226" t="s">
        <v>655</v>
      </c>
      <c r="D315" s="226" t="s">
        <v>656</v>
      </c>
      <c r="E315" s="226" t="s">
        <v>657</v>
      </c>
      <c r="F315" s="270">
        <v>10661.16</v>
      </c>
      <c r="G315" s="270">
        <v>0</v>
      </c>
      <c r="H315" s="226">
        <v>0</v>
      </c>
      <c r="I315" s="226">
        <v>0</v>
      </c>
      <c r="J315" s="226">
        <v>0</v>
      </c>
      <c r="K315" s="226">
        <v>2238.84</v>
      </c>
      <c r="L315" s="226">
        <v>0</v>
      </c>
      <c r="M315" s="270">
        <v>0</v>
      </c>
      <c r="N315" s="270">
        <v>12900</v>
      </c>
    </row>
    <row r="316" spans="1:14">
      <c r="A316" s="276" t="s">
        <v>1098</v>
      </c>
      <c r="B316" s="277" t="s">
        <v>1107</v>
      </c>
      <c r="C316" s="226" t="s">
        <v>655</v>
      </c>
      <c r="D316" s="226" t="s">
        <v>656</v>
      </c>
      <c r="E316" s="226" t="s">
        <v>657</v>
      </c>
      <c r="F316" s="270">
        <v>50826.44</v>
      </c>
      <c r="G316" s="270">
        <v>0</v>
      </c>
      <c r="H316" s="226">
        <v>0</v>
      </c>
      <c r="I316" s="226">
        <v>0</v>
      </c>
      <c r="J316" s="226">
        <v>0</v>
      </c>
      <c r="K316" s="226">
        <v>10673.56</v>
      </c>
      <c r="L316" s="226">
        <v>0</v>
      </c>
      <c r="M316" s="270">
        <v>0</v>
      </c>
      <c r="N316" s="270">
        <v>61500</v>
      </c>
    </row>
    <row r="317" spans="1:14">
      <c r="A317" s="276" t="s">
        <v>1098</v>
      </c>
      <c r="B317" s="277" t="s">
        <v>1108</v>
      </c>
      <c r="C317" s="226" t="s">
        <v>655</v>
      </c>
      <c r="D317" s="226" t="s">
        <v>656</v>
      </c>
      <c r="E317" s="226" t="s">
        <v>657</v>
      </c>
      <c r="F317" s="270">
        <v>78099.17</v>
      </c>
      <c r="G317" s="270">
        <v>0</v>
      </c>
      <c r="H317" s="226">
        <v>0</v>
      </c>
      <c r="I317" s="226">
        <v>0</v>
      </c>
      <c r="J317" s="226">
        <v>0</v>
      </c>
      <c r="K317" s="226">
        <v>16400.830000000002</v>
      </c>
      <c r="L317" s="226">
        <v>0</v>
      </c>
      <c r="M317" s="270">
        <v>0</v>
      </c>
      <c r="N317" s="270">
        <v>94500</v>
      </c>
    </row>
    <row r="318" spans="1:14">
      <c r="A318" s="276" t="s">
        <v>1098</v>
      </c>
      <c r="B318" s="277" t="s">
        <v>1109</v>
      </c>
      <c r="C318" s="226" t="s">
        <v>655</v>
      </c>
      <c r="D318" s="226" t="s">
        <v>656</v>
      </c>
      <c r="E318" s="226" t="s">
        <v>657</v>
      </c>
      <c r="F318" s="270">
        <v>28016.53</v>
      </c>
      <c r="G318" s="270">
        <v>0</v>
      </c>
      <c r="H318" s="226">
        <v>0</v>
      </c>
      <c r="I318" s="226">
        <v>0</v>
      </c>
      <c r="J318" s="226">
        <v>0</v>
      </c>
      <c r="K318" s="226">
        <v>5883.47</v>
      </c>
      <c r="L318" s="226">
        <v>0</v>
      </c>
      <c r="M318" s="270">
        <v>0</v>
      </c>
      <c r="N318" s="270">
        <v>33900</v>
      </c>
    </row>
    <row r="319" spans="1:14">
      <c r="A319" s="276" t="s">
        <v>1098</v>
      </c>
      <c r="B319" s="277" t="s">
        <v>1110</v>
      </c>
      <c r="C319" s="226" t="s">
        <v>655</v>
      </c>
      <c r="D319" s="226" t="s">
        <v>656</v>
      </c>
      <c r="E319" s="226" t="s">
        <v>657</v>
      </c>
      <c r="F319" s="270">
        <v>10743.8</v>
      </c>
      <c r="G319" s="270">
        <v>0</v>
      </c>
      <c r="H319" s="226">
        <v>0</v>
      </c>
      <c r="I319" s="226">
        <v>0</v>
      </c>
      <c r="J319" s="226">
        <v>0</v>
      </c>
      <c r="K319" s="226">
        <v>2256.2000000000003</v>
      </c>
      <c r="L319" s="226">
        <v>0</v>
      </c>
      <c r="M319" s="270">
        <v>0</v>
      </c>
      <c r="N319" s="270">
        <v>13000</v>
      </c>
    </row>
    <row r="320" spans="1:14">
      <c r="A320" s="276" t="s">
        <v>1098</v>
      </c>
      <c r="B320" s="277" t="s">
        <v>1111</v>
      </c>
      <c r="C320" s="226" t="s">
        <v>655</v>
      </c>
      <c r="D320" s="226" t="s">
        <v>656</v>
      </c>
      <c r="E320" s="226" t="s">
        <v>657</v>
      </c>
      <c r="F320" s="270">
        <v>21487.599999999999</v>
      </c>
      <c r="G320" s="270">
        <v>0</v>
      </c>
      <c r="H320" s="226">
        <v>0</v>
      </c>
      <c r="I320" s="226">
        <v>0</v>
      </c>
      <c r="J320" s="226">
        <v>0</v>
      </c>
      <c r="K320" s="226">
        <v>4512.4000000000005</v>
      </c>
      <c r="L320" s="226">
        <v>0</v>
      </c>
      <c r="M320" s="270">
        <v>0</v>
      </c>
      <c r="N320" s="270">
        <v>26000</v>
      </c>
    </row>
    <row r="321" spans="1:14">
      <c r="A321" s="276" t="s">
        <v>1098</v>
      </c>
      <c r="B321" s="277" t="s">
        <v>1112</v>
      </c>
      <c r="C321" s="226" t="s">
        <v>655</v>
      </c>
      <c r="D321" s="226" t="s">
        <v>656</v>
      </c>
      <c r="E321" s="226" t="s">
        <v>657</v>
      </c>
      <c r="F321" s="270">
        <v>15867.77</v>
      </c>
      <c r="G321" s="270">
        <v>0</v>
      </c>
      <c r="H321" s="226">
        <v>0</v>
      </c>
      <c r="I321" s="226">
        <v>0</v>
      </c>
      <c r="J321" s="226">
        <v>0</v>
      </c>
      <c r="K321" s="226">
        <v>3332.23</v>
      </c>
      <c r="L321" s="226">
        <v>0</v>
      </c>
      <c r="M321" s="270">
        <v>0</v>
      </c>
      <c r="N321" s="270">
        <v>19200</v>
      </c>
    </row>
    <row r="322" spans="1:14">
      <c r="A322" s="276" t="s">
        <v>1123</v>
      </c>
      <c r="B322" s="277" t="s">
        <v>1124</v>
      </c>
      <c r="C322" s="226" t="s">
        <v>655</v>
      </c>
      <c r="D322" s="226" t="s">
        <v>656</v>
      </c>
      <c r="E322" s="226" t="s">
        <v>657</v>
      </c>
      <c r="F322" s="270">
        <v>30495.87</v>
      </c>
      <c r="G322" s="270">
        <v>0</v>
      </c>
      <c r="H322" s="226">
        <v>0</v>
      </c>
      <c r="I322" s="226">
        <v>0</v>
      </c>
      <c r="J322" s="226">
        <v>0</v>
      </c>
      <c r="K322" s="226">
        <v>6404.13</v>
      </c>
      <c r="L322" s="226">
        <v>0</v>
      </c>
      <c r="M322" s="270">
        <v>0</v>
      </c>
      <c r="N322" s="270">
        <v>36900</v>
      </c>
    </row>
    <row r="323" spans="1:14">
      <c r="A323" s="276" t="s">
        <v>1123</v>
      </c>
      <c r="B323" s="277" t="s">
        <v>1125</v>
      </c>
      <c r="C323" s="226" t="s">
        <v>655</v>
      </c>
      <c r="D323" s="226" t="s">
        <v>656</v>
      </c>
      <c r="E323" s="226" t="s">
        <v>657</v>
      </c>
      <c r="F323" s="270">
        <v>9917.36</v>
      </c>
      <c r="G323" s="270">
        <v>0</v>
      </c>
      <c r="H323" s="226">
        <v>0</v>
      </c>
      <c r="I323" s="226">
        <v>0</v>
      </c>
      <c r="J323" s="226">
        <v>0</v>
      </c>
      <c r="K323" s="226">
        <v>2082.64</v>
      </c>
      <c r="L323" s="226">
        <v>0</v>
      </c>
      <c r="M323" s="270">
        <v>0</v>
      </c>
      <c r="N323" s="270">
        <v>12000</v>
      </c>
    </row>
    <row r="324" spans="1:14">
      <c r="A324" s="276" t="s">
        <v>1123</v>
      </c>
      <c r="B324" s="277" t="s">
        <v>1126</v>
      </c>
      <c r="C324" s="226" t="s">
        <v>655</v>
      </c>
      <c r="D324" s="226" t="s">
        <v>656</v>
      </c>
      <c r="E324" s="226" t="s">
        <v>657</v>
      </c>
      <c r="F324" s="270">
        <v>18181.82</v>
      </c>
      <c r="G324" s="270">
        <v>0</v>
      </c>
      <c r="H324" s="226">
        <v>0</v>
      </c>
      <c r="I324" s="226">
        <v>0</v>
      </c>
      <c r="J324" s="226">
        <v>0</v>
      </c>
      <c r="K324" s="226">
        <v>3818.18</v>
      </c>
      <c r="L324" s="226">
        <v>0</v>
      </c>
      <c r="M324" s="270">
        <v>0</v>
      </c>
      <c r="N324" s="270">
        <v>22000</v>
      </c>
    </row>
    <row r="325" spans="1:14">
      <c r="A325" s="276" t="s">
        <v>1123</v>
      </c>
      <c r="B325" s="277" t="s">
        <v>1127</v>
      </c>
      <c r="C325" s="226" t="s">
        <v>655</v>
      </c>
      <c r="D325" s="226" t="s">
        <v>656</v>
      </c>
      <c r="E325" s="226" t="s">
        <v>657</v>
      </c>
      <c r="F325" s="270">
        <v>29338.84</v>
      </c>
      <c r="G325" s="270">
        <v>0</v>
      </c>
      <c r="H325" s="226">
        <v>0</v>
      </c>
      <c r="I325" s="226">
        <v>0</v>
      </c>
      <c r="J325" s="226">
        <v>0</v>
      </c>
      <c r="K325" s="226">
        <v>6161.16</v>
      </c>
      <c r="L325" s="226">
        <v>0</v>
      </c>
      <c r="M325" s="270">
        <v>0</v>
      </c>
      <c r="N325" s="270">
        <v>35500</v>
      </c>
    </row>
    <row r="326" spans="1:14">
      <c r="A326" s="276" t="s">
        <v>1123</v>
      </c>
      <c r="B326" s="277" t="s">
        <v>1128</v>
      </c>
      <c r="C326" s="226" t="s">
        <v>655</v>
      </c>
      <c r="D326" s="226" t="s">
        <v>656</v>
      </c>
      <c r="E326" s="226" t="s">
        <v>657</v>
      </c>
      <c r="F326" s="270">
        <v>14669.42</v>
      </c>
      <c r="G326" s="270">
        <v>0</v>
      </c>
      <c r="H326" s="226">
        <v>0</v>
      </c>
      <c r="I326" s="226">
        <v>0</v>
      </c>
      <c r="J326" s="226">
        <v>0</v>
      </c>
      <c r="K326" s="226">
        <v>3080.58</v>
      </c>
      <c r="L326" s="226">
        <v>0</v>
      </c>
      <c r="M326" s="270">
        <v>0</v>
      </c>
      <c r="N326" s="270">
        <v>17750</v>
      </c>
    </row>
    <row r="327" spans="1:14">
      <c r="A327" s="276" t="s">
        <v>1123</v>
      </c>
      <c r="B327" s="277" t="s">
        <v>1129</v>
      </c>
      <c r="C327" s="226" t="s">
        <v>655</v>
      </c>
      <c r="D327" s="226" t="s">
        <v>656</v>
      </c>
      <c r="E327" s="226" t="s">
        <v>657</v>
      </c>
      <c r="F327" s="270">
        <v>21487.599999999999</v>
      </c>
      <c r="G327" s="270">
        <v>0</v>
      </c>
      <c r="H327" s="226">
        <v>0</v>
      </c>
      <c r="I327" s="226">
        <v>0</v>
      </c>
      <c r="J327" s="226">
        <v>0</v>
      </c>
      <c r="K327" s="226">
        <v>4512.4000000000005</v>
      </c>
      <c r="L327" s="226">
        <v>0</v>
      </c>
      <c r="M327" s="270">
        <v>0</v>
      </c>
      <c r="N327" s="270">
        <v>26000</v>
      </c>
    </row>
    <row r="328" spans="1:14">
      <c r="A328" s="276" t="s">
        <v>1123</v>
      </c>
      <c r="B328" s="277" t="s">
        <v>1130</v>
      </c>
      <c r="C328" s="226" t="s">
        <v>655</v>
      </c>
      <c r="D328" s="226" t="s">
        <v>656</v>
      </c>
      <c r="E328" s="226" t="s">
        <v>657</v>
      </c>
      <c r="F328" s="270">
        <v>10743.8</v>
      </c>
      <c r="G328" s="270">
        <v>0</v>
      </c>
      <c r="H328" s="226">
        <v>0</v>
      </c>
      <c r="I328" s="226">
        <v>0</v>
      </c>
      <c r="J328" s="226">
        <v>0</v>
      </c>
      <c r="K328" s="226">
        <v>2256.2000000000003</v>
      </c>
      <c r="L328" s="226">
        <v>0</v>
      </c>
      <c r="M328" s="270">
        <v>0</v>
      </c>
      <c r="N328" s="270">
        <v>13000</v>
      </c>
    </row>
    <row r="329" spans="1:14">
      <c r="A329" s="276" t="s">
        <v>1123</v>
      </c>
      <c r="B329" s="277" t="s">
        <v>1131</v>
      </c>
      <c r="C329" s="226" t="s">
        <v>655</v>
      </c>
      <c r="D329" s="226" t="s">
        <v>656</v>
      </c>
      <c r="E329" s="226" t="s">
        <v>657</v>
      </c>
      <c r="F329" s="270">
        <v>14876.03</v>
      </c>
      <c r="G329" s="270">
        <v>0</v>
      </c>
      <c r="H329" s="226">
        <v>0</v>
      </c>
      <c r="I329" s="226">
        <v>0</v>
      </c>
      <c r="J329" s="226">
        <v>0</v>
      </c>
      <c r="K329" s="226">
        <v>3123.97</v>
      </c>
      <c r="L329" s="226">
        <v>0</v>
      </c>
      <c r="M329" s="270">
        <v>0</v>
      </c>
      <c r="N329" s="270">
        <v>18000</v>
      </c>
    </row>
    <row r="330" spans="1:14">
      <c r="A330" s="276" t="s">
        <v>1123</v>
      </c>
      <c r="B330" s="277" t="s">
        <v>1132</v>
      </c>
      <c r="C330" s="226" t="s">
        <v>655</v>
      </c>
      <c r="D330" s="226" t="s">
        <v>656</v>
      </c>
      <c r="E330" s="226" t="s">
        <v>657</v>
      </c>
      <c r="F330" s="270">
        <v>23801.65</v>
      </c>
      <c r="G330" s="270">
        <v>0</v>
      </c>
      <c r="H330" s="226">
        <v>0</v>
      </c>
      <c r="I330" s="226">
        <v>0</v>
      </c>
      <c r="J330" s="226">
        <v>0</v>
      </c>
      <c r="K330" s="226">
        <v>4998.3500000000004</v>
      </c>
      <c r="L330" s="226">
        <v>0</v>
      </c>
      <c r="M330" s="270">
        <v>0</v>
      </c>
      <c r="N330" s="270">
        <v>28800</v>
      </c>
    </row>
    <row r="331" spans="1:14">
      <c r="A331" s="276" t="s">
        <v>1123</v>
      </c>
      <c r="B331" s="277" t="s">
        <v>1133</v>
      </c>
      <c r="C331" s="226" t="s">
        <v>655</v>
      </c>
      <c r="D331" s="226" t="s">
        <v>656</v>
      </c>
      <c r="E331" s="226" t="s">
        <v>657</v>
      </c>
      <c r="F331" s="270">
        <v>23966.94</v>
      </c>
      <c r="G331" s="270">
        <v>0</v>
      </c>
      <c r="H331" s="226">
        <v>0</v>
      </c>
      <c r="I331" s="226">
        <v>0</v>
      </c>
      <c r="J331" s="226">
        <v>0</v>
      </c>
      <c r="K331" s="226">
        <v>5033.0600000000004</v>
      </c>
      <c r="L331" s="226">
        <v>0</v>
      </c>
      <c r="M331" s="270">
        <v>0</v>
      </c>
      <c r="N331" s="270">
        <v>29000</v>
      </c>
    </row>
    <row r="332" spans="1:14">
      <c r="A332" s="276" t="s">
        <v>1123</v>
      </c>
      <c r="B332" s="277" t="s">
        <v>1134</v>
      </c>
      <c r="C332" s="226" t="s">
        <v>655</v>
      </c>
      <c r="D332" s="226" t="s">
        <v>656</v>
      </c>
      <c r="E332" s="226" t="s">
        <v>657</v>
      </c>
      <c r="F332" s="270">
        <v>23471.07</v>
      </c>
      <c r="G332" s="270">
        <v>0</v>
      </c>
      <c r="H332" s="226">
        <v>0</v>
      </c>
      <c r="I332" s="226">
        <v>0</v>
      </c>
      <c r="J332" s="226">
        <v>0</v>
      </c>
      <c r="K332" s="226">
        <v>4928.93</v>
      </c>
      <c r="L332" s="226">
        <v>0</v>
      </c>
      <c r="M332" s="270">
        <v>0</v>
      </c>
      <c r="N332" s="270">
        <v>28400</v>
      </c>
    </row>
    <row r="333" spans="1:14">
      <c r="A333" s="276" t="s">
        <v>1141</v>
      </c>
      <c r="B333" s="277" t="s">
        <v>1142</v>
      </c>
      <c r="C333" s="226" t="s">
        <v>655</v>
      </c>
      <c r="D333" s="226" t="s">
        <v>656</v>
      </c>
      <c r="E333" s="226" t="s">
        <v>657</v>
      </c>
      <c r="F333" s="270">
        <v>31239.67</v>
      </c>
      <c r="G333" s="270">
        <v>0</v>
      </c>
      <c r="H333" s="226">
        <v>0</v>
      </c>
      <c r="I333" s="226">
        <v>0</v>
      </c>
      <c r="J333" s="226">
        <v>0</v>
      </c>
      <c r="K333" s="226">
        <v>6560.33</v>
      </c>
      <c r="L333" s="226">
        <v>0</v>
      </c>
      <c r="M333" s="270">
        <v>0</v>
      </c>
      <c r="N333" s="270">
        <v>37800</v>
      </c>
    </row>
    <row r="334" spans="1:14">
      <c r="A334" s="276" t="s">
        <v>1141</v>
      </c>
      <c r="B334" s="277" t="s">
        <v>1143</v>
      </c>
      <c r="C334" s="226" t="s">
        <v>655</v>
      </c>
      <c r="D334" s="226" t="s">
        <v>656</v>
      </c>
      <c r="E334" s="226" t="s">
        <v>657</v>
      </c>
      <c r="F334" s="270">
        <v>7438.02</v>
      </c>
      <c r="G334" s="270">
        <v>0</v>
      </c>
      <c r="H334" s="226">
        <v>0</v>
      </c>
      <c r="I334" s="226">
        <v>0</v>
      </c>
      <c r="J334" s="226">
        <v>0</v>
      </c>
      <c r="K334" s="226">
        <v>1561.98</v>
      </c>
      <c r="L334" s="226">
        <v>0</v>
      </c>
      <c r="M334" s="270">
        <v>0</v>
      </c>
      <c r="N334" s="270">
        <v>9000</v>
      </c>
    </row>
    <row r="335" spans="1:14">
      <c r="A335" s="276" t="s">
        <v>1141</v>
      </c>
      <c r="B335" s="277" t="s">
        <v>1144</v>
      </c>
      <c r="C335" s="226" t="s">
        <v>655</v>
      </c>
      <c r="D335" s="226" t="s">
        <v>656</v>
      </c>
      <c r="E335" s="226" t="s">
        <v>657</v>
      </c>
      <c r="F335" s="270">
        <v>14669.42</v>
      </c>
      <c r="G335" s="270">
        <v>0</v>
      </c>
      <c r="H335" s="226">
        <v>0</v>
      </c>
      <c r="I335" s="226">
        <v>0</v>
      </c>
      <c r="J335" s="226">
        <v>0</v>
      </c>
      <c r="K335" s="226">
        <v>3080.58</v>
      </c>
      <c r="L335" s="226">
        <v>0</v>
      </c>
      <c r="M335" s="270">
        <v>0</v>
      </c>
      <c r="N335" s="270">
        <v>17750</v>
      </c>
    </row>
    <row r="336" spans="1:14">
      <c r="A336" s="276" t="s">
        <v>1141</v>
      </c>
      <c r="B336" s="277" t="s">
        <v>1145</v>
      </c>
      <c r="C336" s="226" t="s">
        <v>655</v>
      </c>
      <c r="D336" s="226" t="s">
        <v>656</v>
      </c>
      <c r="E336" s="226" t="s">
        <v>657</v>
      </c>
      <c r="F336" s="270">
        <v>2479.34</v>
      </c>
      <c r="G336" s="270">
        <v>0</v>
      </c>
      <c r="H336" s="226">
        <v>0</v>
      </c>
      <c r="I336" s="226">
        <v>0</v>
      </c>
      <c r="J336" s="226">
        <v>0</v>
      </c>
      <c r="K336" s="226">
        <v>520.66</v>
      </c>
      <c r="L336" s="226">
        <v>0</v>
      </c>
      <c r="M336" s="270">
        <v>0</v>
      </c>
      <c r="N336" s="270">
        <v>3000</v>
      </c>
    </row>
    <row r="337" spans="1:14">
      <c r="A337" s="276" t="s">
        <v>1141</v>
      </c>
      <c r="B337" s="277" t="s">
        <v>1146</v>
      </c>
      <c r="C337" s="226" t="s">
        <v>655</v>
      </c>
      <c r="D337" s="226" t="s">
        <v>656</v>
      </c>
      <c r="E337" s="226" t="s">
        <v>657</v>
      </c>
      <c r="F337" s="270">
        <v>26446.28</v>
      </c>
      <c r="G337" s="270">
        <v>0</v>
      </c>
      <c r="H337" s="226">
        <v>0</v>
      </c>
      <c r="I337" s="226">
        <v>0</v>
      </c>
      <c r="J337" s="226">
        <v>0</v>
      </c>
      <c r="K337" s="226">
        <v>5553.72</v>
      </c>
      <c r="L337" s="226">
        <v>0</v>
      </c>
      <c r="M337" s="270">
        <v>0</v>
      </c>
      <c r="N337" s="270">
        <v>32000</v>
      </c>
    </row>
    <row r="338" spans="1:14">
      <c r="A338" s="276" t="s">
        <v>1141</v>
      </c>
      <c r="B338" s="277" t="s">
        <v>1147</v>
      </c>
      <c r="C338" s="226" t="s">
        <v>655</v>
      </c>
      <c r="D338" s="226" t="s">
        <v>656</v>
      </c>
      <c r="E338" s="226" t="s">
        <v>657</v>
      </c>
      <c r="F338" s="270">
        <v>10743.8</v>
      </c>
      <c r="G338" s="270">
        <v>0</v>
      </c>
      <c r="H338" s="226">
        <v>0</v>
      </c>
      <c r="I338" s="226">
        <v>0</v>
      </c>
      <c r="J338" s="226">
        <v>0</v>
      </c>
      <c r="K338" s="226">
        <v>2256.2000000000003</v>
      </c>
      <c r="L338" s="226">
        <v>0</v>
      </c>
      <c r="M338" s="270">
        <v>0</v>
      </c>
      <c r="N338" s="270">
        <v>13000</v>
      </c>
    </row>
    <row r="339" spans="1:14">
      <c r="A339" s="276" t="s">
        <v>1141</v>
      </c>
      <c r="B339" s="277" t="s">
        <v>1148</v>
      </c>
      <c r="C339" s="226" t="s">
        <v>655</v>
      </c>
      <c r="D339" s="226" t="s">
        <v>656</v>
      </c>
      <c r="E339" s="226" t="s">
        <v>657</v>
      </c>
      <c r="F339" s="270">
        <v>20661.16</v>
      </c>
      <c r="G339" s="270">
        <v>0</v>
      </c>
      <c r="H339" s="226">
        <v>0</v>
      </c>
      <c r="I339" s="226">
        <v>0</v>
      </c>
      <c r="J339" s="226">
        <v>0</v>
      </c>
      <c r="K339" s="226">
        <v>4338.84</v>
      </c>
      <c r="L339" s="226">
        <v>0</v>
      </c>
      <c r="M339" s="270">
        <v>0</v>
      </c>
      <c r="N339" s="270">
        <v>25000</v>
      </c>
    </row>
    <row r="340" spans="1:14">
      <c r="A340" s="276" t="s">
        <v>1141</v>
      </c>
      <c r="B340" s="277" t="s">
        <v>1149</v>
      </c>
      <c r="C340" s="226" t="s">
        <v>655</v>
      </c>
      <c r="D340" s="226" t="s">
        <v>656</v>
      </c>
      <c r="E340" s="226" t="s">
        <v>657</v>
      </c>
      <c r="F340" s="270">
        <v>4132.2300000000005</v>
      </c>
      <c r="G340" s="270">
        <v>0</v>
      </c>
      <c r="H340" s="226">
        <v>0</v>
      </c>
      <c r="I340" s="226">
        <v>0</v>
      </c>
      <c r="J340" s="226">
        <v>0</v>
      </c>
      <c r="K340" s="226">
        <v>867.77</v>
      </c>
      <c r="L340" s="226">
        <v>0</v>
      </c>
      <c r="M340" s="270">
        <v>0</v>
      </c>
      <c r="N340" s="270">
        <v>5000</v>
      </c>
    </row>
    <row r="341" spans="1:14">
      <c r="A341" s="276" t="s">
        <v>1141</v>
      </c>
      <c r="B341" s="277" t="s">
        <v>1150</v>
      </c>
      <c r="C341" s="226" t="s">
        <v>655</v>
      </c>
      <c r="D341" s="226" t="s">
        <v>656</v>
      </c>
      <c r="E341" s="226" t="s">
        <v>657</v>
      </c>
      <c r="F341" s="270">
        <v>7438.02</v>
      </c>
      <c r="G341" s="270">
        <v>0</v>
      </c>
      <c r="H341" s="226">
        <v>0</v>
      </c>
      <c r="I341" s="226">
        <v>0</v>
      </c>
      <c r="J341" s="226">
        <v>0</v>
      </c>
      <c r="K341" s="226">
        <v>1561.98</v>
      </c>
      <c r="L341" s="226">
        <v>0</v>
      </c>
      <c r="M341" s="270">
        <v>0</v>
      </c>
      <c r="N341" s="270">
        <v>9000</v>
      </c>
    </row>
    <row r="342" spans="1:14">
      <c r="A342" s="276" t="s">
        <v>1141</v>
      </c>
      <c r="B342" s="277" t="s">
        <v>1151</v>
      </c>
      <c r="C342" s="226" t="s">
        <v>1152</v>
      </c>
      <c r="D342" s="226" t="s">
        <v>656</v>
      </c>
      <c r="E342" s="226">
        <v>22548191</v>
      </c>
      <c r="F342" s="270">
        <v>21404.959999999999</v>
      </c>
      <c r="G342" s="270">
        <v>0</v>
      </c>
      <c r="H342" s="226">
        <v>0</v>
      </c>
      <c r="I342" s="226">
        <v>0</v>
      </c>
      <c r="J342" s="226">
        <v>0</v>
      </c>
      <c r="K342" s="226">
        <v>4495.04</v>
      </c>
      <c r="L342" s="226">
        <v>0</v>
      </c>
      <c r="M342" s="270">
        <v>0</v>
      </c>
      <c r="N342" s="270">
        <v>25900</v>
      </c>
    </row>
    <row r="343" spans="1:14">
      <c r="A343" s="276" t="s">
        <v>1141</v>
      </c>
      <c r="B343" s="277" t="s">
        <v>1153</v>
      </c>
      <c r="C343" s="226" t="s">
        <v>655</v>
      </c>
      <c r="D343" s="226" t="s">
        <v>656</v>
      </c>
      <c r="E343" s="226" t="s">
        <v>657</v>
      </c>
      <c r="F343" s="270">
        <v>29752.07</v>
      </c>
      <c r="G343" s="270">
        <v>0</v>
      </c>
      <c r="H343" s="226">
        <v>0</v>
      </c>
      <c r="I343" s="226">
        <v>0</v>
      </c>
      <c r="J343" s="226">
        <v>0</v>
      </c>
      <c r="K343" s="226">
        <v>6247.93</v>
      </c>
      <c r="L343" s="226">
        <v>0</v>
      </c>
      <c r="M343" s="270">
        <v>0</v>
      </c>
      <c r="N343" s="270">
        <v>36000</v>
      </c>
    </row>
    <row r="344" spans="1:14">
      <c r="A344" s="276" t="s">
        <v>1141</v>
      </c>
      <c r="B344" s="277" t="s">
        <v>1154</v>
      </c>
      <c r="C344" s="226" t="s">
        <v>655</v>
      </c>
      <c r="D344" s="226" t="s">
        <v>656</v>
      </c>
      <c r="E344" s="226" t="s">
        <v>657</v>
      </c>
      <c r="F344" s="270">
        <v>21487.599999999999</v>
      </c>
      <c r="G344" s="270">
        <v>0</v>
      </c>
      <c r="H344" s="226">
        <v>0</v>
      </c>
      <c r="I344" s="226">
        <v>0</v>
      </c>
      <c r="J344" s="226">
        <v>0</v>
      </c>
      <c r="K344" s="226">
        <v>4512.4000000000005</v>
      </c>
      <c r="L344" s="226">
        <v>0</v>
      </c>
      <c r="M344" s="270">
        <v>0</v>
      </c>
      <c r="N344" s="270">
        <v>26000</v>
      </c>
    </row>
    <row r="345" spans="1:14">
      <c r="A345" s="276" t="s">
        <v>1141</v>
      </c>
      <c r="B345" s="277" t="s">
        <v>1155</v>
      </c>
      <c r="C345" s="226" t="s">
        <v>655</v>
      </c>
      <c r="D345" s="226" t="s">
        <v>656</v>
      </c>
      <c r="E345" s="226" t="s">
        <v>657</v>
      </c>
      <c r="F345" s="270">
        <v>5785.12</v>
      </c>
      <c r="G345" s="270">
        <v>0</v>
      </c>
      <c r="H345" s="226">
        <v>0</v>
      </c>
      <c r="I345" s="226">
        <v>0</v>
      </c>
      <c r="J345" s="226">
        <v>0</v>
      </c>
      <c r="K345" s="226">
        <v>1214.8800000000001</v>
      </c>
      <c r="L345" s="226">
        <v>0</v>
      </c>
      <c r="M345" s="270">
        <v>0</v>
      </c>
      <c r="N345" s="270">
        <v>7000</v>
      </c>
    </row>
    <row r="346" spans="1:14">
      <c r="A346" s="276" t="s">
        <v>1141</v>
      </c>
      <c r="B346" s="277" t="s">
        <v>1156</v>
      </c>
      <c r="C346" s="226" t="s">
        <v>655</v>
      </c>
      <c r="D346" s="226" t="s">
        <v>656</v>
      </c>
      <c r="E346" s="226" t="s">
        <v>657</v>
      </c>
      <c r="F346" s="270">
        <v>3966.94</v>
      </c>
      <c r="G346" s="270">
        <v>0</v>
      </c>
      <c r="H346" s="226">
        <v>0</v>
      </c>
      <c r="I346" s="226">
        <v>0</v>
      </c>
      <c r="J346" s="226">
        <v>0</v>
      </c>
      <c r="K346" s="226">
        <v>833.06</v>
      </c>
      <c r="L346" s="226">
        <v>0</v>
      </c>
      <c r="M346" s="270">
        <v>0</v>
      </c>
      <c r="N346" s="270">
        <v>4800</v>
      </c>
    </row>
    <row r="347" spans="1:14">
      <c r="A347" s="276" t="s">
        <v>1141</v>
      </c>
      <c r="B347" s="277" t="s">
        <v>1157</v>
      </c>
      <c r="C347" s="226" t="s">
        <v>655</v>
      </c>
      <c r="D347" s="226" t="s">
        <v>656</v>
      </c>
      <c r="E347" s="226" t="s">
        <v>657</v>
      </c>
      <c r="F347" s="270">
        <v>21487.599999999999</v>
      </c>
      <c r="G347" s="270">
        <v>0</v>
      </c>
      <c r="H347" s="226">
        <v>0</v>
      </c>
      <c r="I347" s="226">
        <v>0</v>
      </c>
      <c r="J347" s="226">
        <v>0</v>
      </c>
      <c r="K347" s="226">
        <v>4512.4000000000005</v>
      </c>
      <c r="L347" s="226">
        <v>0</v>
      </c>
      <c r="M347" s="270">
        <v>0</v>
      </c>
      <c r="N347" s="270">
        <v>26000</v>
      </c>
    </row>
    <row r="348" spans="1:14">
      <c r="A348" s="276" t="s">
        <v>1141</v>
      </c>
      <c r="B348" s="277" t="s">
        <v>1158</v>
      </c>
      <c r="C348" s="226" t="s">
        <v>655</v>
      </c>
      <c r="D348" s="226" t="s">
        <v>656</v>
      </c>
      <c r="E348" s="226" t="s">
        <v>657</v>
      </c>
      <c r="F348" s="270">
        <v>10330.58</v>
      </c>
      <c r="G348" s="270">
        <v>0</v>
      </c>
      <c r="H348" s="226">
        <v>0</v>
      </c>
      <c r="I348" s="226">
        <v>0</v>
      </c>
      <c r="J348" s="226">
        <v>0</v>
      </c>
      <c r="K348" s="226">
        <v>2169.42</v>
      </c>
      <c r="L348" s="226">
        <v>0</v>
      </c>
      <c r="M348" s="270">
        <v>0</v>
      </c>
      <c r="N348" s="270">
        <v>12500</v>
      </c>
    </row>
    <row r="349" spans="1:14">
      <c r="A349" s="276" t="s">
        <v>1141</v>
      </c>
      <c r="B349" s="277" t="s">
        <v>1159</v>
      </c>
      <c r="C349" s="226" t="s">
        <v>655</v>
      </c>
      <c r="D349" s="226" t="s">
        <v>656</v>
      </c>
      <c r="E349" s="226" t="s">
        <v>657</v>
      </c>
      <c r="F349" s="270">
        <v>14669.42</v>
      </c>
      <c r="G349" s="270">
        <v>0</v>
      </c>
      <c r="H349" s="226">
        <v>0</v>
      </c>
      <c r="I349" s="226">
        <v>0</v>
      </c>
      <c r="J349" s="226">
        <v>0</v>
      </c>
      <c r="K349" s="226">
        <v>3080.58</v>
      </c>
      <c r="L349" s="226">
        <v>0</v>
      </c>
      <c r="M349" s="270">
        <v>0</v>
      </c>
      <c r="N349" s="270">
        <v>17750</v>
      </c>
    </row>
    <row r="350" spans="1:14">
      <c r="A350" s="276" t="s">
        <v>653</v>
      </c>
      <c r="B350" s="277" t="s">
        <v>675</v>
      </c>
      <c r="C350" s="226" t="s">
        <v>655</v>
      </c>
      <c r="D350" s="226" t="s">
        <v>656</v>
      </c>
      <c r="E350" s="226" t="s">
        <v>657</v>
      </c>
      <c r="F350" s="270">
        <v>15123.97</v>
      </c>
      <c r="G350" s="270">
        <v>0</v>
      </c>
      <c r="H350" s="226">
        <v>0</v>
      </c>
      <c r="I350" s="226">
        <v>0</v>
      </c>
      <c r="J350" s="226">
        <v>0</v>
      </c>
      <c r="K350" s="226">
        <v>3176.03</v>
      </c>
      <c r="L350" s="226">
        <v>0</v>
      </c>
      <c r="M350" s="270">
        <v>0</v>
      </c>
      <c r="N350" s="270">
        <v>18300</v>
      </c>
    </row>
    <row r="351" spans="1:14">
      <c r="A351" s="276" t="s">
        <v>676</v>
      </c>
      <c r="B351" s="277" t="s">
        <v>695</v>
      </c>
      <c r="C351" s="226" t="s">
        <v>696</v>
      </c>
      <c r="D351" s="226" t="s">
        <v>656</v>
      </c>
      <c r="E351" s="226">
        <v>17198648</v>
      </c>
      <c r="F351" s="270">
        <v>16942.150000000001</v>
      </c>
      <c r="G351" s="270">
        <v>0</v>
      </c>
      <c r="H351" s="226">
        <v>0</v>
      </c>
      <c r="I351" s="226">
        <v>0</v>
      </c>
      <c r="J351" s="226">
        <v>0</v>
      </c>
      <c r="K351" s="226">
        <v>3557.85</v>
      </c>
      <c r="L351" s="226">
        <v>0</v>
      </c>
      <c r="M351" s="270">
        <v>0</v>
      </c>
      <c r="N351" s="270">
        <v>20500</v>
      </c>
    </row>
    <row r="352" spans="1:14">
      <c r="A352" s="276" t="s">
        <v>676</v>
      </c>
      <c r="B352" s="277" t="s">
        <v>697</v>
      </c>
      <c r="C352" s="226" t="s">
        <v>698</v>
      </c>
      <c r="D352" s="226" t="s">
        <v>656</v>
      </c>
      <c r="E352" s="226">
        <v>17855620</v>
      </c>
      <c r="F352" s="270">
        <v>15702.48</v>
      </c>
      <c r="G352" s="270">
        <v>0</v>
      </c>
      <c r="H352" s="226">
        <v>0</v>
      </c>
      <c r="I352" s="226">
        <v>0</v>
      </c>
      <c r="J352" s="226">
        <v>0</v>
      </c>
      <c r="K352" s="226">
        <v>3297.52</v>
      </c>
      <c r="L352" s="226">
        <v>0</v>
      </c>
      <c r="M352" s="270">
        <v>0</v>
      </c>
      <c r="N352" s="270">
        <v>19000</v>
      </c>
    </row>
    <row r="353" spans="1:14">
      <c r="A353" s="276" t="s">
        <v>676</v>
      </c>
      <c r="B353" s="277" t="s">
        <v>699</v>
      </c>
      <c r="C353" s="226" t="s">
        <v>700</v>
      </c>
      <c r="D353" s="226" t="s">
        <v>656</v>
      </c>
      <c r="E353" s="226">
        <v>56980</v>
      </c>
      <c r="F353" s="270">
        <v>6611.57</v>
      </c>
      <c r="G353" s="270">
        <v>0</v>
      </c>
      <c r="H353" s="226">
        <v>0</v>
      </c>
      <c r="I353" s="226">
        <v>0</v>
      </c>
      <c r="J353" s="226">
        <v>0</v>
      </c>
      <c r="K353" s="226">
        <v>1388.43</v>
      </c>
      <c r="L353" s="226">
        <v>0</v>
      </c>
      <c r="M353" s="270">
        <v>0</v>
      </c>
      <c r="N353" s="270">
        <v>8000</v>
      </c>
    </row>
    <row r="354" spans="1:14">
      <c r="A354" s="276" t="s">
        <v>676</v>
      </c>
      <c r="B354" s="277" t="s">
        <v>701</v>
      </c>
      <c r="C354" s="226" t="s">
        <v>702</v>
      </c>
      <c r="D354" s="226" t="s">
        <v>656</v>
      </c>
      <c r="E354" s="226">
        <v>25795206</v>
      </c>
      <c r="F354" s="270">
        <v>22314.05</v>
      </c>
      <c r="G354" s="270">
        <v>0</v>
      </c>
      <c r="H354" s="226">
        <v>0</v>
      </c>
      <c r="I354" s="226">
        <v>0</v>
      </c>
      <c r="J354" s="226">
        <v>0</v>
      </c>
      <c r="K354" s="226">
        <v>4685.95</v>
      </c>
      <c r="L354" s="226">
        <v>0</v>
      </c>
      <c r="M354" s="270">
        <v>0</v>
      </c>
      <c r="N354" s="270">
        <v>27000</v>
      </c>
    </row>
    <row r="355" spans="1:14">
      <c r="A355" s="276" t="s">
        <v>703</v>
      </c>
      <c r="B355" s="277" t="s">
        <v>722</v>
      </c>
      <c r="C355" s="226" t="s">
        <v>723</v>
      </c>
      <c r="D355" s="226" t="s">
        <v>656</v>
      </c>
      <c r="E355" s="226">
        <v>37904748</v>
      </c>
      <c r="F355" s="270">
        <v>19834.71</v>
      </c>
      <c r="G355" s="270">
        <v>0</v>
      </c>
      <c r="H355" s="226">
        <v>0</v>
      </c>
      <c r="I355" s="226">
        <v>0</v>
      </c>
      <c r="J355" s="226">
        <v>0</v>
      </c>
      <c r="K355" s="226">
        <v>4165.29</v>
      </c>
      <c r="L355" s="226">
        <v>0</v>
      </c>
      <c r="M355" s="270">
        <v>0</v>
      </c>
      <c r="N355" s="270">
        <v>24000</v>
      </c>
    </row>
    <row r="356" spans="1:14">
      <c r="A356" s="276" t="s">
        <v>703</v>
      </c>
      <c r="B356" s="277" t="s">
        <v>724</v>
      </c>
      <c r="C356" s="226" t="s">
        <v>725</v>
      </c>
      <c r="D356" s="226" t="s">
        <v>656</v>
      </c>
      <c r="E356" s="226">
        <v>11172213</v>
      </c>
      <c r="F356" s="270">
        <v>19834.71</v>
      </c>
      <c r="G356" s="270">
        <v>0</v>
      </c>
      <c r="H356" s="226">
        <v>0</v>
      </c>
      <c r="I356" s="226">
        <v>0</v>
      </c>
      <c r="J356" s="226">
        <v>0</v>
      </c>
      <c r="K356" s="226">
        <v>4165.29</v>
      </c>
      <c r="L356" s="226">
        <v>0</v>
      </c>
      <c r="M356" s="270">
        <v>0</v>
      </c>
      <c r="N356" s="270">
        <v>24000</v>
      </c>
    </row>
    <row r="357" spans="1:14">
      <c r="A357" s="276" t="s">
        <v>703</v>
      </c>
      <c r="B357" s="277" t="s">
        <v>726</v>
      </c>
      <c r="C357" s="226" t="s">
        <v>727</v>
      </c>
      <c r="D357" s="226" t="s">
        <v>656</v>
      </c>
      <c r="E357" s="226">
        <v>2719694</v>
      </c>
      <c r="F357" s="270">
        <v>5826.45</v>
      </c>
      <c r="G357" s="270">
        <v>0</v>
      </c>
      <c r="H357" s="226">
        <v>0</v>
      </c>
      <c r="I357" s="226">
        <v>0</v>
      </c>
      <c r="J357" s="226">
        <v>0</v>
      </c>
      <c r="K357" s="226">
        <v>1223.55</v>
      </c>
      <c r="L357" s="226">
        <v>0</v>
      </c>
      <c r="M357" s="270">
        <v>0</v>
      </c>
      <c r="N357" s="270">
        <v>7050</v>
      </c>
    </row>
    <row r="358" spans="1:14">
      <c r="A358" s="276" t="s">
        <v>703</v>
      </c>
      <c r="B358" s="277" t="s">
        <v>728</v>
      </c>
      <c r="C358" s="226" t="s">
        <v>729</v>
      </c>
      <c r="D358" s="226" t="s">
        <v>730</v>
      </c>
      <c r="E358" s="226">
        <v>30658137642</v>
      </c>
      <c r="F358" s="270">
        <v>440517.91</v>
      </c>
      <c r="G358" s="270">
        <v>0</v>
      </c>
      <c r="H358" s="226">
        <v>0</v>
      </c>
      <c r="I358" s="226">
        <v>0</v>
      </c>
      <c r="J358" s="226">
        <v>0</v>
      </c>
      <c r="K358" s="226">
        <v>92508.76</v>
      </c>
      <c r="L358" s="226">
        <v>0</v>
      </c>
      <c r="M358" s="270">
        <v>0</v>
      </c>
      <c r="N358" s="270">
        <v>533026.67000000004</v>
      </c>
    </row>
    <row r="359" spans="1:14">
      <c r="A359" s="276" t="s">
        <v>703</v>
      </c>
      <c r="B359" s="277" t="s">
        <v>731</v>
      </c>
      <c r="C359" s="226" t="s">
        <v>732</v>
      </c>
      <c r="D359" s="226" t="s">
        <v>730</v>
      </c>
      <c r="E359" s="226">
        <v>30571766287</v>
      </c>
      <c r="F359" s="270">
        <v>141752.07</v>
      </c>
      <c r="G359" s="270">
        <v>0</v>
      </c>
      <c r="H359" s="226">
        <v>0</v>
      </c>
      <c r="I359" s="226">
        <v>0</v>
      </c>
      <c r="J359" s="226">
        <v>0</v>
      </c>
      <c r="K359" s="226">
        <v>29767.93</v>
      </c>
      <c r="L359" s="226">
        <v>0</v>
      </c>
      <c r="M359" s="270">
        <v>0</v>
      </c>
      <c r="N359" s="270">
        <v>171520</v>
      </c>
    </row>
    <row r="360" spans="1:14">
      <c r="A360" s="276" t="s">
        <v>703</v>
      </c>
      <c r="B360" s="277" t="s">
        <v>733</v>
      </c>
      <c r="C360" s="226" t="s">
        <v>729</v>
      </c>
      <c r="D360" s="226" t="s">
        <v>730</v>
      </c>
      <c r="E360" s="226">
        <v>30658137642</v>
      </c>
      <c r="F360" s="270">
        <v>66115.7</v>
      </c>
      <c r="G360" s="270">
        <v>0</v>
      </c>
      <c r="H360" s="226">
        <v>0</v>
      </c>
      <c r="I360" s="226">
        <v>0</v>
      </c>
      <c r="J360" s="226">
        <v>0</v>
      </c>
      <c r="K360" s="226">
        <v>13884.3</v>
      </c>
      <c r="L360" s="226">
        <v>0</v>
      </c>
      <c r="M360" s="270">
        <v>0</v>
      </c>
      <c r="N360" s="270">
        <v>80000</v>
      </c>
    </row>
    <row r="361" spans="1:14">
      <c r="A361" s="276" t="s">
        <v>703</v>
      </c>
      <c r="B361" s="277" t="s">
        <v>734</v>
      </c>
      <c r="C361" s="226" t="s">
        <v>735</v>
      </c>
      <c r="D361" s="226" t="s">
        <v>656</v>
      </c>
      <c r="E361" s="226" t="s">
        <v>657</v>
      </c>
      <c r="F361" s="270">
        <v>52066.12</v>
      </c>
      <c r="G361" s="270">
        <v>0</v>
      </c>
      <c r="H361" s="226">
        <v>0</v>
      </c>
      <c r="I361" s="226">
        <v>0</v>
      </c>
      <c r="J361" s="226">
        <v>0</v>
      </c>
      <c r="K361" s="226">
        <v>10933.88</v>
      </c>
      <c r="L361" s="226">
        <v>0</v>
      </c>
      <c r="M361" s="270">
        <v>0</v>
      </c>
      <c r="N361" s="270">
        <v>63000</v>
      </c>
    </row>
    <row r="362" spans="1:14">
      <c r="A362" s="276" t="s">
        <v>703</v>
      </c>
      <c r="B362" s="277" t="s">
        <v>736</v>
      </c>
      <c r="C362" s="226" t="s">
        <v>737</v>
      </c>
      <c r="D362" s="226" t="s">
        <v>656</v>
      </c>
      <c r="E362" s="226">
        <v>14547747</v>
      </c>
      <c r="F362" s="270">
        <v>14876.04</v>
      </c>
      <c r="G362" s="270">
        <v>0</v>
      </c>
      <c r="H362" s="226">
        <v>0</v>
      </c>
      <c r="I362" s="226">
        <v>0</v>
      </c>
      <c r="J362" s="226">
        <v>0</v>
      </c>
      <c r="K362" s="226">
        <v>3123.96</v>
      </c>
      <c r="L362" s="226">
        <v>0</v>
      </c>
      <c r="M362" s="270">
        <v>0</v>
      </c>
      <c r="N362" s="270">
        <v>18000</v>
      </c>
    </row>
    <row r="363" spans="1:14">
      <c r="A363" s="276" t="s">
        <v>703</v>
      </c>
      <c r="B363" s="277" t="s">
        <v>738</v>
      </c>
      <c r="C363" s="226" t="s">
        <v>739</v>
      </c>
      <c r="D363" s="226" t="s">
        <v>730</v>
      </c>
      <c r="E363" s="226">
        <v>30590354798</v>
      </c>
      <c r="F363" s="270">
        <v>1537751.43</v>
      </c>
      <c r="G363" s="270">
        <v>0</v>
      </c>
      <c r="H363" s="226">
        <v>0</v>
      </c>
      <c r="I363" s="226">
        <v>0</v>
      </c>
      <c r="J363" s="226">
        <v>0</v>
      </c>
      <c r="K363" s="226">
        <v>322927.78999999998</v>
      </c>
      <c r="L363" s="226">
        <v>0</v>
      </c>
      <c r="M363" s="270">
        <v>0</v>
      </c>
      <c r="N363" s="270">
        <v>1860679.22</v>
      </c>
    </row>
    <row r="364" spans="1:14">
      <c r="A364" s="276" t="s">
        <v>740</v>
      </c>
      <c r="B364" s="277" t="s">
        <v>763</v>
      </c>
      <c r="C364" s="226" t="s">
        <v>748</v>
      </c>
      <c r="D364" s="226" t="s">
        <v>656</v>
      </c>
      <c r="E364" s="226">
        <v>30298513</v>
      </c>
      <c r="F364" s="270">
        <v>33884.300000000003</v>
      </c>
      <c r="G364" s="270">
        <v>0</v>
      </c>
      <c r="H364" s="226">
        <v>0</v>
      </c>
      <c r="I364" s="226">
        <v>0</v>
      </c>
      <c r="J364" s="226">
        <v>0</v>
      </c>
      <c r="K364" s="226">
        <v>7115.7</v>
      </c>
      <c r="L364" s="226">
        <v>0</v>
      </c>
      <c r="M364" s="270">
        <v>0</v>
      </c>
      <c r="N364" s="270">
        <v>41000</v>
      </c>
    </row>
    <row r="365" spans="1:14">
      <c r="A365" s="276" t="s">
        <v>740</v>
      </c>
      <c r="B365" s="277" t="s">
        <v>764</v>
      </c>
      <c r="C365" s="226" t="s">
        <v>739</v>
      </c>
      <c r="D365" s="226" t="s">
        <v>730</v>
      </c>
      <c r="E365" s="226">
        <v>30590354798</v>
      </c>
      <c r="F365" s="270">
        <v>552892.56000000006</v>
      </c>
      <c r="G365" s="270">
        <v>0</v>
      </c>
      <c r="H365" s="226">
        <v>0</v>
      </c>
      <c r="I365" s="226">
        <v>0</v>
      </c>
      <c r="J365" s="226">
        <v>0</v>
      </c>
      <c r="K365" s="226">
        <v>116107.44</v>
      </c>
      <c r="L365" s="226">
        <v>0</v>
      </c>
      <c r="M365" s="270">
        <v>0</v>
      </c>
      <c r="N365" s="270">
        <v>669000</v>
      </c>
    </row>
    <row r="366" spans="1:14">
      <c r="A366" s="276" t="s">
        <v>740</v>
      </c>
      <c r="B366" s="277" t="s">
        <v>765</v>
      </c>
      <c r="C366" s="226" t="s">
        <v>739</v>
      </c>
      <c r="D366" s="226" t="s">
        <v>730</v>
      </c>
      <c r="E366" s="226">
        <v>30590354798</v>
      </c>
      <c r="F366" s="270">
        <v>850413.22</v>
      </c>
      <c r="G366" s="270">
        <v>0</v>
      </c>
      <c r="H366" s="226">
        <v>0</v>
      </c>
      <c r="I366" s="226">
        <v>0</v>
      </c>
      <c r="J366" s="226">
        <v>0</v>
      </c>
      <c r="K366" s="226">
        <v>178586.78</v>
      </c>
      <c r="L366" s="226">
        <v>0</v>
      </c>
      <c r="M366" s="270">
        <v>0</v>
      </c>
      <c r="N366" s="270">
        <v>1029000</v>
      </c>
    </row>
    <row r="367" spans="1:14">
      <c r="A367" s="276" t="s">
        <v>766</v>
      </c>
      <c r="B367" s="277" t="s">
        <v>779</v>
      </c>
      <c r="C367" s="226" t="s">
        <v>780</v>
      </c>
      <c r="D367" s="226" t="s">
        <v>656</v>
      </c>
      <c r="E367" s="226">
        <v>21363216</v>
      </c>
      <c r="F367" s="270">
        <v>16528.93</v>
      </c>
      <c r="G367" s="270">
        <v>0</v>
      </c>
      <c r="H367" s="226">
        <v>0</v>
      </c>
      <c r="I367" s="226">
        <v>0</v>
      </c>
      <c r="J367" s="226">
        <v>0</v>
      </c>
      <c r="K367" s="226">
        <v>3471.07</v>
      </c>
      <c r="L367" s="226">
        <v>0</v>
      </c>
      <c r="M367" s="270">
        <v>0</v>
      </c>
      <c r="N367" s="270">
        <v>20000</v>
      </c>
    </row>
    <row r="368" spans="1:14">
      <c r="A368" s="276" t="s">
        <v>766</v>
      </c>
      <c r="B368" s="277" t="s">
        <v>781</v>
      </c>
      <c r="C368" s="226" t="s">
        <v>782</v>
      </c>
      <c r="D368" s="226" t="s">
        <v>656</v>
      </c>
      <c r="E368" s="226">
        <v>17275405</v>
      </c>
      <c r="F368" s="270">
        <v>24380.16</v>
      </c>
      <c r="G368" s="270">
        <v>0</v>
      </c>
      <c r="H368" s="226">
        <v>0</v>
      </c>
      <c r="I368" s="226">
        <v>0</v>
      </c>
      <c r="J368" s="226">
        <v>0</v>
      </c>
      <c r="K368" s="226">
        <v>5119.84</v>
      </c>
      <c r="L368" s="226">
        <v>0</v>
      </c>
      <c r="M368" s="270">
        <v>0</v>
      </c>
      <c r="N368" s="270">
        <v>29500</v>
      </c>
    </row>
    <row r="369" spans="1:14">
      <c r="A369" s="276" t="s">
        <v>766</v>
      </c>
      <c r="B369" s="277" t="s">
        <v>783</v>
      </c>
      <c r="C369" s="226" t="s">
        <v>784</v>
      </c>
      <c r="D369" s="226" t="s">
        <v>656</v>
      </c>
      <c r="E369" s="226">
        <v>5607654</v>
      </c>
      <c r="F369" s="270">
        <v>19834.71</v>
      </c>
      <c r="G369" s="270">
        <v>0</v>
      </c>
      <c r="H369" s="226">
        <v>0</v>
      </c>
      <c r="I369" s="226">
        <v>0</v>
      </c>
      <c r="J369" s="226">
        <v>0</v>
      </c>
      <c r="K369" s="226">
        <v>4165.29</v>
      </c>
      <c r="L369" s="226">
        <v>0</v>
      </c>
      <c r="M369" s="270">
        <v>0</v>
      </c>
      <c r="N369" s="270">
        <v>24000</v>
      </c>
    </row>
    <row r="370" spans="1:14">
      <c r="A370" s="276" t="s">
        <v>766</v>
      </c>
      <c r="B370" s="277" t="s">
        <v>785</v>
      </c>
      <c r="C370" s="226" t="s">
        <v>786</v>
      </c>
      <c r="D370" s="226" t="s">
        <v>656</v>
      </c>
      <c r="E370" s="226">
        <v>21645724</v>
      </c>
      <c r="F370" s="270">
        <v>22314.05</v>
      </c>
      <c r="G370" s="270">
        <v>0</v>
      </c>
      <c r="H370" s="226">
        <v>0</v>
      </c>
      <c r="I370" s="226">
        <v>0</v>
      </c>
      <c r="J370" s="226">
        <v>0</v>
      </c>
      <c r="K370" s="226">
        <v>4685.95</v>
      </c>
      <c r="L370" s="226">
        <v>0</v>
      </c>
      <c r="M370" s="270">
        <v>0</v>
      </c>
      <c r="N370" s="270">
        <v>27000</v>
      </c>
    </row>
    <row r="371" spans="1:14">
      <c r="A371" s="276" t="s">
        <v>766</v>
      </c>
      <c r="B371" s="277" t="s">
        <v>787</v>
      </c>
      <c r="C371" s="226" t="s">
        <v>788</v>
      </c>
      <c r="D371" s="226" t="s">
        <v>656</v>
      </c>
      <c r="E371" s="226">
        <v>3292785</v>
      </c>
      <c r="F371" s="270">
        <v>4962.8100000000004</v>
      </c>
      <c r="G371" s="270">
        <v>0</v>
      </c>
      <c r="H371" s="226">
        <v>0</v>
      </c>
      <c r="I371" s="226">
        <v>0</v>
      </c>
      <c r="J371" s="226">
        <v>0</v>
      </c>
      <c r="K371" s="226">
        <v>1042.19</v>
      </c>
      <c r="L371" s="226">
        <v>0</v>
      </c>
      <c r="M371" s="270">
        <v>0</v>
      </c>
      <c r="N371" s="270">
        <v>6005</v>
      </c>
    </row>
    <row r="372" spans="1:14">
      <c r="A372" s="276" t="s">
        <v>766</v>
      </c>
      <c r="B372" s="277" t="s">
        <v>789</v>
      </c>
      <c r="C372" s="226" t="s">
        <v>790</v>
      </c>
      <c r="D372" s="226" t="s">
        <v>656</v>
      </c>
      <c r="E372" s="226">
        <v>14123802</v>
      </c>
      <c r="F372" s="270">
        <v>16528.93</v>
      </c>
      <c r="G372" s="270">
        <v>0</v>
      </c>
      <c r="H372" s="226">
        <v>0</v>
      </c>
      <c r="I372" s="226">
        <v>0</v>
      </c>
      <c r="J372" s="226">
        <v>0</v>
      </c>
      <c r="K372" s="226">
        <v>3471.07</v>
      </c>
      <c r="L372" s="226">
        <v>0</v>
      </c>
      <c r="M372" s="270">
        <v>0</v>
      </c>
      <c r="N372" s="270">
        <v>20000</v>
      </c>
    </row>
    <row r="373" spans="1:14">
      <c r="A373" s="276" t="s">
        <v>766</v>
      </c>
      <c r="B373" s="277" t="s">
        <v>791</v>
      </c>
      <c r="C373" s="226" t="s">
        <v>739</v>
      </c>
      <c r="D373" s="226" t="s">
        <v>730</v>
      </c>
      <c r="E373" s="226">
        <v>30590354798</v>
      </c>
      <c r="F373" s="270">
        <v>440619.01</v>
      </c>
      <c r="G373" s="270">
        <v>0</v>
      </c>
      <c r="H373" s="226">
        <v>0</v>
      </c>
      <c r="I373" s="226">
        <v>0</v>
      </c>
      <c r="J373" s="226">
        <v>0</v>
      </c>
      <c r="K373" s="226">
        <v>92529.99</v>
      </c>
      <c r="L373" s="226">
        <v>0</v>
      </c>
      <c r="M373" s="270">
        <v>0</v>
      </c>
      <c r="N373" s="270">
        <v>533149</v>
      </c>
    </row>
    <row r="374" spans="1:14">
      <c r="A374" s="276" t="s">
        <v>766</v>
      </c>
      <c r="B374" s="277" t="s">
        <v>792</v>
      </c>
      <c r="C374" s="226" t="s">
        <v>793</v>
      </c>
      <c r="D374" s="226" t="s">
        <v>656</v>
      </c>
      <c r="E374" s="226">
        <v>29654556</v>
      </c>
      <c r="F374" s="270">
        <v>35537.19</v>
      </c>
      <c r="G374" s="270">
        <v>0</v>
      </c>
      <c r="H374" s="226">
        <v>0</v>
      </c>
      <c r="I374" s="226">
        <v>0</v>
      </c>
      <c r="J374" s="226">
        <v>0</v>
      </c>
      <c r="K374" s="226">
        <v>7462.81</v>
      </c>
      <c r="L374" s="226">
        <v>0</v>
      </c>
      <c r="M374" s="270">
        <v>0</v>
      </c>
      <c r="N374" s="270">
        <v>43000</v>
      </c>
    </row>
    <row r="375" spans="1:14">
      <c r="A375" s="276" t="s">
        <v>766</v>
      </c>
      <c r="B375" s="277" t="s">
        <v>794</v>
      </c>
      <c r="C375" s="226" t="s">
        <v>795</v>
      </c>
      <c r="D375" s="226" t="s">
        <v>656</v>
      </c>
      <c r="E375" s="226">
        <v>96052829</v>
      </c>
      <c r="F375" s="270">
        <v>21487.61</v>
      </c>
      <c r="G375" s="270">
        <v>0</v>
      </c>
      <c r="H375" s="226">
        <v>0</v>
      </c>
      <c r="I375" s="226">
        <v>0</v>
      </c>
      <c r="J375" s="226">
        <v>0</v>
      </c>
      <c r="K375" s="226">
        <v>4512.3900000000003</v>
      </c>
      <c r="L375" s="226">
        <v>0</v>
      </c>
      <c r="M375" s="270">
        <v>0</v>
      </c>
      <c r="N375" s="270">
        <v>26000</v>
      </c>
    </row>
    <row r="376" spans="1:14">
      <c r="A376" s="276" t="s">
        <v>815</v>
      </c>
      <c r="B376" s="277" t="s">
        <v>832</v>
      </c>
      <c r="C376" s="226" t="s">
        <v>833</v>
      </c>
      <c r="D376" s="226" t="s">
        <v>656</v>
      </c>
      <c r="E376" s="226">
        <v>705467</v>
      </c>
      <c r="F376" s="270">
        <v>12396.69</v>
      </c>
      <c r="G376" s="270">
        <v>0</v>
      </c>
      <c r="H376" s="226">
        <v>0</v>
      </c>
      <c r="I376" s="226">
        <v>0</v>
      </c>
      <c r="J376" s="226">
        <v>0</v>
      </c>
      <c r="K376" s="226">
        <v>2603.31</v>
      </c>
      <c r="L376" s="226">
        <v>0</v>
      </c>
      <c r="M376" s="270">
        <v>0</v>
      </c>
      <c r="N376" s="270">
        <v>15000</v>
      </c>
    </row>
    <row r="377" spans="1:14">
      <c r="A377" s="276" t="s">
        <v>815</v>
      </c>
      <c r="B377" s="277" t="s">
        <v>834</v>
      </c>
      <c r="C377" s="226" t="s">
        <v>835</v>
      </c>
      <c r="D377" s="226" t="s">
        <v>656</v>
      </c>
      <c r="E377" s="226">
        <v>12791306</v>
      </c>
      <c r="F377" s="270">
        <v>16528.920000000002</v>
      </c>
      <c r="G377" s="270">
        <v>0</v>
      </c>
      <c r="H377" s="226">
        <v>0</v>
      </c>
      <c r="I377" s="226">
        <v>0</v>
      </c>
      <c r="J377" s="226">
        <v>0</v>
      </c>
      <c r="K377" s="226">
        <v>3471.08</v>
      </c>
      <c r="L377" s="226">
        <v>0</v>
      </c>
      <c r="M377" s="270">
        <v>0</v>
      </c>
      <c r="N377" s="270">
        <v>20000</v>
      </c>
    </row>
    <row r="378" spans="1:14">
      <c r="A378" s="276" t="s">
        <v>836</v>
      </c>
      <c r="B378" s="277" t="s">
        <v>864</v>
      </c>
      <c r="C378" s="226" t="s">
        <v>865</v>
      </c>
      <c r="D378" s="226" t="s">
        <v>656</v>
      </c>
      <c r="E378" s="226">
        <v>20404430</v>
      </c>
      <c r="F378" s="270">
        <v>17355.37</v>
      </c>
      <c r="G378" s="270">
        <v>0</v>
      </c>
      <c r="H378" s="226">
        <v>0</v>
      </c>
      <c r="I378" s="226">
        <v>0</v>
      </c>
      <c r="J378" s="226">
        <v>0</v>
      </c>
      <c r="K378" s="226">
        <v>3644.63</v>
      </c>
      <c r="L378" s="226">
        <v>0</v>
      </c>
      <c r="M378" s="270">
        <v>0</v>
      </c>
      <c r="N378" s="270">
        <v>21000</v>
      </c>
    </row>
    <row r="379" spans="1:14">
      <c r="A379" s="276" t="s">
        <v>836</v>
      </c>
      <c r="B379" s="277" t="s">
        <v>866</v>
      </c>
      <c r="C379" s="226" t="s">
        <v>867</v>
      </c>
      <c r="D379" s="226" t="s">
        <v>656</v>
      </c>
      <c r="E379" s="226">
        <v>10138957</v>
      </c>
      <c r="F379" s="270">
        <v>12396.69</v>
      </c>
      <c r="G379" s="270">
        <v>0</v>
      </c>
      <c r="H379" s="226">
        <v>0</v>
      </c>
      <c r="I379" s="226">
        <v>0</v>
      </c>
      <c r="J379" s="226">
        <v>0</v>
      </c>
      <c r="K379" s="226">
        <v>2603.31</v>
      </c>
      <c r="L379" s="226">
        <v>0</v>
      </c>
      <c r="M379" s="270">
        <v>0</v>
      </c>
      <c r="N379" s="270">
        <v>15000</v>
      </c>
    </row>
    <row r="380" spans="1:14">
      <c r="A380" s="276" t="s">
        <v>836</v>
      </c>
      <c r="B380" s="277" t="s">
        <v>868</v>
      </c>
      <c r="C380" s="226" t="s">
        <v>790</v>
      </c>
      <c r="D380" s="226" t="s">
        <v>656</v>
      </c>
      <c r="E380" s="226">
        <v>14123802</v>
      </c>
      <c r="F380" s="270">
        <v>32479.33</v>
      </c>
      <c r="G380" s="270">
        <v>0</v>
      </c>
      <c r="H380" s="226">
        <v>0</v>
      </c>
      <c r="I380" s="226">
        <v>0</v>
      </c>
      <c r="J380" s="226">
        <v>0</v>
      </c>
      <c r="K380" s="226">
        <v>6820.67</v>
      </c>
      <c r="L380" s="226">
        <v>0</v>
      </c>
      <c r="M380" s="270">
        <v>0</v>
      </c>
      <c r="N380" s="270">
        <v>39300</v>
      </c>
    </row>
    <row r="381" spans="1:14">
      <c r="A381" s="276" t="s">
        <v>836</v>
      </c>
      <c r="B381" s="277" t="s">
        <v>869</v>
      </c>
      <c r="C381" s="226" t="s">
        <v>870</v>
      </c>
      <c r="D381" s="226" t="s">
        <v>656</v>
      </c>
      <c r="E381" s="226">
        <v>20008996</v>
      </c>
      <c r="F381" s="270">
        <v>19834.71</v>
      </c>
      <c r="G381" s="270">
        <v>0</v>
      </c>
      <c r="H381" s="226">
        <v>0</v>
      </c>
      <c r="I381" s="226">
        <v>0</v>
      </c>
      <c r="J381" s="226">
        <v>0</v>
      </c>
      <c r="K381" s="226">
        <v>4165.29</v>
      </c>
      <c r="L381" s="226">
        <v>0</v>
      </c>
      <c r="M381" s="270">
        <v>0</v>
      </c>
      <c r="N381" s="270">
        <v>24000</v>
      </c>
    </row>
    <row r="382" spans="1:14">
      <c r="A382" s="276" t="s">
        <v>836</v>
      </c>
      <c r="B382" s="277" t="s">
        <v>871</v>
      </c>
      <c r="C382" s="226" t="s">
        <v>872</v>
      </c>
      <c r="D382" s="226" t="s">
        <v>656</v>
      </c>
      <c r="E382" s="226">
        <v>14736066</v>
      </c>
      <c r="F382" s="270">
        <v>22314.05</v>
      </c>
      <c r="G382" s="270">
        <v>0</v>
      </c>
      <c r="H382" s="226">
        <v>0</v>
      </c>
      <c r="I382" s="226">
        <v>0</v>
      </c>
      <c r="J382" s="226">
        <v>0</v>
      </c>
      <c r="K382" s="226">
        <v>4685.95</v>
      </c>
      <c r="L382" s="226">
        <v>0</v>
      </c>
      <c r="M382" s="270">
        <v>0</v>
      </c>
      <c r="N382" s="270">
        <v>27000</v>
      </c>
    </row>
    <row r="383" spans="1:14">
      <c r="A383" s="276" t="s">
        <v>836</v>
      </c>
      <c r="B383" s="277" t="s">
        <v>873</v>
      </c>
      <c r="C383" s="226" t="s">
        <v>874</v>
      </c>
      <c r="D383" s="226" t="s">
        <v>656</v>
      </c>
      <c r="E383" s="226">
        <v>95904113</v>
      </c>
      <c r="F383" s="270">
        <v>12727.28</v>
      </c>
      <c r="G383" s="270">
        <v>0</v>
      </c>
      <c r="H383" s="226">
        <v>0</v>
      </c>
      <c r="I383" s="226">
        <v>0</v>
      </c>
      <c r="J383" s="226">
        <v>0</v>
      </c>
      <c r="K383" s="226">
        <v>2672.72</v>
      </c>
      <c r="L383" s="226">
        <v>0</v>
      </c>
      <c r="M383" s="270">
        <v>0</v>
      </c>
      <c r="N383" s="270">
        <v>15400</v>
      </c>
    </row>
    <row r="384" spans="1:14">
      <c r="A384" s="276" t="s">
        <v>836</v>
      </c>
      <c r="B384" s="277" t="s">
        <v>875</v>
      </c>
      <c r="C384" s="226" t="s">
        <v>739</v>
      </c>
      <c r="D384" s="226" t="s">
        <v>730</v>
      </c>
      <c r="E384" s="226">
        <v>30590354798</v>
      </c>
      <c r="F384" s="270">
        <v>175329.75</v>
      </c>
      <c r="G384" s="270">
        <v>0</v>
      </c>
      <c r="H384" s="226">
        <v>0</v>
      </c>
      <c r="I384" s="226">
        <v>0</v>
      </c>
      <c r="J384" s="226">
        <v>0</v>
      </c>
      <c r="K384" s="226">
        <v>36819.25</v>
      </c>
      <c r="L384" s="226">
        <v>0</v>
      </c>
      <c r="M384" s="270">
        <v>0</v>
      </c>
      <c r="N384" s="270">
        <v>212149</v>
      </c>
    </row>
    <row r="385" spans="1:14">
      <c r="A385" s="276" t="s">
        <v>876</v>
      </c>
      <c r="B385" s="277" t="s">
        <v>892</v>
      </c>
      <c r="C385" s="226" t="s">
        <v>893</v>
      </c>
      <c r="D385" s="226" t="s">
        <v>656</v>
      </c>
      <c r="E385" s="226">
        <v>24699538</v>
      </c>
      <c r="F385" s="270">
        <v>16528.920000000002</v>
      </c>
      <c r="G385" s="270">
        <v>0</v>
      </c>
      <c r="H385" s="226">
        <v>0</v>
      </c>
      <c r="I385" s="226">
        <v>0</v>
      </c>
      <c r="J385" s="226">
        <v>0</v>
      </c>
      <c r="K385" s="226">
        <v>3471.08</v>
      </c>
      <c r="L385" s="226">
        <v>0</v>
      </c>
      <c r="M385" s="270">
        <v>0</v>
      </c>
      <c r="N385" s="270">
        <v>20000</v>
      </c>
    </row>
    <row r="386" spans="1:14">
      <c r="A386" s="276" t="s">
        <v>894</v>
      </c>
      <c r="B386" s="277" t="s">
        <v>912</v>
      </c>
      <c r="C386" s="226" t="s">
        <v>913</v>
      </c>
      <c r="D386" s="226" t="s">
        <v>656</v>
      </c>
      <c r="E386" s="226">
        <v>17814995</v>
      </c>
      <c r="F386" s="270">
        <v>15702.48</v>
      </c>
      <c r="G386" s="270">
        <v>0</v>
      </c>
      <c r="H386" s="226">
        <v>0</v>
      </c>
      <c r="I386" s="226">
        <v>0</v>
      </c>
      <c r="J386" s="226">
        <v>0</v>
      </c>
      <c r="K386" s="226">
        <v>3297.52</v>
      </c>
      <c r="L386" s="226">
        <v>0</v>
      </c>
      <c r="M386" s="270">
        <v>0</v>
      </c>
      <c r="N386" s="270">
        <v>19000</v>
      </c>
    </row>
    <row r="387" spans="1:14">
      <c r="A387" s="276" t="s">
        <v>894</v>
      </c>
      <c r="B387" s="277" t="s">
        <v>914</v>
      </c>
      <c r="C387" s="226" t="s">
        <v>739</v>
      </c>
      <c r="D387" s="226" t="s">
        <v>730</v>
      </c>
      <c r="E387" s="226">
        <v>30590354798</v>
      </c>
      <c r="F387" s="270">
        <v>2644628.1</v>
      </c>
      <c r="G387" s="270">
        <v>0</v>
      </c>
      <c r="H387" s="226">
        <v>0</v>
      </c>
      <c r="I387" s="226">
        <v>0</v>
      </c>
      <c r="J387" s="226">
        <v>0</v>
      </c>
      <c r="K387" s="226">
        <v>555371.9</v>
      </c>
      <c r="L387" s="226">
        <v>0</v>
      </c>
      <c r="M387" s="270">
        <v>0</v>
      </c>
      <c r="N387" s="270">
        <v>3200000</v>
      </c>
    </row>
    <row r="388" spans="1:14">
      <c r="A388" s="276" t="s">
        <v>927</v>
      </c>
      <c r="B388" s="277" t="s">
        <v>941</v>
      </c>
      <c r="C388" s="226" t="s">
        <v>942</v>
      </c>
      <c r="D388" s="226" t="s">
        <v>656</v>
      </c>
      <c r="E388" s="226" t="s">
        <v>657</v>
      </c>
      <c r="F388" s="270">
        <v>59504.13</v>
      </c>
      <c r="G388" s="270">
        <v>0</v>
      </c>
      <c r="H388" s="226">
        <v>0</v>
      </c>
      <c r="I388" s="226">
        <v>0</v>
      </c>
      <c r="J388" s="226">
        <v>0</v>
      </c>
      <c r="K388" s="226">
        <v>12495.87</v>
      </c>
      <c r="L388" s="226">
        <v>0</v>
      </c>
      <c r="M388" s="270">
        <v>0</v>
      </c>
      <c r="N388" s="270">
        <v>72000</v>
      </c>
    </row>
    <row r="389" spans="1:14">
      <c r="A389" s="276" t="s">
        <v>943</v>
      </c>
      <c r="B389" s="277" t="s">
        <v>965</v>
      </c>
      <c r="C389" s="226" t="s">
        <v>966</v>
      </c>
      <c r="D389" s="226" t="s">
        <v>656</v>
      </c>
      <c r="E389" s="226">
        <v>4648296</v>
      </c>
      <c r="F389" s="270">
        <v>16528.93</v>
      </c>
      <c r="G389" s="270">
        <v>0</v>
      </c>
      <c r="H389" s="226">
        <v>0</v>
      </c>
      <c r="I389" s="226">
        <v>0</v>
      </c>
      <c r="J389" s="226">
        <v>0</v>
      </c>
      <c r="K389" s="226">
        <v>3471.07</v>
      </c>
      <c r="L389" s="226">
        <v>0</v>
      </c>
      <c r="M389" s="270">
        <v>0</v>
      </c>
      <c r="N389" s="270">
        <v>20000</v>
      </c>
    </row>
    <row r="390" spans="1:14">
      <c r="A390" s="276" t="s">
        <v>943</v>
      </c>
      <c r="B390" s="277" t="s">
        <v>967</v>
      </c>
      <c r="C390" s="226" t="s">
        <v>727</v>
      </c>
      <c r="D390" s="226" t="s">
        <v>656</v>
      </c>
      <c r="E390" s="226">
        <v>2719694</v>
      </c>
      <c r="F390" s="270">
        <v>5826.44</v>
      </c>
      <c r="G390" s="270">
        <v>0</v>
      </c>
      <c r="H390" s="226">
        <v>0</v>
      </c>
      <c r="I390" s="226">
        <v>0</v>
      </c>
      <c r="J390" s="226">
        <v>0</v>
      </c>
      <c r="K390" s="226">
        <v>1223.56</v>
      </c>
      <c r="L390" s="226">
        <v>0</v>
      </c>
      <c r="M390" s="270">
        <v>0</v>
      </c>
      <c r="N390" s="270">
        <v>7050</v>
      </c>
    </row>
    <row r="391" spans="1:14">
      <c r="A391" s="276" t="s">
        <v>943</v>
      </c>
      <c r="B391" s="277" t="s">
        <v>968</v>
      </c>
      <c r="C391" s="226" t="s">
        <v>723</v>
      </c>
      <c r="D391" s="226" t="s">
        <v>656</v>
      </c>
      <c r="E391" s="226">
        <v>37904748</v>
      </c>
      <c r="F391" s="270">
        <v>19834.71</v>
      </c>
      <c r="G391" s="270">
        <v>0</v>
      </c>
      <c r="H391" s="226">
        <v>0</v>
      </c>
      <c r="I391" s="226">
        <v>0</v>
      </c>
      <c r="J391" s="226">
        <v>0</v>
      </c>
      <c r="K391" s="226">
        <v>4165.29</v>
      </c>
      <c r="L391" s="226">
        <v>0</v>
      </c>
      <c r="M391" s="270">
        <v>0</v>
      </c>
      <c r="N391" s="270">
        <v>24000</v>
      </c>
    </row>
    <row r="392" spans="1:14">
      <c r="A392" s="276" t="s">
        <v>943</v>
      </c>
      <c r="B392" s="277" t="s">
        <v>969</v>
      </c>
      <c r="C392" s="226" t="s">
        <v>970</v>
      </c>
      <c r="D392" s="226" t="s">
        <v>656</v>
      </c>
      <c r="E392" s="226">
        <v>25864351</v>
      </c>
      <c r="F392" s="270">
        <v>19834.71</v>
      </c>
      <c r="G392" s="270">
        <v>0</v>
      </c>
      <c r="H392" s="226">
        <v>0</v>
      </c>
      <c r="I392" s="226">
        <v>0</v>
      </c>
      <c r="J392" s="226">
        <v>0</v>
      </c>
      <c r="K392" s="226">
        <v>4165.29</v>
      </c>
      <c r="L392" s="226">
        <v>0</v>
      </c>
      <c r="M392" s="270">
        <v>0</v>
      </c>
      <c r="N392" s="270">
        <v>24000</v>
      </c>
    </row>
    <row r="393" spans="1:14">
      <c r="A393" s="276" t="s">
        <v>943</v>
      </c>
      <c r="B393" s="277" t="s">
        <v>971</v>
      </c>
      <c r="C393" s="226" t="s">
        <v>972</v>
      </c>
      <c r="D393" s="226" t="s">
        <v>656</v>
      </c>
      <c r="E393" s="226">
        <v>22040665</v>
      </c>
      <c r="F393" s="270">
        <v>44628.1</v>
      </c>
      <c r="G393" s="270">
        <v>0</v>
      </c>
      <c r="H393" s="226">
        <v>0</v>
      </c>
      <c r="I393" s="226">
        <v>0</v>
      </c>
      <c r="J393" s="226">
        <v>0</v>
      </c>
      <c r="K393" s="226">
        <v>9371.9</v>
      </c>
      <c r="L393" s="226">
        <v>0</v>
      </c>
      <c r="M393" s="270">
        <v>0</v>
      </c>
      <c r="N393" s="270">
        <v>54000</v>
      </c>
    </row>
    <row r="394" spans="1:14">
      <c r="A394" s="276" t="s">
        <v>973</v>
      </c>
      <c r="B394" s="277" t="s">
        <v>989</v>
      </c>
      <c r="C394" s="226" t="s">
        <v>702</v>
      </c>
      <c r="D394" s="226" t="s">
        <v>656</v>
      </c>
      <c r="E394" s="226">
        <v>25795206</v>
      </c>
      <c r="F394" s="270">
        <v>22314.05</v>
      </c>
      <c r="G394" s="270">
        <v>0</v>
      </c>
      <c r="H394" s="226">
        <v>0</v>
      </c>
      <c r="I394" s="226">
        <v>0</v>
      </c>
      <c r="J394" s="226">
        <v>0</v>
      </c>
      <c r="K394" s="226">
        <v>4685.95</v>
      </c>
      <c r="L394" s="226">
        <v>0</v>
      </c>
      <c r="M394" s="270">
        <v>0</v>
      </c>
      <c r="N394" s="270">
        <v>27000</v>
      </c>
    </row>
    <row r="395" spans="1:14">
      <c r="A395" s="276" t="s">
        <v>973</v>
      </c>
      <c r="B395" s="277" t="s">
        <v>990</v>
      </c>
      <c r="C395" s="226" t="s">
        <v>991</v>
      </c>
      <c r="D395" s="226" t="s">
        <v>656</v>
      </c>
      <c r="E395" s="226">
        <v>36622635</v>
      </c>
      <c r="F395" s="270">
        <v>21487.599999999999</v>
      </c>
      <c r="G395" s="270">
        <v>0</v>
      </c>
      <c r="H395" s="226">
        <v>0</v>
      </c>
      <c r="I395" s="226">
        <v>0</v>
      </c>
      <c r="J395" s="226">
        <v>0</v>
      </c>
      <c r="K395" s="226">
        <v>4512.4000000000005</v>
      </c>
      <c r="L395" s="226">
        <v>0</v>
      </c>
      <c r="M395" s="270">
        <v>0</v>
      </c>
      <c r="N395" s="270">
        <v>26000</v>
      </c>
    </row>
    <row r="396" spans="1:14">
      <c r="A396" s="276" t="s">
        <v>973</v>
      </c>
      <c r="B396" s="277" t="s">
        <v>992</v>
      </c>
      <c r="C396" s="226" t="s">
        <v>993</v>
      </c>
      <c r="D396" s="226" t="s">
        <v>656</v>
      </c>
      <c r="E396" s="226">
        <v>902191</v>
      </c>
      <c r="F396" s="270">
        <v>24793.39</v>
      </c>
      <c r="G396" s="270">
        <v>0</v>
      </c>
      <c r="H396" s="226">
        <v>0</v>
      </c>
      <c r="I396" s="226">
        <v>0</v>
      </c>
      <c r="J396" s="226">
        <v>0</v>
      </c>
      <c r="K396" s="226">
        <v>5206.6099999999997</v>
      </c>
      <c r="L396" s="226">
        <v>0</v>
      </c>
      <c r="M396" s="270">
        <v>0</v>
      </c>
      <c r="N396" s="270">
        <v>30000</v>
      </c>
    </row>
    <row r="397" spans="1:14">
      <c r="A397" s="276" t="s">
        <v>994</v>
      </c>
      <c r="B397" s="277" t="s">
        <v>1008</v>
      </c>
      <c r="C397" s="226" t="s">
        <v>784</v>
      </c>
      <c r="D397" s="226" t="s">
        <v>656</v>
      </c>
      <c r="E397" s="226">
        <v>5607654</v>
      </c>
      <c r="F397" s="270">
        <v>19834.71</v>
      </c>
      <c r="G397" s="270">
        <v>0</v>
      </c>
      <c r="H397" s="226">
        <v>0</v>
      </c>
      <c r="I397" s="226">
        <v>0</v>
      </c>
      <c r="J397" s="226">
        <v>0</v>
      </c>
      <c r="K397" s="226">
        <v>4165.29</v>
      </c>
      <c r="L397" s="226">
        <v>0</v>
      </c>
      <c r="M397" s="270">
        <v>0</v>
      </c>
      <c r="N397" s="270">
        <v>24000</v>
      </c>
    </row>
    <row r="398" spans="1:14">
      <c r="A398" s="276" t="s">
        <v>994</v>
      </c>
      <c r="B398" s="277" t="s">
        <v>1009</v>
      </c>
      <c r="C398" s="226" t="s">
        <v>725</v>
      </c>
      <c r="D398" s="226" t="s">
        <v>656</v>
      </c>
      <c r="E398" s="226">
        <v>11172213</v>
      </c>
      <c r="F398" s="270">
        <v>19834.71</v>
      </c>
      <c r="G398" s="270">
        <v>0</v>
      </c>
      <c r="H398" s="226">
        <v>0</v>
      </c>
      <c r="I398" s="226">
        <v>0</v>
      </c>
      <c r="J398" s="226">
        <v>0</v>
      </c>
      <c r="K398" s="226">
        <v>4165.29</v>
      </c>
      <c r="L398" s="226">
        <v>0</v>
      </c>
      <c r="M398" s="270">
        <v>0</v>
      </c>
      <c r="N398" s="270">
        <v>24000</v>
      </c>
    </row>
    <row r="399" spans="1:14">
      <c r="A399" s="276" t="s">
        <v>994</v>
      </c>
      <c r="B399" s="277" t="s">
        <v>1010</v>
      </c>
      <c r="C399" s="226" t="s">
        <v>1011</v>
      </c>
      <c r="D399" s="226" t="s">
        <v>656</v>
      </c>
      <c r="E399" s="226">
        <v>20435515</v>
      </c>
      <c r="F399" s="270">
        <v>115702.48</v>
      </c>
      <c r="G399" s="270">
        <v>0</v>
      </c>
      <c r="H399" s="226">
        <v>0</v>
      </c>
      <c r="I399" s="226">
        <v>0</v>
      </c>
      <c r="J399" s="226">
        <v>0</v>
      </c>
      <c r="K399" s="226">
        <v>24297.52</v>
      </c>
      <c r="L399" s="226">
        <v>0</v>
      </c>
      <c r="M399" s="270">
        <v>0</v>
      </c>
      <c r="N399" s="270">
        <v>140000</v>
      </c>
    </row>
    <row r="400" spans="1:14">
      <c r="A400" s="276" t="s">
        <v>1012</v>
      </c>
      <c r="B400" s="277" t="s">
        <v>1028</v>
      </c>
      <c r="C400" s="226" t="s">
        <v>1029</v>
      </c>
      <c r="D400" s="226" t="s">
        <v>656</v>
      </c>
      <c r="E400" s="226">
        <v>5804480</v>
      </c>
      <c r="F400" s="270">
        <v>28925.62</v>
      </c>
      <c r="G400" s="270">
        <v>0</v>
      </c>
      <c r="H400" s="226">
        <v>0</v>
      </c>
      <c r="I400" s="226">
        <v>0</v>
      </c>
      <c r="J400" s="226">
        <v>0</v>
      </c>
      <c r="K400" s="226">
        <v>6074.38</v>
      </c>
      <c r="L400" s="226">
        <v>0</v>
      </c>
      <c r="M400" s="270">
        <v>0</v>
      </c>
      <c r="N400" s="270">
        <v>35000</v>
      </c>
    </row>
    <row r="401" spans="1:14">
      <c r="A401" s="276" t="s">
        <v>1098</v>
      </c>
      <c r="B401" s="277" t="s">
        <v>1121</v>
      </c>
      <c r="C401" s="226" t="s">
        <v>1122</v>
      </c>
      <c r="D401" s="226" t="s">
        <v>730</v>
      </c>
      <c r="E401" s="226">
        <v>30636196858</v>
      </c>
      <c r="F401" s="270">
        <v>6666859.5</v>
      </c>
      <c r="G401" s="270">
        <v>0</v>
      </c>
      <c r="H401" s="226">
        <v>0</v>
      </c>
      <c r="I401" s="226">
        <v>0</v>
      </c>
      <c r="J401" s="226">
        <v>0</v>
      </c>
      <c r="K401" s="226">
        <v>1400040.5</v>
      </c>
      <c r="L401" s="226">
        <v>0</v>
      </c>
      <c r="M401" s="270">
        <v>0</v>
      </c>
      <c r="N401" s="270">
        <v>8066900</v>
      </c>
    </row>
    <row r="402" spans="1:14">
      <c r="A402" s="276" t="s">
        <v>1123</v>
      </c>
      <c r="B402" s="277" t="s">
        <v>1139</v>
      </c>
      <c r="C402" s="226" t="s">
        <v>1140</v>
      </c>
      <c r="D402" s="226" t="s">
        <v>730</v>
      </c>
      <c r="E402" s="226">
        <v>30585412453</v>
      </c>
      <c r="F402" s="270">
        <v>7809917.3600000003</v>
      </c>
      <c r="G402" s="270">
        <v>0</v>
      </c>
      <c r="H402" s="226">
        <v>0</v>
      </c>
      <c r="I402" s="226">
        <v>0</v>
      </c>
      <c r="J402" s="226">
        <v>0</v>
      </c>
      <c r="K402" s="226">
        <v>1640082.64</v>
      </c>
      <c r="L402" s="226">
        <v>0</v>
      </c>
      <c r="M402" s="270">
        <v>0</v>
      </c>
      <c r="N402" s="270">
        <v>9450000</v>
      </c>
    </row>
    <row r="403" spans="1:14">
      <c r="A403" s="276" t="s">
        <v>1141</v>
      </c>
      <c r="B403" s="277" t="s">
        <v>1162</v>
      </c>
      <c r="C403" s="226" t="s">
        <v>1163</v>
      </c>
      <c r="D403" s="226" t="s">
        <v>656</v>
      </c>
      <c r="E403" s="226">
        <v>93332052</v>
      </c>
      <c r="F403" s="270">
        <v>6611.57</v>
      </c>
      <c r="G403" s="270">
        <v>0</v>
      </c>
      <c r="H403" s="226">
        <v>0</v>
      </c>
      <c r="I403" s="226">
        <v>0</v>
      </c>
      <c r="J403" s="226">
        <v>0</v>
      </c>
      <c r="K403" s="226">
        <v>1388.43</v>
      </c>
      <c r="L403" s="226">
        <v>0</v>
      </c>
      <c r="M403" s="270">
        <v>0</v>
      </c>
      <c r="N403" s="270">
        <v>8000</v>
      </c>
    </row>
    <row r="404" spans="1:14">
      <c r="A404" s="276" t="s">
        <v>1141</v>
      </c>
      <c r="B404" s="277" t="s">
        <v>1164</v>
      </c>
      <c r="C404" s="226" t="s">
        <v>1140</v>
      </c>
      <c r="D404" s="226" t="s">
        <v>730</v>
      </c>
      <c r="E404" s="226">
        <v>30585412453</v>
      </c>
      <c r="F404" s="270">
        <v>7809917.3600000003</v>
      </c>
      <c r="G404" s="270">
        <v>0</v>
      </c>
      <c r="H404" s="226">
        <v>0</v>
      </c>
      <c r="I404" s="226">
        <v>0</v>
      </c>
      <c r="J404" s="226">
        <v>0</v>
      </c>
      <c r="K404" s="226">
        <v>1640082.64</v>
      </c>
      <c r="L404" s="226">
        <v>0</v>
      </c>
      <c r="M404" s="270">
        <v>0</v>
      </c>
      <c r="N404" s="270">
        <v>9450000</v>
      </c>
    </row>
    <row r="405" spans="1:14">
      <c r="A405" s="276" t="s">
        <v>836</v>
      </c>
      <c r="B405" s="277" t="s">
        <v>851</v>
      </c>
      <c r="C405" s="226" t="s">
        <v>756</v>
      </c>
      <c r="D405" s="226" t="s">
        <v>688</v>
      </c>
      <c r="E405" s="226">
        <v>30522428163</v>
      </c>
      <c r="F405" s="270">
        <v>-68091.91</v>
      </c>
      <c r="G405" s="270">
        <v>0</v>
      </c>
      <c r="H405" s="226">
        <v>0</v>
      </c>
      <c r="I405" s="226">
        <v>0</v>
      </c>
      <c r="J405" s="226">
        <v>0</v>
      </c>
      <c r="K405" s="226">
        <v>-14299.3</v>
      </c>
      <c r="L405" s="226">
        <v>0</v>
      </c>
      <c r="M405" s="270">
        <v>0</v>
      </c>
      <c r="N405" s="270">
        <v>-82391.210000000006</v>
      </c>
    </row>
    <row r="406" spans="1:14">
      <c r="A406" s="276" t="s">
        <v>836</v>
      </c>
      <c r="B406" s="277" t="s">
        <v>852</v>
      </c>
      <c r="C406" s="226" t="s">
        <v>756</v>
      </c>
      <c r="D406" s="226" t="s">
        <v>688</v>
      </c>
      <c r="E406" s="226">
        <v>30522428163</v>
      </c>
      <c r="F406" s="270">
        <v>-23678.3</v>
      </c>
      <c r="G406" s="270">
        <v>0</v>
      </c>
      <c r="H406" s="226">
        <v>0</v>
      </c>
      <c r="I406" s="226">
        <v>0</v>
      </c>
      <c r="J406" s="226">
        <v>0</v>
      </c>
      <c r="K406" s="226">
        <v>-4972.4400000000005</v>
      </c>
      <c r="L406" s="226">
        <v>0</v>
      </c>
      <c r="M406" s="270">
        <v>0</v>
      </c>
      <c r="N406" s="270">
        <v>-28650.74</v>
      </c>
    </row>
    <row r="407" spans="1:14">
      <c r="A407" s="276" t="s">
        <v>836</v>
      </c>
      <c r="B407" s="277" t="s">
        <v>853</v>
      </c>
      <c r="C407" s="226" t="s">
        <v>756</v>
      </c>
      <c r="D407" s="226" t="s">
        <v>688</v>
      </c>
      <c r="E407" s="226">
        <v>30522428163</v>
      </c>
      <c r="F407" s="270">
        <v>-211023.64</v>
      </c>
      <c r="G407" s="270">
        <v>0</v>
      </c>
      <c r="H407" s="226">
        <v>0</v>
      </c>
      <c r="I407" s="226">
        <v>0</v>
      </c>
      <c r="J407" s="226">
        <v>0</v>
      </c>
      <c r="K407" s="226">
        <v>-44314.96</v>
      </c>
      <c r="L407" s="226">
        <v>0</v>
      </c>
      <c r="M407" s="270">
        <v>0</v>
      </c>
      <c r="N407" s="270">
        <v>-255338.6</v>
      </c>
    </row>
    <row r="408" spans="1:14">
      <c r="A408" s="276" t="s">
        <v>1057</v>
      </c>
      <c r="B408" s="277" t="s">
        <v>1081</v>
      </c>
      <c r="C408" s="226" t="s">
        <v>756</v>
      </c>
      <c r="D408" s="226" t="s">
        <v>688</v>
      </c>
      <c r="E408" s="226">
        <v>30522428163</v>
      </c>
      <c r="F408" s="270">
        <v>-136363.64000000001</v>
      </c>
      <c r="G408" s="270">
        <v>0</v>
      </c>
      <c r="H408" s="226">
        <v>0</v>
      </c>
      <c r="I408" s="226">
        <v>0</v>
      </c>
      <c r="J408" s="226">
        <v>0</v>
      </c>
      <c r="K408" s="226">
        <v>-28636.36</v>
      </c>
      <c r="L408" s="226">
        <v>0</v>
      </c>
      <c r="M408" s="270">
        <v>0</v>
      </c>
      <c r="N408" s="270">
        <v>-165000</v>
      </c>
    </row>
    <row r="409" spans="1:14">
      <c r="A409" s="276" t="s">
        <v>1141</v>
      </c>
      <c r="B409" s="277" t="s">
        <v>1160</v>
      </c>
      <c r="C409" s="226" t="s">
        <v>756</v>
      </c>
      <c r="D409" s="226" t="s">
        <v>688</v>
      </c>
      <c r="E409" s="226">
        <v>30522428163</v>
      </c>
      <c r="F409" s="270">
        <v>-1453471.07</v>
      </c>
      <c r="G409" s="270">
        <v>0</v>
      </c>
      <c r="H409" s="226">
        <v>0</v>
      </c>
      <c r="I409" s="226">
        <v>0</v>
      </c>
      <c r="J409" s="226">
        <v>0</v>
      </c>
      <c r="K409" s="226">
        <v>-305228.93</v>
      </c>
      <c r="L409" s="226">
        <v>0</v>
      </c>
      <c r="M409" s="270">
        <v>0</v>
      </c>
      <c r="N409" s="270">
        <v>-1758700</v>
      </c>
    </row>
    <row r="410" spans="1:14">
      <c r="A410" s="276" t="s">
        <v>740</v>
      </c>
      <c r="B410" s="277" t="s">
        <v>757</v>
      </c>
      <c r="C410" s="226" t="s">
        <v>756</v>
      </c>
      <c r="D410" s="226" t="s">
        <v>688</v>
      </c>
      <c r="E410" s="226">
        <v>30522428163</v>
      </c>
      <c r="F410" s="270">
        <v>-225814.2</v>
      </c>
      <c r="G410" s="270">
        <v>0</v>
      </c>
      <c r="H410" s="226">
        <v>0</v>
      </c>
      <c r="I410" s="226">
        <v>0</v>
      </c>
      <c r="J410" s="226">
        <v>0</v>
      </c>
      <c r="K410" s="226">
        <v>-47420.98</v>
      </c>
      <c r="L410" s="226">
        <v>0</v>
      </c>
      <c r="M410" s="270">
        <v>0</v>
      </c>
      <c r="N410" s="270">
        <v>-273235.18</v>
      </c>
    </row>
    <row r="411" spans="1:14">
      <c r="A411" s="276" t="s">
        <v>1030</v>
      </c>
      <c r="B411" s="277" t="s">
        <v>1051</v>
      </c>
      <c r="C411" s="226" t="s">
        <v>756</v>
      </c>
      <c r="D411" s="226" t="s">
        <v>688</v>
      </c>
      <c r="E411" s="226">
        <v>30522428163</v>
      </c>
      <c r="F411" s="270">
        <v>-251923.49000000002</v>
      </c>
      <c r="G411" s="270">
        <v>0</v>
      </c>
      <c r="H411" s="226">
        <v>0</v>
      </c>
      <c r="I411" s="226">
        <v>0</v>
      </c>
      <c r="J411" s="226">
        <v>0</v>
      </c>
      <c r="K411" s="226">
        <v>-52903.93</v>
      </c>
      <c r="L411" s="226">
        <v>0</v>
      </c>
      <c r="M411" s="270">
        <v>0</v>
      </c>
      <c r="N411" s="270">
        <v>-304827.42</v>
      </c>
    </row>
    <row r="412" spans="1:14">
      <c r="A412" s="276" t="s">
        <v>1057</v>
      </c>
      <c r="B412" s="277" t="s">
        <v>1082</v>
      </c>
      <c r="C412" s="226" t="s">
        <v>756</v>
      </c>
      <c r="D412" s="226" t="s">
        <v>688</v>
      </c>
      <c r="E412" s="226">
        <v>30522428163</v>
      </c>
      <c r="F412" s="270">
        <v>-208031.6</v>
      </c>
      <c r="G412" s="270">
        <v>0</v>
      </c>
      <c r="H412" s="226">
        <v>0</v>
      </c>
      <c r="I412" s="226">
        <v>0</v>
      </c>
      <c r="J412" s="226">
        <v>0</v>
      </c>
      <c r="K412" s="226">
        <v>-43686.64</v>
      </c>
      <c r="L412" s="226">
        <v>0</v>
      </c>
      <c r="M412" s="270">
        <v>0</v>
      </c>
      <c r="N412" s="270">
        <v>-251718.24000000002</v>
      </c>
    </row>
    <row r="413" spans="1:14">
      <c r="A413" s="276" t="s">
        <v>1057</v>
      </c>
      <c r="B413" s="277" t="s">
        <v>1083</v>
      </c>
      <c r="C413" s="226" t="s">
        <v>756</v>
      </c>
      <c r="D413" s="226" t="s">
        <v>688</v>
      </c>
      <c r="E413" s="226">
        <v>30522428163</v>
      </c>
      <c r="F413" s="270">
        <v>-251923.49000000002</v>
      </c>
      <c r="G413" s="270">
        <v>0</v>
      </c>
      <c r="H413" s="226">
        <v>0</v>
      </c>
      <c r="I413" s="226">
        <v>0</v>
      </c>
      <c r="J413" s="226">
        <v>0</v>
      </c>
      <c r="K413" s="226">
        <v>-52903.93</v>
      </c>
      <c r="L413" s="226">
        <v>0</v>
      </c>
      <c r="M413" s="270">
        <v>0</v>
      </c>
      <c r="N413" s="270">
        <v>-304827.42</v>
      </c>
    </row>
    <row r="414" spans="1:14">
      <c r="A414" s="276" t="s">
        <v>1057</v>
      </c>
      <c r="B414" s="277" t="s">
        <v>1084</v>
      </c>
      <c r="C414" s="226" t="s">
        <v>756</v>
      </c>
      <c r="D414" s="226" t="s">
        <v>688</v>
      </c>
      <c r="E414" s="226">
        <v>30522428163</v>
      </c>
      <c r="F414" s="270">
        <v>-1018124.41</v>
      </c>
      <c r="G414" s="270">
        <v>0</v>
      </c>
      <c r="H414" s="226">
        <v>0</v>
      </c>
      <c r="I414" s="226">
        <v>0</v>
      </c>
      <c r="J414" s="226">
        <v>0</v>
      </c>
      <c r="K414" s="226">
        <v>-213806.13</v>
      </c>
      <c r="L414" s="226">
        <v>0</v>
      </c>
      <c r="M414" s="270">
        <v>0</v>
      </c>
      <c r="N414" s="270">
        <v>-1231930.54</v>
      </c>
    </row>
    <row r="415" spans="1:14">
      <c r="A415" s="276" t="s">
        <v>1057</v>
      </c>
      <c r="B415" s="277" t="s">
        <v>1085</v>
      </c>
      <c r="C415" s="226" t="s">
        <v>756</v>
      </c>
      <c r="D415" s="226" t="s">
        <v>688</v>
      </c>
      <c r="E415" s="226">
        <v>30522428163</v>
      </c>
      <c r="F415" s="270">
        <v>-8310.08</v>
      </c>
      <c r="G415" s="270">
        <v>0</v>
      </c>
      <c r="H415" s="226">
        <v>0</v>
      </c>
      <c r="I415" s="226">
        <v>0</v>
      </c>
      <c r="J415" s="226">
        <v>0</v>
      </c>
      <c r="K415" s="226">
        <v>-1745.12</v>
      </c>
      <c r="L415" s="226">
        <v>0</v>
      </c>
      <c r="M415" s="270">
        <v>0</v>
      </c>
      <c r="N415" s="270">
        <v>-10055.200000000001</v>
      </c>
    </row>
    <row r="416" spans="1:14">
      <c r="A416" s="276" t="s">
        <v>1057</v>
      </c>
      <c r="B416" s="277" t="s">
        <v>1086</v>
      </c>
      <c r="C416" s="226" t="s">
        <v>756</v>
      </c>
      <c r="D416" s="226" t="s">
        <v>688</v>
      </c>
      <c r="E416" s="226">
        <v>30522428163</v>
      </c>
      <c r="F416" s="270">
        <v>-25867.75</v>
      </c>
      <c r="G416" s="270">
        <v>0</v>
      </c>
      <c r="H416" s="226">
        <v>0</v>
      </c>
      <c r="I416" s="226">
        <v>0</v>
      </c>
      <c r="J416" s="226">
        <v>0</v>
      </c>
      <c r="K416" s="226">
        <v>-5432.23</v>
      </c>
      <c r="L416" s="226">
        <v>0</v>
      </c>
      <c r="M416" s="270">
        <v>0</v>
      </c>
      <c r="N416" s="270">
        <v>-31299.98</v>
      </c>
    </row>
    <row r="417" spans="1:14">
      <c r="A417" s="276" t="s">
        <v>1057</v>
      </c>
      <c r="B417" s="277" t="s">
        <v>1087</v>
      </c>
      <c r="C417" s="226" t="s">
        <v>756</v>
      </c>
      <c r="D417" s="226" t="s">
        <v>688</v>
      </c>
      <c r="E417" s="226">
        <v>30522428163</v>
      </c>
      <c r="F417" s="270">
        <v>-103461.04</v>
      </c>
      <c r="G417" s="270">
        <v>0</v>
      </c>
      <c r="H417" s="226">
        <v>0</v>
      </c>
      <c r="I417" s="226">
        <v>0</v>
      </c>
      <c r="J417" s="226">
        <v>0</v>
      </c>
      <c r="K417" s="226">
        <v>-21726.82</v>
      </c>
      <c r="L417" s="226">
        <v>0</v>
      </c>
      <c r="M417" s="270">
        <v>0</v>
      </c>
      <c r="N417" s="270">
        <v>-125187.86</v>
      </c>
    </row>
    <row r="418" spans="1:14">
      <c r="A418" s="276" t="s">
        <v>1057</v>
      </c>
      <c r="B418" s="277" t="s">
        <v>1088</v>
      </c>
      <c r="C418" s="226" t="s">
        <v>756</v>
      </c>
      <c r="D418" s="226" t="s">
        <v>688</v>
      </c>
      <c r="E418" s="226">
        <v>30522428163</v>
      </c>
      <c r="F418" s="270">
        <v>-59427.040000000001</v>
      </c>
      <c r="G418" s="270">
        <v>0</v>
      </c>
      <c r="H418" s="226">
        <v>0</v>
      </c>
      <c r="I418" s="226">
        <v>0</v>
      </c>
      <c r="J418" s="226">
        <v>0</v>
      </c>
      <c r="K418" s="226">
        <v>-12479.68</v>
      </c>
      <c r="L418" s="226">
        <v>0</v>
      </c>
      <c r="M418" s="270">
        <v>0</v>
      </c>
      <c r="N418" s="270">
        <v>-71906.720000000001</v>
      </c>
    </row>
    <row r="419" spans="1:14">
      <c r="A419" s="276" t="s">
        <v>1057</v>
      </c>
      <c r="B419" s="277" t="s">
        <v>1089</v>
      </c>
      <c r="C419" s="226" t="s">
        <v>756</v>
      </c>
      <c r="D419" s="226" t="s">
        <v>688</v>
      </c>
      <c r="E419" s="226">
        <v>30522428163</v>
      </c>
      <c r="F419" s="270">
        <v>-812180.69</v>
      </c>
      <c r="G419" s="270">
        <v>0</v>
      </c>
      <c r="H419" s="226">
        <v>0</v>
      </c>
      <c r="I419" s="226">
        <v>0</v>
      </c>
      <c r="J419" s="226">
        <v>0</v>
      </c>
      <c r="K419" s="226">
        <v>-170557.94</v>
      </c>
      <c r="L419" s="226">
        <v>0</v>
      </c>
      <c r="M419" s="270">
        <v>0</v>
      </c>
      <c r="N419" s="270">
        <v>-982738.63</v>
      </c>
    </row>
    <row r="420" spans="1:14">
      <c r="A420" s="276" t="s">
        <v>1057</v>
      </c>
      <c r="B420" s="277" t="s">
        <v>1090</v>
      </c>
      <c r="C420" s="226" t="s">
        <v>756</v>
      </c>
      <c r="D420" s="226" t="s">
        <v>688</v>
      </c>
      <c r="E420" s="226">
        <v>30522428163</v>
      </c>
      <c r="F420" s="270">
        <v>-9181.98</v>
      </c>
      <c r="G420" s="270">
        <v>0</v>
      </c>
      <c r="H420" s="226">
        <v>0</v>
      </c>
      <c r="I420" s="226">
        <v>0</v>
      </c>
      <c r="J420" s="226">
        <v>0</v>
      </c>
      <c r="K420" s="226">
        <v>-1928.22</v>
      </c>
      <c r="L420" s="226">
        <v>0</v>
      </c>
      <c r="M420" s="270">
        <v>0</v>
      </c>
      <c r="N420" s="270">
        <v>-11110.2</v>
      </c>
    </row>
    <row r="421" spans="1:14">
      <c r="A421" s="276" t="s">
        <v>653</v>
      </c>
      <c r="B421" s="277" t="s">
        <v>654</v>
      </c>
      <c r="C421" s="226" t="s">
        <v>655</v>
      </c>
      <c r="D421" s="226" t="s">
        <v>656</v>
      </c>
      <c r="E421" s="226" t="s">
        <v>657</v>
      </c>
      <c r="F421" s="270">
        <v>-14462.81</v>
      </c>
      <c r="G421" s="270">
        <v>0</v>
      </c>
      <c r="H421" s="226">
        <v>0</v>
      </c>
      <c r="I421" s="226">
        <v>0</v>
      </c>
      <c r="J421" s="226">
        <v>0</v>
      </c>
      <c r="K421" s="226">
        <v>-3037.19</v>
      </c>
      <c r="L421" s="226">
        <v>0</v>
      </c>
      <c r="M421" s="270">
        <v>0</v>
      </c>
      <c r="N421" s="270">
        <v>-17500</v>
      </c>
    </row>
    <row r="422" spans="1:14">
      <c r="A422" s="276" t="s">
        <v>876</v>
      </c>
      <c r="B422" s="277" t="s">
        <v>877</v>
      </c>
      <c r="C422" s="226" t="s">
        <v>655</v>
      </c>
      <c r="D422" s="226" t="s">
        <v>656</v>
      </c>
      <c r="E422" s="226" t="s">
        <v>657</v>
      </c>
      <c r="F422" s="270">
        <v>-78512.400000000009</v>
      </c>
      <c r="G422" s="270">
        <v>0</v>
      </c>
      <c r="H422" s="226">
        <v>0</v>
      </c>
      <c r="I422" s="226">
        <v>0</v>
      </c>
      <c r="J422" s="226">
        <v>0</v>
      </c>
      <c r="K422" s="226">
        <v>-16487.599999999999</v>
      </c>
      <c r="L422" s="226">
        <v>0</v>
      </c>
      <c r="M422" s="270">
        <v>0</v>
      </c>
      <c r="N422" s="270">
        <v>-95000</v>
      </c>
    </row>
    <row r="423" spans="1:14">
      <c r="A423" s="276" t="s">
        <v>1098</v>
      </c>
      <c r="B423" s="277" t="s">
        <v>1113</v>
      </c>
      <c r="C423" s="226" t="s">
        <v>739</v>
      </c>
      <c r="D423" s="226" t="s">
        <v>730</v>
      </c>
      <c r="E423" s="226">
        <v>30590354798</v>
      </c>
      <c r="F423" s="270">
        <v>-8677.69</v>
      </c>
      <c r="G423" s="270">
        <v>0</v>
      </c>
      <c r="H423" s="226">
        <v>0</v>
      </c>
      <c r="I423" s="226">
        <v>0</v>
      </c>
      <c r="J423" s="226">
        <v>0</v>
      </c>
      <c r="K423" s="226">
        <v>-1822.31</v>
      </c>
      <c r="L423" s="226">
        <v>0</v>
      </c>
      <c r="M423" s="270">
        <v>0</v>
      </c>
      <c r="N423" s="270">
        <v>-10500</v>
      </c>
    </row>
    <row r="424" spans="1:14">
      <c r="A424" s="275" t="s">
        <v>1165</v>
      </c>
      <c r="B424" s="275" t="s">
        <v>1166</v>
      </c>
      <c r="C424" s="275" t="s">
        <v>1167</v>
      </c>
      <c r="D424" s="275" t="s">
        <v>1168</v>
      </c>
      <c r="E424" s="275" t="s">
        <v>1169</v>
      </c>
      <c r="F424" s="278">
        <f>SUM(F5:F423)</f>
        <v>54456802.790000118</v>
      </c>
      <c r="G424" s="278">
        <f ca="1">SUM(OFFSET($A$1,5,COLUMN()-1):OFFSET($A$1,ROW()-2,COLUMN()-1))</f>
        <v>0</v>
      </c>
      <c r="H424" s="278">
        <f ca="1">SUM(OFFSET($A$1,5,COLUMN()-1):OFFSET($A$1,ROW()-2,COLUMN()-1))</f>
        <v>0</v>
      </c>
      <c r="I424" s="278">
        <f ca="1">SUM(OFFSET($A$1,5,COLUMN()-1):OFFSET($A$1,ROW()-2,COLUMN()-1))</f>
        <v>0</v>
      </c>
      <c r="J424" s="278">
        <f ca="1">SUM(OFFSET($A$1,5,COLUMN()-1):OFFSET($A$1,ROW()-2,COLUMN()-1))</f>
        <v>0</v>
      </c>
      <c r="K424" s="278">
        <f>SUM(K5:K423)</f>
        <v>11435928.84000003</v>
      </c>
      <c r="L424" s="278">
        <f ca="1">SUM(OFFSET($A$1,5,COLUMN()-1):OFFSET($A$1,ROW()-2,COLUMN()-1))</f>
        <v>0</v>
      </c>
      <c r="M424" s="278">
        <f ca="1">SUM(OFFSET($A$1,5,COLUMN()-1):OFFSET($A$1,ROW()-2,COLUMN()-1))</f>
        <v>0</v>
      </c>
      <c r="N424" s="278">
        <f>SUM(N5:N423)</f>
        <v>65892731.629999988</v>
      </c>
    </row>
    <row r="425" spans="1:14" ht="15.75" thickBot="1"/>
    <row r="426" spans="1:14" ht="15.75" thickBot="1">
      <c r="E426" s="294"/>
      <c r="F426" s="295" t="s">
        <v>8</v>
      </c>
      <c r="G426" s="295" t="s">
        <v>1409</v>
      </c>
      <c r="H426" s="296" t="s">
        <v>4</v>
      </c>
    </row>
    <row r="427" spans="1:14" ht="15.75" thickBot="1">
      <c r="E427" s="299" t="s">
        <v>26</v>
      </c>
      <c r="F427" s="300">
        <f>SUM(F5:F65)+SUM(F405:F420)</f>
        <v>18508060.109999992</v>
      </c>
      <c r="G427" s="301">
        <f>F427*21/100</f>
        <v>3886692.6230999981</v>
      </c>
      <c r="H427" s="302">
        <f>G427+F427</f>
        <v>22394752.73309999</v>
      </c>
    </row>
    <row r="428" spans="1:14" ht="15.75" thickBot="1">
      <c r="E428" s="298" t="s">
        <v>27</v>
      </c>
      <c r="F428" s="300">
        <f>SUM(F66:F404)+SUM(F421:F423)</f>
        <v>35948742.68</v>
      </c>
      <c r="G428" s="305">
        <f>F428*21/100</f>
        <v>7549235.9627999999</v>
      </c>
      <c r="H428" s="306">
        <f>G428+F428</f>
        <v>43497978.642800003</v>
      </c>
    </row>
    <row r="429" spans="1:14" ht="15.75" thickBot="1">
      <c r="E429" s="297" t="s">
        <v>4</v>
      </c>
      <c r="F429" s="303">
        <f t="shared" ref="F429:G429" si="0">F428+F427</f>
        <v>54456802.789999992</v>
      </c>
      <c r="G429" s="303">
        <f t="shared" si="0"/>
        <v>11435928.585899998</v>
      </c>
      <c r="H429" s="304">
        <f>H428+H427</f>
        <v>65892731.375899993</v>
      </c>
    </row>
  </sheetData>
  <sortState ref="A5:N423">
    <sortCondition ref="B5:B423"/>
  </sortState>
  <pageMargins left="0.7" right="0.7" top="0.75" bottom="0.75" header="0.3" footer="0.3"/>
  <ignoredErrors>
    <ignoredError sqref="K4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Q172"/>
  <sheetViews>
    <sheetView tabSelected="1" zoomScale="90" zoomScaleNormal="90" workbookViewId="0">
      <selection activeCell="C120" sqref="C120"/>
    </sheetView>
  </sheetViews>
  <sheetFormatPr baseColWidth="10" defaultRowHeight="15"/>
  <cols>
    <col min="1" max="1" width="8.7109375" customWidth="1"/>
    <col min="2" max="2" width="17.85546875" customWidth="1"/>
    <col min="3" max="3" width="21.85546875" customWidth="1"/>
    <col min="4" max="4" width="21.7109375" hidden="1" customWidth="1"/>
    <col min="5" max="5" width="12.28515625" customWidth="1"/>
    <col min="6" max="6" width="10.85546875" customWidth="1"/>
    <col min="7" max="7" width="11.5703125" customWidth="1"/>
    <col min="8" max="8" width="16.42578125" hidden="1" customWidth="1"/>
    <col min="9" max="9" width="9.7109375" hidden="1" customWidth="1"/>
    <col min="10" max="10" width="10.42578125" customWidth="1"/>
    <col min="11" max="11" width="9.7109375" customWidth="1"/>
    <col min="12" max="12" width="8.7109375" customWidth="1"/>
    <col min="13" max="13" width="9.85546875" customWidth="1"/>
    <col min="14" max="14" width="15.85546875" bestFit="1" customWidth="1"/>
  </cols>
  <sheetData>
    <row r="1" spans="1:14">
      <c r="A1" s="279" t="s">
        <v>657</v>
      </c>
    </row>
    <row r="2" spans="1:14" ht="18">
      <c r="A2" s="271" t="s">
        <v>1172</v>
      </c>
    </row>
    <row r="3" spans="1:14" ht="15.75">
      <c r="A3" s="272" t="s">
        <v>642</v>
      </c>
      <c r="L3" s="273"/>
    </row>
    <row r="5" spans="1:14">
      <c r="A5" s="274" t="s">
        <v>102</v>
      </c>
      <c r="B5" s="274" t="s">
        <v>643</v>
      </c>
      <c r="C5" s="274" t="s">
        <v>644</v>
      </c>
      <c r="D5" s="274" t="s">
        <v>645</v>
      </c>
      <c r="E5" s="274" t="s">
        <v>646</v>
      </c>
      <c r="F5" s="274" t="s">
        <v>647</v>
      </c>
      <c r="G5" s="274" t="s">
        <v>648</v>
      </c>
      <c r="H5" s="274" t="s">
        <v>649</v>
      </c>
      <c r="I5" s="274" t="s">
        <v>650</v>
      </c>
      <c r="J5" s="274" t="s">
        <v>651</v>
      </c>
      <c r="K5" s="274" t="s">
        <v>9</v>
      </c>
      <c r="L5" s="274" t="s">
        <v>10</v>
      </c>
      <c r="M5" s="274" t="s">
        <v>652</v>
      </c>
      <c r="N5" s="274" t="s">
        <v>221</v>
      </c>
    </row>
    <row r="6" spans="1:14" s="311" customFormat="1">
      <c r="A6" s="313">
        <v>45483</v>
      </c>
      <c r="B6" s="314" t="s">
        <v>1240</v>
      </c>
      <c r="C6" s="315" t="s">
        <v>1241</v>
      </c>
      <c r="D6" s="315" t="s">
        <v>688</v>
      </c>
      <c r="E6" s="315">
        <v>30715048066</v>
      </c>
      <c r="F6" s="316">
        <v>807785</v>
      </c>
      <c r="G6" s="316">
        <v>0</v>
      </c>
      <c r="H6" s="315">
        <v>0</v>
      </c>
      <c r="I6" s="315">
        <v>0</v>
      </c>
      <c r="J6" s="315">
        <v>0</v>
      </c>
      <c r="K6" s="315">
        <v>169634.85</v>
      </c>
      <c r="L6" s="315">
        <v>0</v>
      </c>
      <c r="M6" s="316">
        <v>0</v>
      </c>
      <c r="N6" s="316">
        <v>977419.85</v>
      </c>
    </row>
    <row r="7" spans="1:14" s="311" customFormat="1">
      <c r="A7" s="313">
        <v>45475</v>
      </c>
      <c r="B7" s="314" t="s">
        <v>1200</v>
      </c>
      <c r="C7" s="315" t="s">
        <v>1201</v>
      </c>
      <c r="D7" s="315" t="s">
        <v>688</v>
      </c>
      <c r="E7" s="315">
        <v>30717179389</v>
      </c>
      <c r="F7" s="316">
        <v>33884.300000000003</v>
      </c>
      <c r="G7" s="316">
        <v>0</v>
      </c>
      <c r="H7" s="315">
        <v>0</v>
      </c>
      <c r="I7" s="315">
        <v>0</v>
      </c>
      <c r="J7" s="315">
        <v>0</v>
      </c>
      <c r="K7" s="315">
        <v>7115.7</v>
      </c>
      <c r="L7" s="315">
        <v>0</v>
      </c>
      <c r="M7" s="316">
        <v>0</v>
      </c>
      <c r="N7" s="316">
        <v>41000</v>
      </c>
    </row>
    <row r="8" spans="1:14" s="311" customFormat="1">
      <c r="A8" s="313">
        <v>45474</v>
      </c>
      <c r="B8" s="314" t="s">
        <v>1180</v>
      </c>
      <c r="C8" s="315" t="s">
        <v>1181</v>
      </c>
      <c r="D8" s="315" t="s">
        <v>688</v>
      </c>
      <c r="E8" s="315">
        <v>30715141201</v>
      </c>
      <c r="F8" s="316">
        <v>196966.09</v>
      </c>
      <c r="G8" s="316">
        <v>0</v>
      </c>
      <c r="H8" s="315">
        <v>0</v>
      </c>
      <c r="I8" s="315">
        <v>0</v>
      </c>
      <c r="J8" s="315">
        <v>0</v>
      </c>
      <c r="K8" s="315">
        <v>41362.879999999997</v>
      </c>
      <c r="L8" s="315">
        <v>0</v>
      </c>
      <c r="M8" s="316">
        <v>0</v>
      </c>
      <c r="N8" s="316">
        <v>238328.97</v>
      </c>
    </row>
    <row r="9" spans="1:14" s="317" customFormat="1">
      <c r="A9" s="313">
        <v>45490</v>
      </c>
      <c r="B9" s="314" t="s">
        <v>1275</v>
      </c>
      <c r="C9" s="315" t="s">
        <v>1181</v>
      </c>
      <c r="D9" s="315" t="s">
        <v>688</v>
      </c>
      <c r="E9" s="315">
        <v>30715141201</v>
      </c>
      <c r="F9" s="316">
        <v>3092234.25</v>
      </c>
      <c r="G9" s="316">
        <v>0</v>
      </c>
      <c r="H9" s="315">
        <v>0</v>
      </c>
      <c r="I9" s="315">
        <v>0</v>
      </c>
      <c r="J9" s="315">
        <v>0</v>
      </c>
      <c r="K9" s="315">
        <v>649369.19000000006</v>
      </c>
      <c r="L9" s="315">
        <v>0</v>
      </c>
      <c r="M9" s="316">
        <v>0</v>
      </c>
      <c r="N9" s="316">
        <v>3741603.44</v>
      </c>
    </row>
    <row r="10" spans="1:14" s="317" customFormat="1">
      <c r="A10" s="313">
        <v>45490</v>
      </c>
      <c r="B10" s="314" t="s">
        <v>1276</v>
      </c>
      <c r="C10" s="315" t="s">
        <v>1181</v>
      </c>
      <c r="D10" s="315" t="s">
        <v>688</v>
      </c>
      <c r="E10" s="315">
        <v>30715141201</v>
      </c>
      <c r="F10" s="316">
        <v>1426289.07</v>
      </c>
      <c r="G10" s="316">
        <v>0</v>
      </c>
      <c r="H10" s="315">
        <v>0</v>
      </c>
      <c r="I10" s="315">
        <v>0</v>
      </c>
      <c r="J10" s="315">
        <v>0</v>
      </c>
      <c r="K10" s="315">
        <v>299520.7</v>
      </c>
      <c r="L10" s="315">
        <v>0</v>
      </c>
      <c r="M10" s="316">
        <v>0</v>
      </c>
      <c r="N10" s="316">
        <v>1725809.77</v>
      </c>
    </row>
    <row r="11" spans="1:14" s="317" customFormat="1">
      <c r="A11" s="313">
        <v>45490</v>
      </c>
      <c r="B11" s="314" t="s">
        <v>1277</v>
      </c>
      <c r="C11" s="315" t="s">
        <v>1181</v>
      </c>
      <c r="D11" s="315" t="s">
        <v>688</v>
      </c>
      <c r="E11" s="315">
        <v>30715141201</v>
      </c>
      <c r="F11" s="316">
        <v>364413</v>
      </c>
      <c r="G11" s="316">
        <v>0</v>
      </c>
      <c r="H11" s="315">
        <v>0</v>
      </c>
      <c r="I11" s="315">
        <v>0</v>
      </c>
      <c r="J11" s="315">
        <v>0</v>
      </c>
      <c r="K11" s="315">
        <v>76526.73</v>
      </c>
      <c r="L11" s="315">
        <v>0</v>
      </c>
      <c r="M11" s="316">
        <v>0</v>
      </c>
      <c r="N11" s="316">
        <v>440939.73</v>
      </c>
    </row>
    <row r="12" spans="1:14" s="317" customFormat="1">
      <c r="A12" s="313">
        <v>45490</v>
      </c>
      <c r="B12" s="314" t="s">
        <v>1278</v>
      </c>
      <c r="C12" s="315" t="s">
        <v>1181</v>
      </c>
      <c r="D12" s="315" t="s">
        <v>688</v>
      </c>
      <c r="E12" s="315">
        <v>30715141201</v>
      </c>
      <c r="F12" s="316">
        <v>818170.5</v>
      </c>
      <c r="G12" s="316">
        <v>0</v>
      </c>
      <c r="H12" s="315">
        <v>0</v>
      </c>
      <c r="I12" s="315">
        <v>0</v>
      </c>
      <c r="J12" s="315">
        <v>0</v>
      </c>
      <c r="K12" s="315">
        <v>171815.81</v>
      </c>
      <c r="L12" s="315">
        <v>0</v>
      </c>
      <c r="M12" s="316">
        <v>0</v>
      </c>
      <c r="N12" s="316">
        <v>989986.31</v>
      </c>
    </row>
    <row r="13" spans="1:14" s="317" customFormat="1">
      <c r="A13" s="313">
        <v>45495</v>
      </c>
      <c r="B13" s="314" t="s">
        <v>1293</v>
      </c>
      <c r="C13" s="315" t="s">
        <v>1181</v>
      </c>
      <c r="D13" s="315" t="s">
        <v>688</v>
      </c>
      <c r="E13" s="315">
        <v>30715141201</v>
      </c>
      <c r="F13" s="316">
        <v>3832222.51</v>
      </c>
      <c r="G13" s="316">
        <v>0</v>
      </c>
      <c r="H13" s="315">
        <v>0</v>
      </c>
      <c r="I13" s="315">
        <v>0</v>
      </c>
      <c r="J13" s="315">
        <v>0</v>
      </c>
      <c r="K13" s="315">
        <v>804766.73</v>
      </c>
      <c r="L13" s="315">
        <v>0</v>
      </c>
      <c r="M13" s="316">
        <v>0</v>
      </c>
      <c r="N13" s="316">
        <v>4636989.24</v>
      </c>
    </row>
    <row r="14" spans="1:14" s="317" customFormat="1">
      <c r="A14" s="313">
        <v>45496</v>
      </c>
      <c r="B14" s="314" t="s">
        <v>1307</v>
      </c>
      <c r="C14" s="315" t="s">
        <v>1181</v>
      </c>
      <c r="D14" s="315" t="s">
        <v>688</v>
      </c>
      <c r="E14" s="315">
        <v>30715141201</v>
      </c>
      <c r="F14" s="316">
        <v>1365747</v>
      </c>
      <c r="G14" s="316">
        <v>0</v>
      </c>
      <c r="H14" s="315">
        <v>0</v>
      </c>
      <c r="I14" s="315">
        <v>0</v>
      </c>
      <c r="J14" s="315">
        <v>0</v>
      </c>
      <c r="K14" s="315">
        <v>286806.87</v>
      </c>
      <c r="L14" s="315">
        <v>0</v>
      </c>
      <c r="M14" s="316">
        <v>0</v>
      </c>
      <c r="N14" s="316">
        <v>1652553.87</v>
      </c>
    </row>
    <row r="15" spans="1:14">
      <c r="A15" s="313">
        <v>45502</v>
      </c>
      <c r="B15" s="314" t="s">
        <v>1323</v>
      </c>
      <c r="C15" s="315" t="s">
        <v>1181</v>
      </c>
      <c r="D15" s="315" t="s">
        <v>688</v>
      </c>
      <c r="E15" s="315">
        <v>30715141201</v>
      </c>
      <c r="F15" s="316">
        <v>2047644.3</v>
      </c>
      <c r="G15" s="316">
        <v>0</v>
      </c>
      <c r="H15" s="315">
        <v>0</v>
      </c>
      <c r="I15" s="315">
        <v>0</v>
      </c>
      <c r="J15" s="315">
        <v>0</v>
      </c>
      <c r="K15" s="315">
        <v>430005.3</v>
      </c>
      <c r="L15" s="315">
        <v>0</v>
      </c>
      <c r="M15" s="316">
        <v>0</v>
      </c>
      <c r="N15" s="316">
        <v>2477649.6</v>
      </c>
    </row>
    <row r="16" spans="1:14">
      <c r="A16" s="313">
        <v>45499</v>
      </c>
      <c r="B16" s="314" t="s">
        <v>1320</v>
      </c>
      <c r="C16" s="315" t="s">
        <v>1321</v>
      </c>
      <c r="D16" s="315" t="s">
        <v>688</v>
      </c>
      <c r="E16" s="315">
        <v>27243660535</v>
      </c>
      <c r="F16" s="316">
        <v>360000</v>
      </c>
      <c r="G16" s="316">
        <v>0</v>
      </c>
      <c r="H16" s="315">
        <v>0</v>
      </c>
      <c r="I16" s="315">
        <v>0</v>
      </c>
      <c r="J16" s="315">
        <v>0</v>
      </c>
      <c r="K16" s="315">
        <v>75600</v>
      </c>
      <c r="L16" s="315">
        <v>0</v>
      </c>
      <c r="M16" s="316">
        <v>0</v>
      </c>
      <c r="N16" s="316">
        <v>435600</v>
      </c>
    </row>
    <row r="17" spans="1:14">
      <c r="A17" s="313">
        <v>45474</v>
      </c>
      <c r="B17" s="314" t="s">
        <v>1182</v>
      </c>
      <c r="C17" s="315" t="s">
        <v>1183</v>
      </c>
      <c r="D17" s="315" t="s">
        <v>688</v>
      </c>
      <c r="E17" s="315">
        <v>30605344352</v>
      </c>
      <c r="F17" s="316">
        <v>834000</v>
      </c>
      <c r="G17" s="316">
        <v>0</v>
      </c>
      <c r="H17" s="315">
        <v>0</v>
      </c>
      <c r="I17" s="315">
        <v>0</v>
      </c>
      <c r="J17" s="315">
        <v>0</v>
      </c>
      <c r="K17" s="315">
        <v>175140</v>
      </c>
      <c r="L17" s="315">
        <v>0</v>
      </c>
      <c r="M17" s="316">
        <v>0</v>
      </c>
      <c r="N17" s="316">
        <v>1009140</v>
      </c>
    </row>
    <row r="18" spans="1:14">
      <c r="A18" s="313">
        <v>45477</v>
      </c>
      <c r="B18" s="314" t="s">
        <v>1214</v>
      </c>
      <c r="C18" s="315" t="s">
        <v>1215</v>
      </c>
      <c r="D18" s="315" t="s">
        <v>688</v>
      </c>
      <c r="E18" s="315">
        <v>20272865869</v>
      </c>
      <c r="F18" s="316">
        <v>68690</v>
      </c>
      <c r="G18" s="316">
        <v>0</v>
      </c>
      <c r="H18" s="315">
        <v>0</v>
      </c>
      <c r="I18" s="315">
        <v>0</v>
      </c>
      <c r="J18" s="315">
        <v>0</v>
      </c>
      <c r="K18" s="315">
        <v>14424.9</v>
      </c>
      <c r="L18" s="315">
        <v>0</v>
      </c>
      <c r="M18" s="316">
        <v>0</v>
      </c>
      <c r="N18" s="316">
        <v>83114.900000000009</v>
      </c>
    </row>
    <row r="19" spans="1:14">
      <c r="A19" s="313">
        <v>45484</v>
      </c>
      <c r="B19" s="314" t="s">
        <v>1249</v>
      </c>
      <c r="C19" s="315" t="s">
        <v>1215</v>
      </c>
      <c r="D19" s="315" t="s">
        <v>688</v>
      </c>
      <c r="E19" s="315">
        <v>20272865869</v>
      </c>
      <c r="F19" s="316">
        <v>112550</v>
      </c>
      <c r="G19" s="316">
        <v>0</v>
      </c>
      <c r="H19" s="315">
        <v>0</v>
      </c>
      <c r="I19" s="315">
        <v>0</v>
      </c>
      <c r="J19" s="315">
        <v>0</v>
      </c>
      <c r="K19" s="315">
        <v>23635.5</v>
      </c>
      <c r="L19" s="315">
        <v>0</v>
      </c>
      <c r="M19" s="316">
        <v>0</v>
      </c>
      <c r="N19" s="316">
        <v>136185.5</v>
      </c>
    </row>
    <row r="20" spans="1:14" s="317" customFormat="1">
      <c r="A20" s="313">
        <v>45491</v>
      </c>
      <c r="B20" s="314" t="s">
        <v>1281</v>
      </c>
      <c r="C20" s="315" t="s">
        <v>1215</v>
      </c>
      <c r="D20" s="315" t="s">
        <v>688</v>
      </c>
      <c r="E20" s="315">
        <v>20272865869</v>
      </c>
      <c r="F20" s="316">
        <v>154557.51999999999</v>
      </c>
      <c r="G20" s="316">
        <v>0</v>
      </c>
      <c r="H20" s="315">
        <v>0</v>
      </c>
      <c r="I20" s="315">
        <v>0</v>
      </c>
      <c r="J20" s="315">
        <v>0</v>
      </c>
      <c r="K20" s="315">
        <v>32457.08</v>
      </c>
      <c r="L20" s="315">
        <v>0</v>
      </c>
      <c r="M20" s="316">
        <v>0</v>
      </c>
      <c r="N20" s="316">
        <v>187014.6</v>
      </c>
    </row>
    <row r="21" spans="1:14" s="317" customFormat="1">
      <c r="A21" s="313">
        <v>45498</v>
      </c>
      <c r="B21" s="314" t="s">
        <v>1318</v>
      </c>
      <c r="C21" s="315" t="s">
        <v>1215</v>
      </c>
      <c r="D21" s="315" t="s">
        <v>688</v>
      </c>
      <c r="E21" s="315">
        <v>20272865869</v>
      </c>
      <c r="F21" s="316">
        <v>183460</v>
      </c>
      <c r="G21" s="316">
        <v>0</v>
      </c>
      <c r="H21" s="315">
        <v>0</v>
      </c>
      <c r="I21" s="315">
        <v>0</v>
      </c>
      <c r="J21" s="315">
        <v>0</v>
      </c>
      <c r="K21" s="315">
        <v>38526.6</v>
      </c>
      <c r="L21" s="315">
        <v>0</v>
      </c>
      <c r="M21" s="316">
        <v>0</v>
      </c>
      <c r="N21" s="316">
        <v>221986.6</v>
      </c>
    </row>
    <row r="22" spans="1:14" s="317" customFormat="1">
      <c r="A22" s="313">
        <v>45477</v>
      </c>
      <c r="B22" s="314" t="s">
        <v>1216</v>
      </c>
      <c r="C22" s="315" t="s">
        <v>1217</v>
      </c>
      <c r="D22" s="315" t="s">
        <v>688</v>
      </c>
      <c r="E22" s="315">
        <v>30595553535</v>
      </c>
      <c r="F22" s="316">
        <v>3305.79</v>
      </c>
      <c r="G22" s="316">
        <v>0</v>
      </c>
      <c r="H22" s="315">
        <v>0</v>
      </c>
      <c r="I22" s="315">
        <v>0</v>
      </c>
      <c r="J22" s="315">
        <v>0</v>
      </c>
      <c r="K22" s="315">
        <v>694.22</v>
      </c>
      <c r="L22" s="315">
        <v>0</v>
      </c>
      <c r="M22" s="316">
        <v>0</v>
      </c>
      <c r="N22" s="316">
        <v>4000.01</v>
      </c>
    </row>
    <row r="23" spans="1:14" s="317" customFormat="1">
      <c r="A23" s="313">
        <v>45495</v>
      </c>
      <c r="B23" s="314" t="s">
        <v>1295</v>
      </c>
      <c r="C23" s="315" t="s">
        <v>1296</v>
      </c>
      <c r="D23" s="315" t="s">
        <v>688</v>
      </c>
      <c r="E23" s="315">
        <v>23076996989</v>
      </c>
      <c r="F23" s="316">
        <v>50413.22</v>
      </c>
      <c r="G23" s="316">
        <v>0</v>
      </c>
      <c r="H23" s="315">
        <v>0</v>
      </c>
      <c r="I23" s="315">
        <v>0</v>
      </c>
      <c r="J23" s="315">
        <v>0</v>
      </c>
      <c r="K23" s="315">
        <v>10586.78</v>
      </c>
      <c r="L23" s="315">
        <v>0</v>
      </c>
      <c r="M23" s="316">
        <v>0</v>
      </c>
      <c r="N23" s="316">
        <v>61000</v>
      </c>
    </row>
    <row r="24" spans="1:14" s="317" customFormat="1">
      <c r="A24" s="313">
        <v>45496</v>
      </c>
      <c r="B24" s="314" t="s">
        <v>1308</v>
      </c>
      <c r="C24" s="315" t="s">
        <v>1296</v>
      </c>
      <c r="D24" s="315" t="s">
        <v>688</v>
      </c>
      <c r="E24" s="315">
        <v>23076996989</v>
      </c>
      <c r="F24" s="316">
        <v>12892.56</v>
      </c>
      <c r="G24" s="316">
        <v>0</v>
      </c>
      <c r="H24" s="315">
        <v>0</v>
      </c>
      <c r="I24" s="315">
        <v>0</v>
      </c>
      <c r="J24" s="315">
        <v>0</v>
      </c>
      <c r="K24" s="315">
        <v>2707.44</v>
      </c>
      <c r="L24" s="315">
        <v>0</v>
      </c>
      <c r="M24" s="316">
        <v>0</v>
      </c>
      <c r="N24" s="316">
        <v>15600</v>
      </c>
    </row>
    <row r="25" spans="1:14" s="317" customFormat="1">
      <c r="A25" s="313">
        <v>45474</v>
      </c>
      <c r="B25" s="314" t="s">
        <v>1188</v>
      </c>
      <c r="C25" s="315" t="s">
        <v>1189</v>
      </c>
      <c r="D25" s="315" t="s">
        <v>688</v>
      </c>
      <c r="E25" s="315">
        <v>30526492281</v>
      </c>
      <c r="F25" s="316">
        <v>323348</v>
      </c>
      <c r="G25" s="316">
        <v>0</v>
      </c>
      <c r="H25" s="315">
        <v>0</v>
      </c>
      <c r="I25" s="315">
        <v>0</v>
      </c>
      <c r="J25" s="315">
        <v>0</v>
      </c>
      <c r="K25" s="315">
        <v>67903.08</v>
      </c>
      <c r="L25" s="315">
        <v>0</v>
      </c>
      <c r="M25" s="316">
        <v>0</v>
      </c>
      <c r="N25" s="316">
        <v>391251.08</v>
      </c>
    </row>
    <row r="26" spans="1:14" s="317" customFormat="1">
      <c r="A26" s="313">
        <v>45495</v>
      </c>
      <c r="B26" s="314" t="s">
        <v>1297</v>
      </c>
      <c r="C26" s="315" t="s">
        <v>1298</v>
      </c>
      <c r="D26" s="315" t="s">
        <v>688</v>
      </c>
      <c r="E26" s="315">
        <v>30714721441</v>
      </c>
      <c r="F26" s="316">
        <v>82336.59</v>
      </c>
      <c r="G26" s="316">
        <v>0</v>
      </c>
      <c r="H26" s="315">
        <v>0</v>
      </c>
      <c r="I26" s="315">
        <v>0</v>
      </c>
      <c r="J26" s="315">
        <v>0</v>
      </c>
      <c r="K26" s="315">
        <v>17290.68</v>
      </c>
      <c r="L26" s="315">
        <v>0</v>
      </c>
      <c r="M26" s="316">
        <v>0</v>
      </c>
      <c r="N26" s="316">
        <v>99627.27</v>
      </c>
    </row>
    <row r="27" spans="1:14" s="317" customFormat="1">
      <c r="A27" s="313">
        <v>45477</v>
      </c>
      <c r="B27" s="314" t="s">
        <v>1218</v>
      </c>
      <c r="C27" s="315" t="s">
        <v>1219</v>
      </c>
      <c r="D27" s="315" t="s">
        <v>688</v>
      </c>
      <c r="E27" s="315">
        <v>30577744579</v>
      </c>
      <c r="F27" s="316">
        <v>8664.3700000000008</v>
      </c>
      <c r="G27" s="316">
        <v>0</v>
      </c>
      <c r="H27" s="315">
        <v>0</v>
      </c>
      <c r="I27" s="315">
        <v>0</v>
      </c>
      <c r="J27" s="315">
        <v>0</v>
      </c>
      <c r="K27" s="315">
        <v>1819.52</v>
      </c>
      <c r="L27" s="315">
        <v>0</v>
      </c>
      <c r="M27" s="316">
        <v>0</v>
      </c>
      <c r="N27" s="316">
        <v>10483.89</v>
      </c>
    </row>
    <row r="28" spans="1:14" s="317" customFormat="1">
      <c r="A28" s="313">
        <v>45496</v>
      </c>
      <c r="B28" s="314" t="s">
        <v>1309</v>
      </c>
      <c r="C28" s="315" t="s">
        <v>1310</v>
      </c>
      <c r="D28" s="315" t="s">
        <v>688</v>
      </c>
      <c r="E28" s="315">
        <v>20317488476</v>
      </c>
      <c r="F28" s="316">
        <v>1750000</v>
      </c>
      <c r="G28" s="316">
        <v>0</v>
      </c>
      <c r="H28" s="315">
        <v>0</v>
      </c>
      <c r="I28" s="315">
        <v>0</v>
      </c>
      <c r="J28" s="315">
        <v>0</v>
      </c>
      <c r="K28" s="315">
        <v>367500</v>
      </c>
      <c r="L28" s="315">
        <v>0</v>
      </c>
      <c r="M28" s="316">
        <v>0</v>
      </c>
      <c r="N28" s="316">
        <v>2117500</v>
      </c>
    </row>
    <row r="29" spans="1:14">
      <c r="A29" s="313">
        <v>45498</v>
      </c>
      <c r="B29" s="314" t="s">
        <v>1319</v>
      </c>
      <c r="C29" s="315" t="s">
        <v>1310</v>
      </c>
      <c r="D29" s="315" t="s">
        <v>688</v>
      </c>
      <c r="E29" s="315">
        <v>20317488476</v>
      </c>
      <c r="F29" s="316">
        <v>900000</v>
      </c>
      <c r="G29" s="316">
        <v>0</v>
      </c>
      <c r="H29" s="315">
        <v>0</v>
      </c>
      <c r="I29" s="315">
        <v>0</v>
      </c>
      <c r="J29" s="315">
        <v>0</v>
      </c>
      <c r="K29" s="315">
        <v>189000</v>
      </c>
      <c r="L29" s="315">
        <v>0</v>
      </c>
      <c r="M29" s="316">
        <v>0</v>
      </c>
      <c r="N29" s="316">
        <v>1089000</v>
      </c>
    </row>
    <row r="30" spans="1:14" s="317" customFormat="1">
      <c r="A30" s="313">
        <v>45481</v>
      </c>
      <c r="B30" s="314" t="s">
        <v>1235</v>
      </c>
      <c r="C30" s="315" t="s">
        <v>1236</v>
      </c>
      <c r="D30" s="315" t="s">
        <v>688</v>
      </c>
      <c r="E30" s="315">
        <v>30561769644</v>
      </c>
      <c r="F30" s="316">
        <v>84462.81</v>
      </c>
      <c r="G30" s="316">
        <v>0</v>
      </c>
      <c r="H30" s="315">
        <v>0</v>
      </c>
      <c r="I30" s="315">
        <v>0</v>
      </c>
      <c r="J30" s="315">
        <v>0</v>
      </c>
      <c r="K30" s="315">
        <v>17737.189999999999</v>
      </c>
      <c r="L30" s="315">
        <v>0</v>
      </c>
      <c r="M30" s="316">
        <v>0</v>
      </c>
      <c r="N30" s="316">
        <v>102200</v>
      </c>
    </row>
    <row r="31" spans="1:14" s="317" customFormat="1">
      <c r="A31" s="313">
        <v>45483</v>
      </c>
      <c r="B31" s="314" t="s">
        <v>1356</v>
      </c>
      <c r="C31" s="315" t="s">
        <v>1236</v>
      </c>
      <c r="D31" s="315" t="s">
        <v>688</v>
      </c>
      <c r="E31" s="315">
        <v>30561769644</v>
      </c>
      <c r="F31" s="316">
        <v>77975.210000000006</v>
      </c>
      <c r="G31" s="316">
        <v>0</v>
      </c>
      <c r="H31" s="315">
        <v>0</v>
      </c>
      <c r="I31" s="315">
        <v>0</v>
      </c>
      <c r="J31" s="315">
        <v>0</v>
      </c>
      <c r="K31" s="315">
        <v>16374.79</v>
      </c>
      <c r="L31" s="315">
        <v>0</v>
      </c>
      <c r="M31" s="316">
        <v>0</v>
      </c>
      <c r="N31" s="316">
        <v>94350</v>
      </c>
    </row>
    <row r="32" spans="1:14" s="317" customFormat="1">
      <c r="A32" s="313">
        <v>45495</v>
      </c>
      <c r="B32" s="314" t="s">
        <v>1299</v>
      </c>
      <c r="C32" s="315" t="s">
        <v>1236</v>
      </c>
      <c r="D32" s="315" t="s">
        <v>688</v>
      </c>
      <c r="E32" s="315">
        <v>30561769644</v>
      </c>
      <c r="F32" s="316">
        <v>79338.850000000006</v>
      </c>
      <c r="G32" s="316">
        <v>0</v>
      </c>
      <c r="H32" s="315">
        <v>0</v>
      </c>
      <c r="I32" s="315">
        <v>0</v>
      </c>
      <c r="J32" s="315">
        <v>0</v>
      </c>
      <c r="K32" s="315">
        <v>16661.16</v>
      </c>
      <c r="L32" s="315">
        <v>0</v>
      </c>
      <c r="M32" s="316">
        <v>0</v>
      </c>
      <c r="N32" s="316">
        <v>96000.01</v>
      </c>
    </row>
    <row r="33" spans="1:14" s="317" customFormat="1">
      <c r="A33" s="313">
        <v>45493</v>
      </c>
      <c r="B33" s="314" t="s">
        <v>1291</v>
      </c>
      <c r="C33" s="315" t="s">
        <v>472</v>
      </c>
      <c r="D33" s="315" t="s">
        <v>688</v>
      </c>
      <c r="E33" s="315">
        <v>20929183143</v>
      </c>
      <c r="F33" s="316">
        <v>45000</v>
      </c>
      <c r="G33" s="316">
        <v>0</v>
      </c>
      <c r="H33" s="315">
        <v>0</v>
      </c>
      <c r="I33" s="315">
        <v>0</v>
      </c>
      <c r="J33" s="315">
        <v>0</v>
      </c>
      <c r="K33" s="315">
        <v>9450</v>
      </c>
      <c r="L33" s="315">
        <v>0</v>
      </c>
      <c r="M33" s="316">
        <v>0</v>
      </c>
      <c r="N33" s="316">
        <v>54450</v>
      </c>
    </row>
    <row r="34" spans="1:14" s="317" customFormat="1">
      <c r="A34" s="313">
        <v>45475</v>
      </c>
      <c r="B34" s="314" t="s">
        <v>1202</v>
      </c>
      <c r="C34" s="315" t="s">
        <v>1203</v>
      </c>
      <c r="D34" s="315" t="s">
        <v>688</v>
      </c>
      <c r="E34" s="315">
        <v>30712187316</v>
      </c>
      <c r="F34" s="316">
        <v>324587.48</v>
      </c>
      <c r="G34" s="316">
        <v>0</v>
      </c>
      <c r="H34" s="315">
        <v>0</v>
      </c>
      <c r="I34" s="315">
        <v>0</v>
      </c>
      <c r="J34" s="315">
        <v>0</v>
      </c>
      <c r="K34" s="315">
        <v>68163.37</v>
      </c>
      <c r="L34" s="315">
        <v>0</v>
      </c>
      <c r="M34" s="316">
        <v>0</v>
      </c>
      <c r="N34" s="316">
        <v>392750.85</v>
      </c>
    </row>
    <row r="35" spans="1:14" s="317" customFormat="1">
      <c r="A35" s="313">
        <v>45477</v>
      </c>
      <c r="B35" s="314" t="s">
        <v>1220</v>
      </c>
      <c r="C35" s="315" t="s">
        <v>1203</v>
      </c>
      <c r="D35" s="315" t="s">
        <v>688</v>
      </c>
      <c r="E35" s="315">
        <v>30712187316</v>
      </c>
      <c r="F35" s="316">
        <v>299267.03999999998</v>
      </c>
      <c r="G35" s="316">
        <v>0</v>
      </c>
      <c r="H35" s="315">
        <v>0</v>
      </c>
      <c r="I35" s="315">
        <v>0</v>
      </c>
      <c r="J35" s="315">
        <v>0</v>
      </c>
      <c r="K35" s="315">
        <v>62846.080000000002</v>
      </c>
      <c r="L35" s="315">
        <v>0</v>
      </c>
      <c r="M35" s="316">
        <v>0</v>
      </c>
      <c r="N35" s="316">
        <v>362113.12</v>
      </c>
    </row>
    <row r="36" spans="1:14" s="317" customFormat="1">
      <c r="A36" s="313">
        <v>45478</v>
      </c>
      <c r="B36" s="314" t="s">
        <v>1226</v>
      </c>
      <c r="C36" s="315" t="s">
        <v>1203</v>
      </c>
      <c r="D36" s="315" t="s">
        <v>688</v>
      </c>
      <c r="E36" s="315">
        <v>30712187316</v>
      </c>
      <c r="F36" s="316">
        <v>346836.67</v>
      </c>
      <c r="G36" s="316">
        <v>0</v>
      </c>
      <c r="H36" s="315">
        <v>0</v>
      </c>
      <c r="I36" s="315">
        <v>0</v>
      </c>
      <c r="J36" s="315">
        <v>0</v>
      </c>
      <c r="K36" s="315">
        <v>72835.7</v>
      </c>
      <c r="L36" s="315">
        <v>0</v>
      </c>
      <c r="M36" s="316">
        <v>0</v>
      </c>
      <c r="N36" s="316">
        <v>419672.37</v>
      </c>
    </row>
    <row r="37" spans="1:14" s="317" customFormat="1">
      <c r="A37" s="313">
        <v>45478</v>
      </c>
      <c r="B37" s="314" t="s">
        <v>1227</v>
      </c>
      <c r="C37" s="315" t="s">
        <v>1203</v>
      </c>
      <c r="D37" s="315" t="s">
        <v>688</v>
      </c>
      <c r="E37" s="315">
        <v>30712187316</v>
      </c>
      <c r="F37" s="316">
        <v>302546.78999999998</v>
      </c>
      <c r="G37" s="316">
        <v>0</v>
      </c>
      <c r="H37" s="315">
        <v>0</v>
      </c>
      <c r="I37" s="315">
        <v>0</v>
      </c>
      <c r="J37" s="315">
        <v>0</v>
      </c>
      <c r="K37" s="315">
        <v>63534.83</v>
      </c>
      <c r="L37" s="315">
        <v>0</v>
      </c>
      <c r="M37" s="316">
        <v>0</v>
      </c>
      <c r="N37" s="316">
        <v>366081.62</v>
      </c>
    </row>
    <row r="38" spans="1:14" s="317" customFormat="1">
      <c r="A38" s="313">
        <v>45488</v>
      </c>
      <c r="B38" s="314" t="s">
        <v>1266</v>
      </c>
      <c r="C38" s="315" t="s">
        <v>1203</v>
      </c>
      <c r="D38" s="315" t="s">
        <v>688</v>
      </c>
      <c r="E38" s="315">
        <v>30712187316</v>
      </c>
      <c r="F38" s="316">
        <v>244292.52</v>
      </c>
      <c r="G38" s="316">
        <v>0</v>
      </c>
      <c r="H38" s="315">
        <v>0</v>
      </c>
      <c r="I38" s="315">
        <v>0</v>
      </c>
      <c r="J38" s="315">
        <v>0</v>
      </c>
      <c r="K38" s="315">
        <v>51301.43</v>
      </c>
      <c r="L38" s="315">
        <v>0</v>
      </c>
      <c r="M38" s="316">
        <v>0</v>
      </c>
      <c r="N38" s="316">
        <v>295593.95</v>
      </c>
    </row>
    <row r="39" spans="1:14" s="317" customFormat="1">
      <c r="A39" s="313">
        <v>45490</v>
      </c>
      <c r="B39" s="314" t="s">
        <v>1279</v>
      </c>
      <c r="C39" s="315" t="s">
        <v>1203</v>
      </c>
      <c r="D39" s="315" t="s">
        <v>688</v>
      </c>
      <c r="E39" s="315">
        <v>30712187316</v>
      </c>
      <c r="F39" s="316">
        <v>304974.93</v>
      </c>
      <c r="G39" s="316">
        <v>0</v>
      </c>
      <c r="H39" s="315">
        <v>0</v>
      </c>
      <c r="I39" s="315">
        <v>0</v>
      </c>
      <c r="J39" s="315">
        <v>0</v>
      </c>
      <c r="K39" s="315">
        <v>64044.74</v>
      </c>
      <c r="L39" s="315">
        <v>0</v>
      </c>
      <c r="M39" s="316">
        <v>0</v>
      </c>
      <c r="N39" s="316">
        <v>369019.67</v>
      </c>
    </row>
    <row r="40" spans="1:14" s="317" customFormat="1">
      <c r="A40" s="313">
        <v>45496</v>
      </c>
      <c r="B40" s="314" t="s">
        <v>1312</v>
      </c>
      <c r="C40" s="315" t="s">
        <v>1203</v>
      </c>
      <c r="D40" s="315" t="s">
        <v>688</v>
      </c>
      <c r="E40" s="315">
        <v>30712187316</v>
      </c>
      <c r="F40" s="316">
        <v>44834.92</v>
      </c>
      <c r="G40" s="316">
        <v>0</v>
      </c>
      <c r="H40" s="315">
        <v>0</v>
      </c>
      <c r="I40" s="315">
        <v>0</v>
      </c>
      <c r="J40" s="315">
        <v>0</v>
      </c>
      <c r="K40" s="315">
        <v>9415.33</v>
      </c>
      <c r="L40" s="315">
        <v>0</v>
      </c>
      <c r="M40" s="316">
        <v>0</v>
      </c>
      <c r="N40" s="316">
        <v>54250.25</v>
      </c>
    </row>
    <row r="41" spans="1:14" s="317" customFormat="1">
      <c r="A41" s="313">
        <v>45491</v>
      </c>
      <c r="B41" s="314" t="s">
        <v>1282</v>
      </c>
      <c r="C41" s="315" t="s">
        <v>1283</v>
      </c>
      <c r="D41" s="315" t="s">
        <v>688</v>
      </c>
      <c r="E41" s="315">
        <v>20348485580</v>
      </c>
      <c r="F41" s="316">
        <v>29378.79</v>
      </c>
      <c r="G41" s="316">
        <v>0</v>
      </c>
      <c r="H41" s="315">
        <v>0</v>
      </c>
      <c r="I41" s="315">
        <v>0</v>
      </c>
      <c r="J41" s="315">
        <v>0</v>
      </c>
      <c r="K41" s="315">
        <v>6169.55</v>
      </c>
      <c r="L41" s="315">
        <v>0</v>
      </c>
      <c r="M41" s="316">
        <v>0</v>
      </c>
      <c r="N41" s="316">
        <v>35548.340000000004</v>
      </c>
    </row>
    <row r="42" spans="1:14" s="317" customFormat="1">
      <c r="A42" s="313">
        <v>45481</v>
      </c>
      <c r="B42" s="314" t="s">
        <v>1368</v>
      </c>
      <c r="C42" s="315" t="s">
        <v>1369</v>
      </c>
      <c r="D42" s="315" t="s">
        <v>688</v>
      </c>
      <c r="E42" s="315">
        <v>33693506099</v>
      </c>
      <c r="F42" s="316">
        <v>21413.06</v>
      </c>
      <c r="G42" s="316">
        <v>0</v>
      </c>
      <c r="H42" s="315">
        <v>0</v>
      </c>
      <c r="I42" s="315">
        <v>0</v>
      </c>
      <c r="J42" s="315">
        <v>0</v>
      </c>
      <c r="K42" s="315">
        <v>4496.74</v>
      </c>
      <c r="L42" s="315">
        <v>0</v>
      </c>
      <c r="M42" s="316">
        <v>0</v>
      </c>
      <c r="N42" s="316">
        <v>25909.8</v>
      </c>
    </row>
    <row r="43" spans="1:14">
      <c r="A43" s="313">
        <v>45495</v>
      </c>
      <c r="B43" s="314" t="s">
        <v>1300</v>
      </c>
      <c r="C43" s="315" t="s">
        <v>1301</v>
      </c>
      <c r="D43" s="315" t="s">
        <v>688</v>
      </c>
      <c r="E43" s="315">
        <v>30702652975</v>
      </c>
      <c r="F43" s="316">
        <v>27697.81</v>
      </c>
      <c r="G43" s="316">
        <v>0</v>
      </c>
      <c r="H43" s="315">
        <v>0</v>
      </c>
      <c r="I43" s="315">
        <v>0</v>
      </c>
      <c r="J43" s="315">
        <v>0</v>
      </c>
      <c r="K43" s="315">
        <v>5816.54</v>
      </c>
      <c r="L43" s="315">
        <v>0</v>
      </c>
      <c r="M43" s="316">
        <v>1107.73</v>
      </c>
      <c r="N43" s="316">
        <v>34622.080000000002</v>
      </c>
    </row>
    <row r="44" spans="1:14">
      <c r="A44" s="313">
        <v>45474</v>
      </c>
      <c r="B44" s="314" t="s">
        <v>1194</v>
      </c>
      <c r="C44" s="315" t="s">
        <v>1195</v>
      </c>
      <c r="D44" s="315" t="s">
        <v>688</v>
      </c>
      <c r="E44" s="315">
        <v>20247225243</v>
      </c>
      <c r="F44" s="316">
        <v>69869</v>
      </c>
      <c r="G44" s="316">
        <v>0</v>
      </c>
      <c r="H44" s="315">
        <v>0</v>
      </c>
      <c r="I44" s="315">
        <v>0</v>
      </c>
      <c r="J44" s="315">
        <v>0</v>
      </c>
      <c r="K44" s="315">
        <v>14672.49</v>
      </c>
      <c r="L44" s="315">
        <v>0</v>
      </c>
      <c r="M44" s="316">
        <v>0</v>
      </c>
      <c r="N44" s="316">
        <v>84541.49</v>
      </c>
    </row>
    <row r="45" spans="1:14">
      <c r="A45" s="313">
        <v>45489</v>
      </c>
      <c r="B45" s="314" t="s">
        <v>1271</v>
      </c>
      <c r="C45" s="315" t="s">
        <v>1272</v>
      </c>
      <c r="D45" s="315" t="s">
        <v>688</v>
      </c>
      <c r="E45" s="315">
        <v>30710177658</v>
      </c>
      <c r="F45" s="316">
        <v>101500.8</v>
      </c>
      <c r="G45" s="316">
        <v>0</v>
      </c>
      <c r="H45" s="315">
        <v>0</v>
      </c>
      <c r="I45" s="315">
        <v>0</v>
      </c>
      <c r="J45" s="315">
        <v>0</v>
      </c>
      <c r="K45" s="315">
        <v>21315.17</v>
      </c>
      <c r="L45" s="315">
        <v>0</v>
      </c>
      <c r="M45" s="316">
        <v>0</v>
      </c>
      <c r="N45" s="316">
        <v>122815.97</v>
      </c>
    </row>
    <row r="46" spans="1:14" s="317" customFormat="1">
      <c r="A46" s="313">
        <v>45503</v>
      </c>
      <c r="B46" s="314" t="s">
        <v>1327</v>
      </c>
      <c r="C46" s="315" t="s">
        <v>1272</v>
      </c>
      <c r="D46" s="315" t="s">
        <v>688</v>
      </c>
      <c r="E46" s="315">
        <v>30710177658</v>
      </c>
      <c r="F46" s="316">
        <v>846153.48</v>
      </c>
      <c r="G46" s="316">
        <v>0</v>
      </c>
      <c r="H46" s="315">
        <v>0</v>
      </c>
      <c r="I46" s="315">
        <v>0</v>
      </c>
      <c r="J46" s="315">
        <v>0</v>
      </c>
      <c r="K46" s="315">
        <v>177692.23</v>
      </c>
      <c r="L46" s="315">
        <v>0</v>
      </c>
      <c r="M46" s="316">
        <v>0</v>
      </c>
      <c r="N46" s="316">
        <v>1023845.7100000001</v>
      </c>
    </row>
    <row r="47" spans="1:14" s="317" customFormat="1">
      <c r="A47" s="313">
        <v>45504</v>
      </c>
      <c r="B47" s="314" t="s">
        <v>1332</v>
      </c>
      <c r="C47" s="315" t="s">
        <v>1333</v>
      </c>
      <c r="D47" s="315" t="s">
        <v>688</v>
      </c>
      <c r="E47" s="315">
        <v>30711553564</v>
      </c>
      <c r="F47" s="316">
        <v>975087</v>
      </c>
      <c r="G47" s="316">
        <v>0</v>
      </c>
      <c r="H47" s="315">
        <v>0</v>
      </c>
      <c r="I47" s="315">
        <v>0</v>
      </c>
      <c r="J47" s="315">
        <v>0</v>
      </c>
      <c r="K47" s="315">
        <v>204768.27</v>
      </c>
      <c r="L47" s="315">
        <v>0</v>
      </c>
      <c r="M47" s="316">
        <v>0</v>
      </c>
      <c r="N47" s="316">
        <v>1179855.27</v>
      </c>
    </row>
    <row r="48" spans="1:14">
      <c r="A48" s="313">
        <v>45476</v>
      </c>
      <c r="B48" s="314" t="s">
        <v>1361</v>
      </c>
      <c r="C48" s="315" t="s">
        <v>1257</v>
      </c>
      <c r="D48" s="315" t="s">
        <v>688</v>
      </c>
      <c r="E48" s="315">
        <v>20284183534</v>
      </c>
      <c r="F48" s="316">
        <v>6859.51</v>
      </c>
      <c r="G48" s="316">
        <v>0</v>
      </c>
      <c r="H48" s="315">
        <v>0</v>
      </c>
      <c r="I48" s="315">
        <v>0</v>
      </c>
      <c r="J48" s="315">
        <v>0</v>
      </c>
      <c r="K48" s="315">
        <v>1440.5</v>
      </c>
      <c r="L48" s="315">
        <v>0</v>
      </c>
      <c r="M48" s="316">
        <v>0</v>
      </c>
      <c r="N48" s="316">
        <v>8300.01</v>
      </c>
    </row>
    <row r="49" spans="1:14" s="317" customFormat="1">
      <c r="A49" s="313">
        <v>45485</v>
      </c>
      <c r="B49" s="314" t="s">
        <v>1256</v>
      </c>
      <c r="C49" s="315" t="s">
        <v>1257</v>
      </c>
      <c r="D49" s="315" t="s">
        <v>688</v>
      </c>
      <c r="E49" s="315">
        <v>20284183534</v>
      </c>
      <c r="F49" s="316">
        <v>22214.880000000001</v>
      </c>
      <c r="G49" s="316">
        <v>0</v>
      </c>
      <c r="H49" s="315">
        <v>0</v>
      </c>
      <c r="I49" s="315">
        <v>0</v>
      </c>
      <c r="J49" s="315">
        <v>0</v>
      </c>
      <c r="K49" s="315">
        <v>4665.12</v>
      </c>
      <c r="L49" s="315">
        <v>0</v>
      </c>
      <c r="M49" s="316">
        <v>0</v>
      </c>
      <c r="N49" s="316">
        <v>26880</v>
      </c>
    </row>
    <row r="50" spans="1:14" s="317" customFormat="1">
      <c r="A50" s="313">
        <v>45503</v>
      </c>
      <c r="B50" s="314" t="s">
        <v>1380</v>
      </c>
      <c r="C50" s="315" t="s">
        <v>1257</v>
      </c>
      <c r="D50" s="315" t="s">
        <v>688</v>
      </c>
      <c r="E50" s="315">
        <v>20284183534</v>
      </c>
      <c r="F50" s="316">
        <v>2479.34</v>
      </c>
      <c r="G50" s="316">
        <v>0</v>
      </c>
      <c r="H50" s="315">
        <v>0</v>
      </c>
      <c r="I50" s="315">
        <v>0</v>
      </c>
      <c r="J50" s="315">
        <v>0</v>
      </c>
      <c r="K50" s="315">
        <v>520.66</v>
      </c>
      <c r="L50" s="315">
        <v>0</v>
      </c>
      <c r="M50" s="316">
        <v>0</v>
      </c>
      <c r="N50" s="316">
        <v>3000</v>
      </c>
    </row>
    <row r="51" spans="1:14">
      <c r="A51" s="313">
        <v>45497</v>
      </c>
      <c r="B51" s="314" t="s">
        <v>1316</v>
      </c>
      <c r="C51" s="315" t="s">
        <v>1317</v>
      </c>
      <c r="D51" s="315" t="s">
        <v>688</v>
      </c>
      <c r="E51" s="315">
        <v>20271532483</v>
      </c>
      <c r="F51" s="316">
        <v>13915</v>
      </c>
      <c r="G51" s="316">
        <v>0</v>
      </c>
      <c r="H51" s="315">
        <v>0</v>
      </c>
      <c r="I51" s="315">
        <v>0</v>
      </c>
      <c r="J51" s="315">
        <v>0</v>
      </c>
      <c r="K51" s="315">
        <v>2922.15</v>
      </c>
      <c r="L51" s="315">
        <v>0</v>
      </c>
      <c r="M51" s="316">
        <v>556.6</v>
      </c>
      <c r="N51" s="316">
        <v>17393.75</v>
      </c>
    </row>
    <row r="52" spans="1:14" s="317" customFormat="1">
      <c r="A52" s="313">
        <v>45503</v>
      </c>
      <c r="B52" s="314" t="s">
        <v>1328</v>
      </c>
      <c r="C52" s="315" t="s">
        <v>1329</v>
      </c>
      <c r="D52" s="315" t="s">
        <v>688</v>
      </c>
      <c r="E52" s="315">
        <v>30643518364</v>
      </c>
      <c r="F52" s="316">
        <v>336840</v>
      </c>
      <c r="G52" s="316">
        <v>0</v>
      </c>
      <c r="H52" s="315">
        <v>0</v>
      </c>
      <c r="I52" s="315">
        <v>0</v>
      </c>
      <c r="J52" s="315">
        <v>0</v>
      </c>
      <c r="K52" s="315">
        <v>70736.400000000009</v>
      </c>
      <c r="L52" s="315">
        <v>0</v>
      </c>
      <c r="M52" s="316">
        <v>0</v>
      </c>
      <c r="N52" s="316">
        <v>407576.4</v>
      </c>
    </row>
    <row r="53" spans="1:14" s="311" customFormat="1">
      <c r="A53" s="313">
        <v>45483</v>
      </c>
      <c r="B53" s="314" t="s">
        <v>1242</v>
      </c>
      <c r="C53" s="315" t="s">
        <v>63</v>
      </c>
      <c r="D53" s="315" t="s">
        <v>688</v>
      </c>
      <c r="E53" s="315">
        <v>30708973501</v>
      </c>
      <c r="F53" s="316">
        <v>720517</v>
      </c>
      <c r="G53" s="316">
        <v>0</v>
      </c>
      <c r="H53" s="315">
        <v>0</v>
      </c>
      <c r="I53" s="315">
        <v>0</v>
      </c>
      <c r="J53" s="315">
        <v>0</v>
      </c>
      <c r="K53" s="315">
        <v>151308.57</v>
      </c>
      <c r="L53" s="315">
        <v>0</v>
      </c>
      <c r="M53" s="316">
        <v>0</v>
      </c>
      <c r="N53" s="316">
        <v>871825.57</v>
      </c>
    </row>
    <row r="54" spans="1:14" s="317" customFormat="1">
      <c r="A54" s="313">
        <v>45484</v>
      </c>
      <c r="B54" s="314" t="s">
        <v>1250</v>
      </c>
      <c r="C54" s="315" t="s">
        <v>1251</v>
      </c>
      <c r="D54" s="315" t="s">
        <v>688</v>
      </c>
      <c r="E54" s="315">
        <v>27204269527</v>
      </c>
      <c r="F54" s="316">
        <v>7024.79</v>
      </c>
      <c r="G54" s="316">
        <v>0</v>
      </c>
      <c r="H54" s="315">
        <v>0</v>
      </c>
      <c r="I54" s="315">
        <v>0</v>
      </c>
      <c r="J54" s="315">
        <v>0</v>
      </c>
      <c r="K54" s="315">
        <v>1475.21</v>
      </c>
      <c r="L54" s="315">
        <v>0</v>
      </c>
      <c r="M54" s="316">
        <v>0</v>
      </c>
      <c r="N54" s="316">
        <v>8500</v>
      </c>
    </row>
    <row r="55" spans="1:14" s="317" customFormat="1">
      <c r="A55" s="313">
        <v>45474</v>
      </c>
      <c r="B55" s="314" t="s">
        <v>1196</v>
      </c>
      <c r="C55" s="315" t="s">
        <v>1197</v>
      </c>
      <c r="D55" s="315" t="s">
        <v>688</v>
      </c>
      <c r="E55" s="315">
        <v>30526582884</v>
      </c>
      <c r="F55" s="316">
        <v>4214.88</v>
      </c>
      <c r="G55" s="316">
        <v>0</v>
      </c>
      <c r="H55" s="315">
        <v>0</v>
      </c>
      <c r="I55" s="315">
        <v>0</v>
      </c>
      <c r="J55" s="315">
        <v>0</v>
      </c>
      <c r="K55" s="315">
        <v>885.12</v>
      </c>
      <c r="L55" s="315">
        <v>0</v>
      </c>
      <c r="M55" s="316">
        <v>0</v>
      </c>
      <c r="N55" s="316">
        <v>5100</v>
      </c>
    </row>
    <row r="56" spans="1:14" s="317" customFormat="1">
      <c r="A56" s="313">
        <v>45502</v>
      </c>
      <c r="B56" s="314" t="s">
        <v>1324</v>
      </c>
      <c r="C56" s="315" t="s">
        <v>1197</v>
      </c>
      <c r="D56" s="315" t="s">
        <v>688</v>
      </c>
      <c r="E56" s="315">
        <v>30526582884</v>
      </c>
      <c r="F56" s="316">
        <v>33644.629999999997</v>
      </c>
      <c r="G56" s="316">
        <v>0</v>
      </c>
      <c r="H56" s="315">
        <v>0</v>
      </c>
      <c r="I56" s="315">
        <v>0</v>
      </c>
      <c r="J56" s="315">
        <v>0</v>
      </c>
      <c r="K56" s="315">
        <v>7065.37</v>
      </c>
      <c r="L56" s="315">
        <v>0</v>
      </c>
      <c r="M56" s="316">
        <v>0</v>
      </c>
      <c r="N56" s="316">
        <v>40710</v>
      </c>
    </row>
    <row r="57" spans="1:14" s="317" customFormat="1">
      <c r="A57" s="313">
        <v>45488</v>
      </c>
      <c r="B57" s="314" t="s">
        <v>1267</v>
      </c>
      <c r="C57" s="315" t="s">
        <v>1268</v>
      </c>
      <c r="D57" s="315" t="s">
        <v>688</v>
      </c>
      <c r="E57" s="315">
        <v>27940269100</v>
      </c>
      <c r="F57" s="316">
        <v>27438.01</v>
      </c>
      <c r="G57" s="316">
        <v>0</v>
      </c>
      <c r="H57" s="315">
        <v>0</v>
      </c>
      <c r="I57" s="315">
        <v>0</v>
      </c>
      <c r="J57" s="315">
        <v>0</v>
      </c>
      <c r="K57" s="315">
        <v>5761.98</v>
      </c>
      <c r="L57" s="315">
        <v>0</v>
      </c>
      <c r="M57" s="316">
        <v>0</v>
      </c>
      <c r="N57" s="316">
        <v>33199.99</v>
      </c>
    </row>
    <row r="58" spans="1:14">
      <c r="A58" s="313">
        <v>45504</v>
      </c>
      <c r="B58" s="314" t="s">
        <v>1334</v>
      </c>
      <c r="C58" s="315" t="s">
        <v>1335</v>
      </c>
      <c r="D58" s="315" t="s">
        <v>688</v>
      </c>
      <c r="E58" s="315">
        <v>30696850972</v>
      </c>
      <c r="F58" s="316">
        <v>16601.11</v>
      </c>
      <c r="G58" s="316">
        <v>0</v>
      </c>
      <c r="H58" s="315">
        <v>0</v>
      </c>
      <c r="I58" s="315">
        <v>0</v>
      </c>
      <c r="J58" s="315">
        <v>0</v>
      </c>
      <c r="K58" s="315">
        <v>0</v>
      </c>
      <c r="L58" s="315">
        <v>4482.3</v>
      </c>
      <c r="M58" s="316">
        <v>664.04</v>
      </c>
      <c r="N58" s="316">
        <v>21747.45</v>
      </c>
    </row>
    <row r="59" spans="1:14">
      <c r="A59" s="313">
        <v>45502</v>
      </c>
      <c r="B59" s="314" t="s">
        <v>1378</v>
      </c>
      <c r="C59" s="315" t="s">
        <v>1379</v>
      </c>
      <c r="D59" s="315" t="s">
        <v>688</v>
      </c>
      <c r="E59" s="315">
        <v>30703088534</v>
      </c>
      <c r="F59" s="316">
        <v>31302.54</v>
      </c>
      <c r="G59" s="316">
        <v>0</v>
      </c>
      <c r="H59" s="315">
        <v>0</v>
      </c>
      <c r="I59" s="315">
        <v>0</v>
      </c>
      <c r="J59" s="315">
        <v>0</v>
      </c>
      <c r="K59" s="315">
        <v>6573.53</v>
      </c>
      <c r="L59" s="315">
        <v>0</v>
      </c>
      <c r="M59" s="316">
        <v>2191.17</v>
      </c>
      <c r="N59" s="316">
        <v>40067.24</v>
      </c>
    </row>
    <row r="60" spans="1:14">
      <c r="A60" s="313">
        <v>45495</v>
      </c>
      <c r="B60" s="314" t="s">
        <v>1303</v>
      </c>
      <c r="C60" s="315" t="s">
        <v>1304</v>
      </c>
      <c r="D60" s="315" t="s">
        <v>688</v>
      </c>
      <c r="E60" s="315">
        <v>30708847247</v>
      </c>
      <c r="F60" s="316">
        <v>9553.7100000000009</v>
      </c>
      <c r="G60" s="316">
        <v>0</v>
      </c>
      <c r="H60" s="315">
        <v>0</v>
      </c>
      <c r="I60" s="315">
        <v>0</v>
      </c>
      <c r="J60" s="315">
        <v>0</v>
      </c>
      <c r="K60" s="315">
        <v>2006.28</v>
      </c>
      <c r="L60" s="315">
        <v>0</v>
      </c>
      <c r="M60" s="316">
        <v>382.15</v>
      </c>
      <c r="N60" s="316">
        <v>11942.14</v>
      </c>
    </row>
    <row r="61" spans="1:14">
      <c r="A61" s="313">
        <v>45504</v>
      </c>
      <c r="B61" s="314" t="s">
        <v>1381</v>
      </c>
      <c r="C61" s="315" t="s">
        <v>1382</v>
      </c>
      <c r="D61" s="315" t="s">
        <v>688</v>
      </c>
      <c r="E61" s="315">
        <v>30714112836</v>
      </c>
      <c r="F61" s="316">
        <v>826.45</v>
      </c>
      <c r="G61" s="316">
        <v>0</v>
      </c>
      <c r="H61" s="315">
        <v>0</v>
      </c>
      <c r="I61" s="315">
        <v>0</v>
      </c>
      <c r="J61" s="315">
        <v>0</v>
      </c>
      <c r="K61" s="315">
        <v>173.55</v>
      </c>
      <c r="L61" s="315">
        <v>0</v>
      </c>
      <c r="M61" s="316">
        <v>0</v>
      </c>
      <c r="N61" s="316">
        <v>1000</v>
      </c>
    </row>
    <row r="62" spans="1:14">
      <c r="A62" s="313">
        <v>45476</v>
      </c>
      <c r="B62" s="314" t="s">
        <v>1210</v>
      </c>
      <c r="C62" s="315" t="s">
        <v>1211</v>
      </c>
      <c r="D62" s="315" t="s">
        <v>688</v>
      </c>
      <c r="E62" s="315">
        <v>30597228984</v>
      </c>
      <c r="F62" s="316">
        <v>33001628.960000001</v>
      </c>
      <c r="G62" s="316">
        <v>0</v>
      </c>
      <c r="H62" s="315">
        <v>0</v>
      </c>
      <c r="I62" s="315">
        <v>0</v>
      </c>
      <c r="J62" s="315">
        <v>3465171.04</v>
      </c>
      <c r="K62" s="315">
        <v>0</v>
      </c>
      <c r="L62" s="315">
        <v>0</v>
      </c>
      <c r="M62" s="316">
        <v>0</v>
      </c>
      <c r="N62" s="316">
        <v>36466800</v>
      </c>
    </row>
    <row r="63" spans="1:14">
      <c r="A63" s="313">
        <v>45476</v>
      </c>
      <c r="B63" s="314" t="s">
        <v>1212</v>
      </c>
      <c r="C63" s="315" t="s">
        <v>1211</v>
      </c>
      <c r="D63" s="315" t="s">
        <v>688</v>
      </c>
      <c r="E63" s="315">
        <v>30597228984</v>
      </c>
      <c r="F63" s="316">
        <v>47963.8</v>
      </c>
      <c r="G63" s="316">
        <v>0</v>
      </c>
      <c r="H63" s="315">
        <v>0</v>
      </c>
      <c r="I63" s="315">
        <v>0</v>
      </c>
      <c r="J63" s="315">
        <v>5036.2</v>
      </c>
      <c r="K63" s="315">
        <v>0</v>
      </c>
      <c r="L63" s="315">
        <v>0</v>
      </c>
      <c r="M63" s="316">
        <v>0</v>
      </c>
      <c r="N63" s="316">
        <v>53000</v>
      </c>
    </row>
    <row r="64" spans="1:14" s="317" customFormat="1">
      <c r="A64" s="313">
        <v>45476</v>
      </c>
      <c r="B64" s="314" t="s">
        <v>1213</v>
      </c>
      <c r="C64" s="315" t="s">
        <v>1211</v>
      </c>
      <c r="D64" s="315" t="s">
        <v>688</v>
      </c>
      <c r="E64" s="315">
        <v>30597228984</v>
      </c>
      <c r="F64" s="316">
        <v>26446.28</v>
      </c>
      <c r="G64" s="316">
        <v>70000</v>
      </c>
      <c r="H64" s="315">
        <v>0</v>
      </c>
      <c r="I64" s="315">
        <v>0</v>
      </c>
      <c r="J64" s="315">
        <v>0</v>
      </c>
      <c r="K64" s="315">
        <v>5553.72</v>
      </c>
      <c r="L64" s="315">
        <v>0</v>
      </c>
      <c r="M64" s="316">
        <v>0</v>
      </c>
      <c r="N64" s="316">
        <v>102000</v>
      </c>
    </row>
    <row r="65" spans="1:14">
      <c r="A65" s="313">
        <v>45496</v>
      </c>
      <c r="B65" s="314" t="s">
        <v>1313</v>
      </c>
      <c r="C65" s="315" t="s">
        <v>1314</v>
      </c>
      <c r="D65" s="315" t="s">
        <v>688</v>
      </c>
      <c r="E65" s="315">
        <v>30587197215</v>
      </c>
      <c r="F65" s="316">
        <v>64462.810000000005</v>
      </c>
      <c r="G65" s="316">
        <v>0</v>
      </c>
      <c r="H65" s="315">
        <v>0</v>
      </c>
      <c r="I65" s="315">
        <v>0</v>
      </c>
      <c r="J65" s="315">
        <v>0</v>
      </c>
      <c r="K65" s="315">
        <v>13537.19</v>
      </c>
      <c r="L65" s="315">
        <v>0</v>
      </c>
      <c r="M65" s="316">
        <v>2578.5100000000002</v>
      </c>
      <c r="N65" s="316">
        <v>80578.509999999995</v>
      </c>
    </row>
    <row r="66" spans="1:14">
      <c r="A66" s="313">
        <v>45477</v>
      </c>
      <c r="B66" s="314" t="s">
        <v>1221</v>
      </c>
      <c r="C66" s="315" t="s">
        <v>1222</v>
      </c>
      <c r="D66" s="315" t="s">
        <v>688</v>
      </c>
      <c r="E66" s="315">
        <v>30716234114</v>
      </c>
      <c r="F66" s="316">
        <v>186600</v>
      </c>
      <c r="G66" s="316">
        <v>0</v>
      </c>
      <c r="H66" s="315">
        <v>0</v>
      </c>
      <c r="I66" s="315">
        <v>0</v>
      </c>
      <c r="J66" s="315">
        <v>0</v>
      </c>
      <c r="K66" s="315">
        <v>39186</v>
      </c>
      <c r="L66" s="315">
        <v>0</v>
      </c>
      <c r="M66" s="316">
        <v>0</v>
      </c>
      <c r="N66" s="316">
        <v>225786</v>
      </c>
    </row>
    <row r="67" spans="1:14" s="317" customFormat="1">
      <c r="A67" s="313">
        <v>45474</v>
      </c>
      <c r="B67" s="314" t="s">
        <v>1359</v>
      </c>
      <c r="C67" s="315" t="s">
        <v>1360</v>
      </c>
      <c r="D67" s="315" t="s">
        <v>688</v>
      </c>
      <c r="E67" s="315">
        <v>30654118767</v>
      </c>
      <c r="F67" s="316">
        <v>79274.62</v>
      </c>
      <c r="G67" s="316">
        <v>0</v>
      </c>
      <c r="H67" s="315">
        <v>0</v>
      </c>
      <c r="I67" s="315">
        <v>0</v>
      </c>
      <c r="J67" s="315">
        <v>0</v>
      </c>
      <c r="K67" s="315">
        <v>16647.670000000002</v>
      </c>
      <c r="L67" s="315">
        <v>0</v>
      </c>
      <c r="M67" s="316">
        <v>3170.98</v>
      </c>
      <c r="N67" s="316">
        <v>99093.27</v>
      </c>
    </row>
    <row r="68" spans="1:14" s="317" customFormat="1">
      <c r="A68" s="313">
        <v>45476</v>
      </c>
      <c r="B68" s="314" t="s">
        <v>1362</v>
      </c>
      <c r="C68" s="315" t="s">
        <v>1363</v>
      </c>
      <c r="D68" s="315" t="s">
        <v>688</v>
      </c>
      <c r="E68" s="315">
        <v>30663498513</v>
      </c>
      <c r="F68" s="316">
        <v>909.09</v>
      </c>
      <c r="G68" s="316">
        <v>0</v>
      </c>
      <c r="H68" s="315">
        <v>0</v>
      </c>
      <c r="I68" s="315">
        <v>0</v>
      </c>
      <c r="J68" s="315">
        <v>0</v>
      </c>
      <c r="K68" s="315">
        <v>190.91</v>
      </c>
      <c r="L68" s="315">
        <v>0</v>
      </c>
      <c r="M68" s="316">
        <v>36.36</v>
      </c>
      <c r="N68" s="316">
        <v>1136.3600000000001</v>
      </c>
    </row>
    <row r="69" spans="1:14">
      <c r="A69" s="313">
        <v>45492</v>
      </c>
      <c r="B69" s="314" t="s">
        <v>1372</v>
      </c>
      <c r="C69" s="315" t="s">
        <v>1363</v>
      </c>
      <c r="D69" s="315" t="s">
        <v>688</v>
      </c>
      <c r="E69" s="315">
        <v>30663498513</v>
      </c>
      <c r="F69" s="316">
        <v>2975.19</v>
      </c>
      <c r="G69" s="316">
        <v>0</v>
      </c>
      <c r="H69" s="315">
        <v>0</v>
      </c>
      <c r="I69" s="315">
        <v>0</v>
      </c>
      <c r="J69" s="315">
        <v>0</v>
      </c>
      <c r="K69" s="315">
        <v>624.79</v>
      </c>
      <c r="L69" s="315">
        <v>0</v>
      </c>
      <c r="M69" s="316">
        <v>119.01</v>
      </c>
      <c r="N69" s="316">
        <v>3718.99</v>
      </c>
    </row>
    <row r="70" spans="1:14">
      <c r="A70" s="313">
        <v>45478</v>
      </c>
      <c r="B70" s="314" t="s">
        <v>1366</v>
      </c>
      <c r="C70" s="315" t="s">
        <v>1367</v>
      </c>
      <c r="D70" s="315" t="s">
        <v>688</v>
      </c>
      <c r="E70" s="315">
        <v>30715804812</v>
      </c>
      <c r="F70" s="316">
        <v>6467.23</v>
      </c>
      <c r="G70" s="316">
        <v>0</v>
      </c>
      <c r="H70" s="315">
        <v>0</v>
      </c>
      <c r="I70" s="315">
        <v>0</v>
      </c>
      <c r="J70" s="315">
        <v>0</v>
      </c>
      <c r="K70" s="315">
        <v>1358.12</v>
      </c>
      <c r="L70" s="315">
        <v>0</v>
      </c>
      <c r="M70" s="316">
        <v>258.69</v>
      </c>
      <c r="N70" s="316">
        <v>8084.04</v>
      </c>
    </row>
    <row r="71" spans="1:14">
      <c r="A71" s="313">
        <v>45495</v>
      </c>
      <c r="B71" s="314" t="s">
        <v>1376</v>
      </c>
      <c r="C71" s="315" t="s">
        <v>1367</v>
      </c>
      <c r="D71" s="315" t="s">
        <v>688</v>
      </c>
      <c r="E71" s="315">
        <v>30715804812</v>
      </c>
      <c r="F71" s="316">
        <v>764.52</v>
      </c>
      <c r="G71" s="316">
        <v>0</v>
      </c>
      <c r="H71" s="315">
        <v>0</v>
      </c>
      <c r="I71" s="315">
        <v>0</v>
      </c>
      <c r="J71" s="315">
        <v>0</v>
      </c>
      <c r="K71" s="315">
        <v>160.55000000000001</v>
      </c>
      <c r="L71" s="315">
        <v>0</v>
      </c>
      <c r="M71" s="316">
        <v>0</v>
      </c>
      <c r="N71" s="316">
        <v>925.07</v>
      </c>
    </row>
    <row r="72" spans="1:14" s="317" customFormat="1">
      <c r="A72" s="313">
        <v>45492</v>
      </c>
      <c r="B72" s="314" t="s">
        <v>1373</v>
      </c>
      <c r="C72" s="315" t="s">
        <v>1365</v>
      </c>
      <c r="D72" s="315" t="s">
        <v>688</v>
      </c>
      <c r="E72" s="315">
        <v>30677237119</v>
      </c>
      <c r="F72" s="316">
        <v>3149.47</v>
      </c>
      <c r="G72" s="316">
        <v>0</v>
      </c>
      <c r="H72" s="315">
        <v>0</v>
      </c>
      <c r="I72" s="315">
        <v>0</v>
      </c>
      <c r="J72" s="315">
        <v>0</v>
      </c>
      <c r="K72" s="315">
        <v>661.39</v>
      </c>
      <c r="L72" s="315">
        <v>0</v>
      </c>
      <c r="M72" s="316">
        <v>220.46</v>
      </c>
      <c r="N72" s="316">
        <v>4031.32</v>
      </c>
    </row>
    <row r="73" spans="1:14" s="317" customFormat="1">
      <c r="A73" s="313">
        <v>45476</v>
      </c>
      <c r="B73" s="314" t="s">
        <v>1364</v>
      </c>
      <c r="C73" s="315" t="s">
        <v>1365</v>
      </c>
      <c r="D73" s="315" t="s">
        <v>688</v>
      </c>
      <c r="E73" s="315">
        <v>30677237119</v>
      </c>
      <c r="F73" s="316">
        <v>4545.45</v>
      </c>
      <c r="G73" s="316">
        <v>0</v>
      </c>
      <c r="H73" s="315">
        <v>0</v>
      </c>
      <c r="I73" s="315">
        <v>0</v>
      </c>
      <c r="J73" s="315">
        <v>0</v>
      </c>
      <c r="K73" s="315">
        <v>954.54</v>
      </c>
      <c r="L73" s="315">
        <v>0</v>
      </c>
      <c r="M73" s="316">
        <v>318.18</v>
      </c>
      <c r="N73" s="316">
        <v>5818.17</v>
      </c>
    </row>
    <row r="74" spans="1:14">
      <c r="A74" s="313">
        <v>45478</v>
      </c>
      <c r="B74" s="314" t="s">
        <v>1228</v>
      </c>
      <c r="C74" s="315" t="s">
        <v>1229</v>
      </c>
      <c r="D74" s="315" t="s">
        <v>688</v>
      </c>
      <c r="E74" s="315">
        <v>30707370552</v>
      </c>
      <c r="F74" s="316">
        <v>380702.48</v>
      </c>
      <c r="G74" s="316">
        <v>0</v>
      </c>
      <c r="H74" s="315">
        <v>0</v>
      </c>
      <c r="I74" s="315">
        <v>0</v>
      </c>
      <c r="J74" s="315">
        <v>0</v>
      </c>
      <c r="K74" s="315">
        <v>79947.520000000004</v>
      </c>
      <c r="L74" s="315">
        <v>0</v>
      </c>
      <c r="M74" s="316">
        <v>0</v>
      </c>
      <c r="N74" s="316">
        <v>460650</v>
      </c>
    </row>
    <row r="75" spans="1:14">
      <c r="A75" s="313">
        <v>45478</v>
      </c>
      <c r="B75" s="314" t="s">
        <v>1230</v>
      </c>
      <c r="C75" s="315" t="s">
        <v>1229</v>
      </c>
      <c r="D75" s="315" t="s">
        <v>688</v>
      </c>
      <c r="E75" s="315">
        <v>30707370552</v>
      </c>
      <c r="F75" s="316">
        <v>817851.24</v>
      </c>
      <c r="G75" s="316">
        <v>0</v>
      </c>
      <c r="H75" s="315">
        <v>0</v>
      </c>
      <c r="I75" s="315">
        <v>0</v>
      </c>
      <c r="J75" s="315">
        <v>0</v>
      </c>
      <c r="K75" s="315">
        <v>171748.76</v>
      </c>
      <c r="L75" s="315">
        <v>0</v>
      </c>
      <c r="M75" s="316">
        <v>0</v>
      </c>
      <c r="N75" s="316">
        <v>989600</v>
      </c>
    </row>
    <row r="76" spans="1:14" s="317" customFormat="1">
      <c r="A76" s="313">
        <v>45484</v>
      </c>
      <c r="B76" s="314" t="s">
        <v>1254</v>
      </c>
      <c r="C76" s="315" t="s">
        <v>1255</v>
      </c>
      <c r="D76" s="315" t="s">
        <v>688</v>
      </c>
      <c r="E76" s="315">
        <v>30712316655</v>
      </c>
      <c r="F76" s="316">
        <v>131569.42000000001</v>
      </c>
      <c r="G76" s="316">
        <v>0</v>
      </c>
      <c r="H76" s="315">
        <v>0</v>
      </c>
      <c r="I76" s="315">
        <v>0</v>
      </c>
      <c r="J76" s="315">
        <v>0</v>
      </c>
      <c r="K76" s="315">
        <v>27629.58</v>
      </c>
      <c r="L76" s="315">
        <v>0</v>
      </c>
      <c r="M76" s="316">
        <v>0</v>
      </c>
      <c r="N76" s="316">
        <v>159199</v>
      </c>
    </row>
    <row r="77" spans="1:14" s="317" customFormat="1">
      <c r="A77" s="313">
        <v>45493</v>
      </c>
      <c r="B77" s="314" t="s">
        <v>1374</v>
      </c>
      <c r="C77" s="315" t="s">
        <v>1375</v>
      </c>
      <c r="D77" s="315" t="s">
        <v>688</v>
      </c>
      <c r="E77" s="315">
        <v>30548083156</v>
      </c>
      <c r="F77" s="316">
        <v>4941.41</v>
      </c>
      <c r="G77" s="316">
        <v>0</v>
      </c>
      <c r="H77" s="315">
        <v>0</v>
      </c>
      <c r="I77" s="315">
        <v>0</v>
      </c>
      <c r="J77" s="315">
        <v>0</v>
      </c>
      <c r="K77" s="315">
        <v>1037.7</v>
      </c>
      <c r="L77" s="315">
        <v>0</v>
      </c>
      <c r="M77" s="316">
        <v>345.9</v>
      </c>
      <c r="N77" s="316">
        <v>6325.01</v>
      </c>
    </row>
    <row r="78" spans="1:14" s="317" customFormat="1">
      <c r="A78" s="313">
        <v>45482</v>
      </c>
      <c r="B78" s="314" t="s">
        <v>1238</v>
      </c>
      <c r="C78" s="315" t="s">
        <v>1239</v>
      </c>
      <c r="D78" s="315" t="s">
        <v>688</v>
      </c>
      <c r="E78" s="315">
        <v>30678814357</v>
      </c>
      <c r="F78" s="316">
        <v>56932.1</v>
      </c>
      <c r="G78" s="316">
        <v>0</v>
      </c>
      <c r="H78" s="315">
        <v>0</v>
      </c>
      <c r="I78" s="315">
        <v>0</v>
      </c>
      <c r="J78" s="315">
        <v>0</v>
      </c>
      <c r="K78" s="315">
        <v>0</v>
      </c>
      <c r="L78" s="315">
        <v>15371.67</v>
      </c>
      <c r="M78" s="316">
        <v>3985.24</v>
      </c>
      <c r="N78" s="316">
        <v>76289.009999999995</v>
      </c>
    </row>
    <row r="79" spans="1:14" s="317" customFormat="1">
      <c r="A79" s="313">
        <v>45492</v>
      </c>
      <c r="B79" s="314" t="s">
        <v>1284</v>
      </c>
      <c r="C79" s="315" t="s">
        <v>1285</v>
      </c>
      <c r="D79" s="315" t="s">
        <v>688</v>
      </c>
      <c r="E79" s="315">
        <v>30639453738</v>
      </c>
      <c r="F79" s="316">
        <v>66314.05</v>
      </c>
      <c r="G79" s="316">
        <v>0</v>
      </c>
      <c r="H79" s="315">
        <v>0</v>
      </c>
      <c r="I79" s="315">
        <v>0</v>
      </c>
      <c r="J79" s="315">
        <v>0</v>
      </c>
      <c r="K79" s="315">
        <v>13925.95</v>
      </c>
      <c r="L79" s="315">
        <v>0</v>
      </c>
      <c r="M79" s="316">
        <v>4641.99</v>
      </c>
      <c r="N79" s="316">
        <v>84881.99</v>
      </c>
    </row>
    <row r="80" spans="1:14" s="317" customFormat="1">
      <c r="A80" s="313">
        <v>45482</v>
      </c>
      <c r="B80" s="314" t="s">
        <v>1384</v>
      </c>
      <c r="C80" s="315" t="s">
        <v>1371</v>
      </c>
      <c r="D80" s="315" t="s">
        <v>688</v>
      </c>
      <c r="E80" s="315">
        <v>30574876474</v>
      </c>
      <c r="F80" s="316">
        <v>13383.02</v>
      </c>
      <c r="G80" s="316">
        <v>0</v>
      </c>
      <c r="H80" s="315">
        <v>0</v>
      </c>
      <c r="I80" s="315">
        <v>0</v>
      </c>
      <c r="J80" s="315">
        <v>0</v>
      </c>
      <c r="K80" s="315">
        <v>2810.43</v>
      </c>
      <c r="L80" s="315">
        <v>0</v>
      </c>
      <c r="M80" s="316">
        <v>1739.79</v>
      </c>
      <c r="N80" s="316">
        <v>17933.240000000002</v>
      </c>
    </row>
    <row r="81" spans="1:14">
      <c r="A81" s="313">
        <v>45489</v>
      </c>
      <c r="B81" s="314" t="s">
        <v>1370</v>
      </c>
      <c r="C81" s="315" t="s">
        <v>1371</v>
      </c>
      <c r="D81" s="315" t="s">
        <v>688</v>
      </c>
      <c r="E81" s="315">
        <v>30574876474</v>
      </c>
      <c r="F81" s="316">
        <v>13383.02</v>
      </c>
      <c r="G81" s="316">
        <v>0</v>
      </c>
      <c r="H81" s="315">
        <v>0</v>
      </c>
      <c r="I81" s="315">
        <v>0</v>
      </c>
      <c r="J81" s="315">
        <v>0</v>
      </c>
      <c r="K81" s="315">
        <v>2810.43</v>
      </c>
      <c r="L81" s="315">
        <v>0</v>
      </c>
      <c r="M81" s="316">
        <v>1739.79</v>
      </c>
      <c r="N81" s="316">
        <v>17933.240000000002</v>
      </c>
    </row>
    <row r="82" spans="1:14">
      <c r="A82" s="313">
        <v>45496</v>
      </c>
      <c r="B82" s="314" t="s">
        <v>1377</v>
      </c>
      <c r="C82" s="315" t="s">
        <v>1371</v>
      </c>
      <c r="D82" s="315" t="s">
        <v>688</v>
      </c>
      <c r="E82" s="315">
        <v>30574876474</v>
      </c>
      <c r="F82" s="316">
        <v>17383.72</v>
      </c>
      <c r="G82" s="316">
        <v>0</v>
      </c>
      <c r="H82" s="315">
        <v>0</v>
      </c>
      <c r="I82" s="315">
        <v>0</v>
      </c>
      <c r="J82" s="315">
        <v>0</v>
      </c>
      <c r="K82" s="315">
        <v>3650.58</v>
      </c>
      <c r="L82" s="315">
        <v>0</v>
      </c>
      <c r="M82" s="316">
        <v>2259.89</v>
      </c>
      <c r="N82" s="316">
        <v>23294.19</v>
      </c>
    </row>
    <row r="83" spans="1:14" s="317" customFormat="1">
      <c r="A83" s="313">
        <v>45504</v>
      </c>
      <c r="B83" s="314" t="s">
        <v>1383</v>
      </c>
      <c r="C83" s="315" t="s">
        <v>1371</v>
      </c>
      <c r="D83" s="315" t="s">
        <v>688</v>
      </c>
      <c r="E83" s="315">
        <v>30574876474</v>
      </c>
      <c r="F83" s="316">
        <v>15636.24</v>
      </c>
      <c r="G83" s="316">
        <v>0</v>
      </c>
      <c r="H83" s="315">
        <v>0</v>
      </c>
      <c r="I83" s="315">
        <v>0</v>
      </c>
      <c r="J83" s="315">
        <v>0</v>
      </c>
      <c r="K83" s="315">
        <v>3283.61</v>
      </c>
      <c r="L83" s="315">
        <v>0</v>
      </c>
      <c r="M83" s="316">
        <v>2032.71</v>
      </c>
      <c r="N83" s="316">
        <v>20952.560000000001</v>
      </c>
    </row>
    <row r="84" spans="1:14" s="317" customFormat="1">
      <c r="A84" s="307">
        <v>45481</v>
      </c>
      <c r="B84" s="281" t="s">
        <v>1233</v>
      </c>
      <c r="C84" s="282" t="s">
        <v>1234</v>
      </c>
      <c r="D84" s="282" t="s">
        <v>1179</v>
      </c>
      <c r="E84" s="282">
        <v>23452993104</v>
      </c>
      <c r="F84" s="283">
        <v>0</v>
      </c>
      <c r="G84" s="283">
        <v>120000</v>
      </c>
      <c r="H84" s="284">
        <v>0</v>
      </c>
      <c r="I84" s="284">
        <v>0</v>
      </c>
      <c r="J84" s="284">
        <v>0</v>
      </c>
      <c r="K84" s="284">
        <v>0</v>
      </c>
      <c r="L84" s="284">
        <v>0</v>
      </c>
      <c r="M84" s="283">
        <v>0</v>
      </c>
      <c r="N84" s="283">
        <v>120000</v>
      </c>
    </row>
    <row r="85" spans="1:14">
      <c r="A85" s="307">
        <v>45484</v>
      </c>
      <c r="B85" s="281" t="s">
        <v>1243</v>
      </c>
      <c r="C85" s="282" t="s">
        <v>1234</v>
      </c>
      <c r="D85" s="282" t="s">
        <v>1179</v>
      </c>
      <c r="E85" s="282">
        <v>23452993104</v>
      </c>
      <c r="F85" s="283">
        <v>0</v>
      </c>
      <c r="G85" s="283">
        <v>430000</v>
      </c>
      <c r="H85" s="284">
        <v>0</v>
      </c>
      <c r="I85" s="284">
        <v>0</v>
      </c>
      <c r="J85" s="284">
        <v>0</v>
      </c>
      <c r="K85" s="284">
        <v>0</v>
      </c>
      <c r="L85" s="284">
        <v>0</v>
      </c>
      <c r="M85" s="283">
        <v>0</v>
      </c>
      <c r="N85" s="283">
        <v>430000</v>
      </c>
    </row>
    <row r="86" spans="1:14" s="317" customFormat="1">
      <c r="A86" s="307">
        <v>45484</v>
      </c>
      <c r="B86" s="281" t="s">
        <v>1243</v>
      </c>
      <c r="C86" s="282" t="s">
        <v>1244</v>
      </c>
      <c r="D86" s="282" t="s">
        <v>1179</v>
      </c>
      <c r="E86" s="282">
        <v>20047064946</v>
      </c>
      <c r="F86" s="283">
        <v>0</v>
      </c>
      <c r="G86" s="283">
        <v>2432700</v>
      </c>
      <c r="H86" s="284">
        <v>0</v>
      </c>
      <c r="I86" s="284">
        <v>0</v>
      </c>
      <c r="J86" s="284">
        <v>0</v>
      </c>
      <c r="K86" s="284">
        <v>0</v>
      </c>
      <c r="L86" s="284">
        <v>0</v>
      </c>
      <c r="M86" s="283">
        <v>0</v>
      </c>
      <c r="N86" s="283">
        <v>2432700</v>
      </c>
    </row>
    <row r="87" spans="1:14" s="317" customFormat="1">
      <c r="A87" s="307">
        <v>45484</v>
      </c>
      <c r="B87" s="281" t="s">
        <v>1245</v>
      </c>
      <c r="C87" s="282" t="s">
        <v>1246</v>
      </c>
      <c r="D87" s="282" t="s">
        <v>1179</v>
      </c>
      <c r="E87" s="282">
        <v>27122903201</v>
      </c>
      <c r="F87" s="283">
        <v>0</v>
      </c>
      <c r="G87" s="283">
        <v>2432700</v>
      </c>
      <c r="H87" s="284">
        <v>0</v>
      </c>
      <c r="I87" s="284">
        <v>0</v>
      </c>
      <c r="J87" s="284">
        <v>0</v>
      </c>
      <c r="K87" s="284">
        <v>0</v>
      </c>
      <c r="L87" s="284">
        <v>0</v>
      </c>
      <c r="M87" s="283">
        <v>0</v>
      </c>
      <c r="N87" s="283">
        <v>2432700</v>
      </c>
    </row>
    <row r="88" spans="1:14" s="317" customFormat="1">
      <c r="A88" s="307">
        <v>45488</v>
      </c>
      <c r="B88" s="281" t="s">
        <v>1261</v>
      </c>
      <c r="C88" s="282" t="s">
        <v>1262</v>
      </c>
      <c r="D88" s="282" t="s">
        <v>1179</v>
      </c>
      <c r="E88" s="282">
        <v>27443612713</v>
      </c>
      <c r="F88" s="283">
        <v>0</v>
      </c>
      <c r="G88" s="283">
        <v>550000</v>
      </c>
      <c r="H88" s="284">
        <v>0</v>
      </c>
      <c r="I88" s="284">
        <v>0</v>
      </c>
      <c r="J88" s="284">
        <v>0</v>
      </c>
      <c r="K88" s="284">
        <v>0</v>
      </c>
      <c r="L88" s="284">
        <v>0</v>
      </c>
      <c r="M88" s="283">
        <v>0</v>
      </c>
      <c r="N88" s="283">
        <v>550000</v>
      </c>
    </row>
    <row r="89" spans="1:14">
      <c r="A89" s="307">
        <v>45496</v>
      </c>
      <c r="B89" s="281" t="s">
        <v>1305</v>
      </c>
      <c r="C89" s="282" t="s">
        <v>1306</v>
      </c>
      <c r="D89" s="282" t="s">
        <v>1179</v>
      </c>
      <c r="E89" s="282">
        <v>20190742297</v>
      </c>
      <c r="F89" s="283">
        <v>0</v>
      </c>
      <c r="G89" s="283">
        <v>70000</v>
      </c>
      <c r="H89" s="284">
        <v>0</v>
      </c>
      <c r="I89" s="284">
        <v>0</v>
      </c>
      <c r="J89" s="284">
        <v>0</v>
      </c>
      <c r="K89" s="284">
        <v>0</v>
      </c>
      <c r="L89" s="284">
        <v>0</v>
      </c>
      <c r="M89" s="283">
        <v>0</v>
      </c>
      <c r="N89" s="283">
        <v>70000</v>
      </c>
    </row>
    <row r="90" spans="1:14" s="317" customFormat="1">
      <c r="A90" s="307">
        <v>45484</v>
      </c>
      <c r="B90" s="281" t="s">
        <v>1247</v>
      </c>
      <c r="C90" s="282" t="s">
        <v>1248</v>
      </c>
      <c r="D90" s="282" t="s">
        <v>1179</v>
      </c>
      <c r="E90" s="282">
        <v>23299060179</v>
      </c>
      <c r="F90" s="283">
        <v>0</v>
      </c>
      <c r="G90" s="283">
        <v>2432700</v>
      </c>
      <c r="H90" s="284">
        <v>0</v>
      </c>
      <c r="I90" s="284">
        <v>0</v>
      </c>
      <c r="J90" s="284">
        <v>0</v>
      </c>
      <c r="K90" s="284">
        <v>0</v>
      </c>
      <c r="L90" s="284">
        <v>0</v>
      </c>
      <c r="M90" s="283">
        <v>0</v>
      </c>
      <c r="N90" s="283">
        <v>2432700</v>
      </c>
    </row>
    <row r="91" spans="1:14" s="317" customFormat="1">
      <c r="A91" s="307">
        <v>45476</v>
      </c>
      <c r="B91" s="281" t="s">
        <v>1204</v>
      </c>
      <c r="C91" s="282" t="s">
        <v>1205</v>
      </c>
      <c r="D91" s="282" t="s">
        <v>1179</v>
      </c>
      <c r="E91" s="282">
        <v>20403969886</v>
      </c>
      <c r="F91" s="283">
        <v>0</v>
      </c>
      <c r="G91" s="283">
        <v>495020</v>
      </c>
      <c r="H91" s="284">
        <v>0</v>
      </c>
      <c r="I91" s="284">
        <v>0</v>
      </c>
      <c r="J91" s="284">
        <v>0</v>
      </c>
      <c r="K91" s="284">
        <v>0</v>
      </c>
      <c r="L91" s="284">
        <v>0</v>
      </c>
      <c r="M91" s="283">
        <v>0</v>
      </c>
      <c r="N91" s="283">
        <v>495020</v>
      </c>
    </row>
    <row r="92" spans="1:14">
      <c r="A92" s="307">
        <v>45476</v>
      </c>
      <c r="B92" s="281" t="s">
        <v>1206</v>
      </c>
      <c r="C92" s="282" t="s">
        <v>1205</v>
      </c>
      <c r="D92" s="282" t="s">
        <v>1179</v>
      </c>
      <c r="E92" s="282">
        <v>20403969886</v>
      </c>
      <c r="F92" s="283">
        <v>0</v>
      </c>
      <c r="G92" s="283">
        <v>550000</v>
      </c>
      <c r="H92" s="284">
        <v>0</v>
      </c>
      <c r="I92" s="284">
        <v>0</v>
      </c>
      <c r="J92" s="284">
        <v>0</v>
      </c>
      <c r="K92" s="284">
        <v>0</v>
      </c>
      <c r="L92" s="284">
        <v>0</v>
      </c>
      <c r="M92" s="283">
        <v>0</v>
      </c>
      <c r="N92" s="283">
        <v>550000</v>
      </c>
    </row>
    <row r="93" spans="1:14">
      <c r="A93" s="307">
        <v>45497</v>
      </c>
      <c r="B93" s="281" t="s">
        <v>1206</v>
      </c>
      <c r="C93" s="282" t="s">
        <v>1315</v>
      </c>
      <c r="D93" s="282" t="s">
        <v>1179</v>
      </c>
      <c r="E93" s="282">
        <v>23281233084</v>
      </c>
      <c r="F93" s="283">
        <v>0</v>
      </c>
      <c r="G93" s="283">
        <v>107900</v>
      </c>
      <c r="H93" s="284">
        <v>0</v>
      </c>
      <c r="I93" s="284">
        <v>0</v>
      </c>
      <c r="J93" s="284">
        <v>0</v>
      </c>
      <c r="K93" s="284">
        <v>0</v>
      </c>
      <c r="L93" s="284">
        <v>0</v>
      </c>
      <c r="M93" s="283">
        <v>0</v>
      </c>
      <c r="N93" s="283">
        <v>107900</v>
      </c>
    </row>
    <row r="94" spans="1:14">
      <c r="A94" s="307">
        <v>45474</v>
      </c>
      <c r="B94" s="281" t="s">
        <v>1177</v>
      </c>
      <c r="C94" s="282" t="s">
        <v>1178</v>
      </c>
      <c r="D94" s="282" t="s">
        <v>1179</v>
      </c>
      <c r="E94" s="282">
        <v>20389908569</v>
      </c>
      <c r="F94" s="283">
        <v>0</v>
      </c>
      <c r="G94" s="283">
        <v>1200000</v>
      </c>
      <c r="H94" s="284">
        <v>0</v>
      </c>
      <c r="I94" s="284">
        <v>0</v>
      </c>
      <c r="J94" s="284">
        <v>0</v>
      </c>
      <c r="K94" s="284">
        <v>0</v>
      </c>
      <c r="L94" s="284">
        <v>0</v>
      </c>
      <c r="M94" s="283">
        <v>0</v>
      </c>
      <c r="N94" s="283">
        <v>1200000</v>
      </c>
    </row>
    <row r="95" spans="1:14" s="317" customFormat="1">
      <c r="A95" s="307">
        <v>45493</v>
      </c>
      <c r="B95" s="281" t="s">
        <v>1287</v>
      </c>
      <c r="C95" s="282" t="s">
        <v>1288</v>
      </c>
      <c r="D95" s="282" t="s">
        <v>1179</v>
      </c>
      <c r="E95" s="282">
        <v>27338342840</v>
      </c>
      <c r="F95" s="283">
        <v>0</v>
      </c>
      <c r="G95" s="283">
        <v>159200</v>
      </c>
      <c r="H95" s="284">
        <v>0</v>
      </c>
      <c r="I95" s="284">
        <v>0</v>
      </c>
      <c r="J95" s="284">
        <v>0</v>
      </c>
      <c r="K95" s="284">
        <v>0</v>
      </c>
      <c r="L95" s="284">
        <v>0</v>
      </c>
      <c r="M95" s="283">
        <v>0</v>
      </c>
      <c r="N95" s="283">
        <v>159200</v>
      </c>
    </row>
    <row r="96" spans="1:14" s="317" customFormat="1">
      <c r="A96" s="307">
        <v>45488</v>
      </c>
      <c r="B96" s="281" t="s">
        <v>1263</v>
      </c>
      <c r="C96" s="282" t="s">
        <v>1264</v>
      </c>
      <c r="D96" s="282" t="s">
        <v>1179</v>
      </c>
      <c r="E96" s="282">
        <v>27217606255</v>
      </c>
      <c r="F96" s="283">
        <v>0</v>
      </c>
      <c r="G96" s="283">
        <v>75604.55</v>
      </c>
      <c r="H96" s="284">
        <v>0</v>
      </c>
      <c r="I96" s="284">
        <v>0</v>
      </c>
      <c r="J96" s="284">
        <v>0</v>
      </c>
      <c r="K96" s="284">
        <v>0</v>
      </c>
      <c r="L96" s="284">
        <v>0</v>
      </c>
      <c r="M96" s="283">
        <v>0</v>
      </c>
      <c r="N96" s="283">
        <v>75604.55</v>
      </c>
    </row>
    <row r="97" spans="1:14" s="317" customFormat="1">
      <c r="A97" s="307">
        <v>45488</v>
      </c>
      <c r="B97" s="281" t="s">
        <v>1265</v>
      </c>
      <c r="C97" s="282" t="s">
        <v>1264</v>
      </c>
      <c r="D97" s="282" t="s">
        <v>1179</v>
      </c>
      <c r="E97" s="282">
        <v>27217606255</v>
      </c>
      <c r="F97" s="283">
        <v>0</v>
      </c>
      <c r="G97" s="283">
        <v>66964.03</v>
      </c>
      <c r="H97" s="284">
        <v>0</v>
      </c>
      <c r="I97" s="284">
        <v>0</v>
      </c>
      <c r="J97" s="284">
        <v>0</v>
      </c>
      <c r="K97" s="284">
        <v>0</v>
      </c>
      <c r="L97" s="284">
        <v>0</v>
      </c>
      <c r="M97" s="283">
        <v>0</v>
      </c>
      <c r="N97" s="283">
        <v>66964.03</v>
      </c>
    </row>
    <row r="98" spans="1:14" s="311" customFormat="1">
      <c r="A98" s="307">
        <v>45489</v>
      </c>
      <c r="B98" s="281" t="s">
        <v>1269</v>
      </c>
      <c r="C98" s="282" t="s">
        <v>1264</v>
      </c>
      <c r="D98" s="282" t="s">
        <v>1179</v>
      </c>
      <c r="E98" s="282">
        <v>27217606255</v>
      </c>
      <c r="F98" s="283">
        <v>0</v>
      </c>
      <c r="G98" s="283">
        <v>73444.42</v>
      </c>
      <c r="H98" s="284">
        <v>0</v>
      </c>
      <c r="I98" s="284">
        <v>0</v>
      </c>
      <c r="J98" s="284">
        <v>0</v>
      </c>
      <c r="K98" s="284">
        <v>0</v>
      </c>
      <c r="L98" s="284">
        <v>0</v>
      </c>
      <c r="M98" s="283">
        <v>0</v>
      </c>
      <c r="N98" s="283">
        <v>73444.42</v>
      </c>
    </row>
    <row r="99" spans="1:14" s="317" customFormat="1">
      <c r="A99" s="307">
        <v>45489</v>
      </c>
      <c r="B99" s="281" t="s">
        <v>1270</v>
      </c>
      <c r="C99" s="282" t="s">
        <v>1264</v>
      </c>
      <c r="D99" s="282" t="s">
        <v>1179</v>
      </c>
      <c r="E99" s="282">
        <v>27217606255</v>
      </c>
      <c r="F99" s="283">
        <v>0</v>
      </c>
      <c r="G99" s="283">
        <v>198555.58</v>
      </c>
      <c r="H99" s="284">
        <v>0</v>
      </c>
      <c r="I99" s="284">
        <v>0</v>
      </c>
      <c r="J99" s="284">
        <v>0</v>
      </c>
      <c r="K99" s="284">
        <v>0</v>
      </c>
      <c r="L99" s="284">
        <v>0</v>
      </c>
      <c r="M99" s="283">
        <v>0</v>
      </c>
      <c r="N99" s="283">
        <v>198555.58</v>
      </c>
    </row>
    <row r="100" spans="1:14" s="317" customFormat="1">
      <c r="A100" s="307">
        <v>45490</v>
      </c>
      <c r="B100" s="281" t="s">
        <v>1273</v>
      </c>
      <c r="C100" s="282" t="s">
        <v>1264</v>
      </c>
      <c r="D100" s="282" t="s">
        <v>1179</v>
      </c>
      <c r="E100" s="282">
        <v>27217606255</v>
      </c>
      <c r="F100" s="283">
        <v>0</v>
      </c>
      <c r="G100" s="283">
        <v>128477.14</v>
      </c>
      <c r="H100" s="284">
        <v>0</v>
      </c>
      <c r="I100" s="284">
        <v>0</v>
      </c>
      <c r="J100" s="284">
        <v>0</v>
      </c>
      <c r="K100" s="284">
        <v>0</v>
      </c>
      <c r="L100" s="284">
        <v>0</v>
      </c>
      <c r="M100" s="283">
        <v>0</v>
      </c>
      <c r="N100" s="283">
        <v>128477.14</v>
      </c>
    </row>
    <row r="101" spans="1:14" s="317" customFormat="1">
      <c r="A101" s="307">
        <v>45490</v>
      </c>
      <c r="B101" s="281" t="s">
        <v>1274</v>
      </c>
      <c r="C101" s="282" t="s">
        <v>1264</v>
      </c>
      <c r="D101" s="282" t="s">
        <v>1179</v>
      </c>
      <c r="E101" s="282">
        <v>27217606255</v>
      </c>
      <c r="F101" s="283">
        <v>0</v>
      </c>
      <c r="G101" s="283">
        <v>140156.88</v>
      </c>
      <c r="H101" s="284">
        <v>0</v>
      </c>
      <c r="I101" s="284">
        <v>0</v>
      </c>
      <c r="J101" s="284">
        <v>0</v>
      </c>
      <c r="K101" s="284">
        <v>0</v>
      </c>
      <c r="L101" s="284">
        <v>0</v>
      </c>
      <c r="M101" s="283">
        <v>0</v>
      </c>
      <c r="N101" s="283">
        <v>140156.88</v>
      </c>
    </row>
    <row r="102" spans="1:14">
      <c r="A102" s="307">
        <v>45491</v>
      </c>
      <c r="B102" s="281" t="s">
        <v>1280</v>
      </c>
      <c r="C102" s="282" t="s">
        <v>1264</v>
      </c>
      <c r="D102" s="282" t="s">
        <v>1179</v>
      </c>
      <c r="E102" s="282">
        <v>27217606255</v>
      </c>
      <c r="F102" s="283">
        <v>0</v>
      </c>
      <c r="G102" s="283">
        <v>116797.4</v>
      </c>
      <c r="H102" s="284">
        <v>0</v>
      </c>
      <c r="I102" s="284">
        <v>0</v>
      </c>
      <c r="J102" s="284">
        <v>0</v>
      </c>
      <c r="K102" s="284">
        <v>0</v>
      </c>
      <c r="L102" s="284">
        <v>0</v>
      </c>
      <c r="M102" s="283">
        <v>0</v>
      </c>
      <c r="N102" s="283">
        <v>116797.4</v>
      </c>
    </row>
    <row r="103" spans="1:14">
      <c r="A103" s="307">
        <v>45504</v>
      </c>
      <c r="B103" s="281" t="s">
        <v>1330</v>
      </c>
      <c r="C103" s="282" t="s">
        <v>1331</v>
      </c>
      <c r="D103" s="282" t="s">
        <v>1179</v>
      </c>
      <c r="E103" s="282">
        <v>20299835260</v>
      </c>
      <c r="F103" s="283">
        <v>0</v>
      </c>
      <c r="G103" s="283">
        <v>330000</v>
      </c>
      <c r="H103" s="284">
        <v>0</v>
      </c>
      <c r="I103" s="284">
        <v>0</v>
      </c>
      <c r="J103" s="284">
        <v>0</v>
      </c>
      <c r="K103" s="284">
        <v>0</v>
      </c>
      <c r="L103" s="284">
        <v>0</v>
      </c>
      <c r="M103" s="283">
        <v>0</v>
      </c>
      <c r="N103" s="283">
        <v>330000</v>
      </c>
    </row>
    <row r="104" spans="1:14" s="317" customFormat="1">
      <c r="A104" s="307">
        <v>45478</v>
      </c>
      <c r="B104" s="281" t="s">
        <v>1223</v>
      </c>
      <c r="C104" s="282" t="s">
        <v>1224</v>
      </c>
      <c r="D104" s="282" t="s">
        <v>1179</v>
      </c>
      <c r="E104" s="282">
        <v>20220423655</v>
      </c>
      <c r="F104" s="283">
        <v>0</v>
      </c>
      <c r="G104" s="283">
        <v>419670</v>
      </c>
      <c r="H104" s="284">
        <v>0</v>
      </c>
      <c r="I104" s="284">
        <v>0</v>
      </c>
      <c r="J104" s="284">
        <v>0</v>
      </c>
      <c r="K104" s="284">
        <v>0</v>
      </c>
      <c r="L104" s="284">
        <v>0</v>
      </c>
      <c r="M104" s="283">
        <v>0</v>
      </c>
      <c r="N104" s="283">
        <v>419670</v>
      </c>
    </row>
    <row r="105" spans="1:14" s="317" customFormat="1">
      <c r="A105" s="307">
        <v>45478</v>
      </c>
      <c r="B105" s="281" t="s">
        <v>1225</v>
      </c>
      <c r="C105" s="282" t="s">
        <v>1224</v>
      </c>
      <c r="D105" s="282" t="s">
        <v>1179</v>
      </c>
      <c r="E105" s="282">
        <v>20220423655</v>
      </c>
      <c r="F105" s="283">
        <v>0</v>
      </c>
      <c r="G105" s="283">
        <v>464615</v>
      </c>
      <c r="H105" s="284">
        <v>0</v>
      </c>
      <c r="I105" s="284">
        <v>0</v>
      </c>
      <c r="J105" s="284">
        <v>0</v>
      </c>
      <c r="K105" s="284">
        <v>0</v>
      </c>
      <c r="L105" s="284">
        <v>0</v>
      </c>
      <c r="M105" s="283">
        <v>0</v>
      </c>
      <c r="N105" s="283">
        <v>464615</v>
      </c>
    </row>
    <row r="106" spans="1:14" s="317" customFormat="1">
      <c r="A106" s="307">
        <v>45474</v>
      </c>
      <c r="B106" s="281" t="s">
        <v>1184</v>
      </c>
      <c r="C106" s="282" t="s">
        <v>1185</v>
      </c>
      <c r="D106" s="282" t="s">
        <v>1179</v>
      </c>
      <c r="E106" s="282">
        <v>27265832178</v>
      </c>
      <c r="F106" s="283">
        <v>0</v>
      </c>
      <c r="G106" s="283">
        <v>150000</v>
      </c>
      <c r="H106" s="284">
        <v>0</v>
      </c>
      <c r="I106" s="284">
        <v>0</v>
      </c>
      <c r="J106" s="284">
        <v>0</v>
      </c>
      <c r="K106" s="284">
        <v>0</v>
      </c>
      <c r="L106" s="284">
        <v>0</v>
      </c>
      <c r="M106" s="283">
        <v>0</v>
      </c>
      <c r="N106" s="283">
        <v>150000</v>
      </c>
    </row>
    <row r="107" spans="1:14" s="317" customFormat="1">
      <c r="A107" s="307">
        <v>45495</v>
      </c>
      <c r="B107" s="281" t="s">
        <v>1294</v>
      </c>
      <c r="C107" s="282" t="s">
        <v>1185</v>
      </c>
      <c r="D107" s="282" t="s">
        <v>1179</v>
      </c>
      <c r="E107" s="282">
        <v>27265832178</v>
      </c>
      <c r="F107" s="283">
        <v>0</v>
      </c>
      <c r="G107" s="283">
        <v>150000</v>
      </c>
      <c r="H107" s="284">
        <v>0</v>
      </c>
      <c r="I107" s="284">
        <v>0</v>
      </c>
      <c r="J107" s="284">
        <v>0</v>
      </c>
      <c r="K107" s="284">
        <v>0</v>
      </c>
      <c r="L107" s="284">
        <v>0</v>
      </c>
      <c r="M107" s="283">
        <v>0</v>
      </c>
      <c r="N107" s="283">
        <v>150000</v>
      </c>
    </row>
    <row r="108" spans="1:14" s="317" customFormat="1">
      <c r="A108" s="307">
        <v>45476</v>
      </c>
      <c r="B108" s="281" t="s">
        <v>1207</v>
      </c>
      <c r="C108" s="282" t="s">
        <v>1208</v>
      </c>
      <c r="D108" s="282" t="s">
        <v>1179</v>
      </c>
      <c r="E108" s="282">
        <v>27294612845</v>
      </c>
      <c r="F108" s="283">
        <v>0</v>
      </c>
      <c r="G108" s="283">
        <v>1200000</v>
      </c>
      <c r="H108" s="284">
        <v>0</v>
      </c>
      <c r="I108" s="284">
        <v>0</v>
      </c>
      <c r="J108" s="284">
        <v>0</v>
      </c>
      <c r="K108" s="284">
        <v>0</v>
      </c>
      <c r="L108" s="284">
        <v>0</v>
      </c>
      <c r="M108" s="283">
        <v>0</v>
      </c>
      <c r="N108" s="283">
        <v>1200000</v>
      </c>
    </row>
    <row r="109" spans="1:14" s="317" customFormat="1">
      <c r="A109" s="307">
        <v>45474</v>
      </c>
      <c r="B109" s="281" t="s">
        <v>1186</v>
      </c>
      <c r="C109" s="282" t="s">
        <v>1187</v>
      </c>
      <c r="D109" s="282" t="s">
        <v>1179</v>
      </c>
      <c r="E109" s="282">
        <v>23306035444</v>
      </c>
      <c r="F109" s="283">
        <v>0</v>
      </c>
      <c r="G109" s="283">
        <v>52000</v>
      </c>
      <c r="H109" s="284">
        <v>0</v>
      </c>
      <c r="I109" s="284">
        <v>0</v>
      </c>
      <c r="J109" s="284">
        <v>0</v>
      </c>
      <c r="K109" s="284">
        <v>0</v>
      </c>
      <c r="L109" s="284">
        <v>0</v>
      </c>
      <c r="M109" s="283">
        <v>0</v>
      </c>
      <c r="N109" s="283">
        <v>52000</v>
      </c>
    </row>
    <row r="110" spans="1:14">
      <c r="A110" s="307">
        <v>45476</v>
      </c>
      <c r="B110" s="281" t="s">
        <v>1209</v>
      </c>
      <c r="C110" s="282" t="s">
        <v>37</v>
      </c>
      <c r="D110" s="282" t="s">
        <v>1179</v>
      </c>
      <c r="E110" s="282">
        <v>20086277523</v>
      </c>
      <c r="F110" s="283">
        <v>0</v>
      </c>
      <c r="G110" s="283">
        <v>275500</v>
      </c>
      <c r="H110" s="284">
        <v>0</v>
      </c>
      <c r="I110" s="284">
        <v>0</v>
      </c>
      <c r="J110" s="284">
        <v>0</v>
      </c>
      <c r="K110" s="284">
        <v>0</v>
      </c>
      <c r="L110" s="284">
        <v>0</v>
      </c>
      <c r="M110" s="283">
        <v>0</v>
      </c>
      <c r="N110" s="283">
        <v>275500</v>
      </c>
    </row>
    <row r="111" spans="1:14">
      <c r="A111" s="307">
        <v>45493</v>
      </c>
      <c r="B111" s="281" t="s">
        <v>1289</v>
      </c>
      <c r="C111" s="282" t="s">
        <v>1290</v>
      </c>
      <c r="D111" s="282" t="s">
        <v>1179</v>
      </c>
      <c r="E111" s="282">
        <v>20216451679</v>
      </c>
      <c r="F111" s="283">
        <v>0</v>
      </c>
      <c r="G111" s="283">
        <v>125665.2</v>
      </c>
      <c r="H111" s="284">
        <v>0</v>
      </c>
      <c r="I111" s="284">
        <v>0</v>
      </c>
      <c r="J111" s="284">
        <v>0</v>
      </c>
      <c r="K111" s="284">
        <v>0</v>
      </c>
      <c r="L111" s="284">
        <v>0</v>
      </c>
      <c r="M111" s="283">
        <v>0</v>
      </c>
      <c r="N111" s="283">
        <v>125665.2</v>
      </c>
    </row>
    <row r="112" spans="1:14" s="317" customFormat="1">
      <c r="A112" s="307">
        <v>45474</v>
      </c>
      <c r="B112" s="281" t="s">
        <v>1190</v>
      </c>
      <c r="C112" s="282" t="s">
        <v>1191</v>
      </c>
      <c r="D112" s="282" t="s">
        <v>1179</v>
      </c>
      <c r="E112" s="282">
        <v>20309935196</v>
      </c>
      <c r="F112" s="283">
        <v>0</v>
      </c>
      <c r="G112" s="283">
        <v>24300</v>
      </c>
      <c r="H112" s="284">
        <v>0</v>
      </c>
      <c r="I112" s="284">
        <v>0</v>
      </c>
      <c r="J112" s="284">
        <v>0</v>
      </c>
      <c r="K112" s="284">
        <v>0</v>
      </c>
      <c r="L112" s="284">
        <v>0</v>
      </c>
      <c r="M112" s="283">
        <v>0</v>
      </c>
      <c r="N112" s="283">
        <v>24300</v>
      </c>
    </row>
    <row r="113" spans="1:14">
      <c r="A113" s="307">
        <v>45474</v>
      </c>
      <c r="B113" s="281" t="s">
        <v>1192</v>
      </c>
      <c r="C113" s="282" t="s">
        <v>1193</v>
      </c>
      <c r="D113" s="282" t="s">
        <v>1179</v>
      </c>
      <c r="E113" s="282">
        <v>27062343449</v>
      </c>
      <c r="F113" s="283">
        <v>0</v>
      </c>
      <c r="G113" s="283">
        <v>395000</v>
      </c>
      <c r="H113" s="284">
        <v>0</v>
      </c>
      <c r="I113" s="284">
        <v>0</v>
      </c>
      <c r="J113" s="284">
        <v>0</v>
      </c>
      <c r="K113" s="284">
        <v>0</v>
      </c>
      <c r="L113" s="284">
        <v>0</v>
      </c>
      <c r="M113" s="283">
        <v>0</v>
      </c>
      <c r="N113" s="283">
        <v>395000</v>
      </c>
    </row>
    <row r="114" spans="1:14" s="317" customFormat="1">
      <c r="A114" s="307">
        <v>45496</v>
      </c>
      <c r="B114" s="281" t="s">
        <v>1311</v>
      </c>
      <c r="C114" s="282" t="s">
        <v>1193</v>
      </c>
      <c r="D114" s="282" t="s">
        <v>1179</v>
      </c>
      <c r="E114" s="282">
        <v>27062343449</v>
      </c>
      <c r="F114" s="283">
        <v>0</v>
      </c>
      <c r="G114" s="283">
        <v>395000</v>
      </c>
      <c r="H114" s="284">
        <v>0</v>
      </c>
      <c r="I114" s="284">
        <v>0</v>
      </c>
      <c r="J114" s="284">
        <v>0</v>
      </c>
      <c r="K114" s="284">
        <v>0</v>
      </c>
      <c r="L114" s="284">
        <v>0</v>
      </c>
      <c r="M114" s="283">
        <v>0</v>
      </c>
      <c r="N114" s="283">
        <v>395000</v>
      </c>
    </row>
    <row r="115" spans="1:14" s="317" customFormat="1">
      <c r="A115" s="307">
        <v>45478</v>
      </c>
      <c r="B115" s="281" t="s">
        <v>1231</v>
      </c>
      <c r="C115" s="282" t="s">
        <v>1232</v>
      </c>
      <c r="D115" s="282" t="s">
        <v>1179</v>
      </c>
      <c r="E115" s="282">
        <v>20277164192</v>
      </c>
      <c r="F115" s="283">
        <v>0</v>
      </c>
      <c r="G115" s="283">
        <v>5700</v>
      </c>
      <c r="H115" s="284">
        <v>0</v>
      </c>
      <c r="I115" s="284">
        <v>0</v>
      </c>
      <c r="J115" s="284">
        <v>0</v>
      </c>
      <c r="K115" s="284">
        <v>0</v>
      </c>
      <c r="L115" s="284">
        <v>0</v>
      </c>
      <c r="M115" s="283">
        <v>0</v>
      </c>
      <c r="N115" s="283">
        <v>5700</v>
      </c>
    </row>
    <row r="116" spans="1:14" s="317" customFormat="1">
      <c r="A116" s="307">
        <v>45484</v>
      </c>
      <c r="B116" s="281" t="s">
        <v>1357</v>
      </c>
      <c r="C116" s="282" t="s">
        <v>1358</v>
      </c>
      <c r="D116" s="282" t="s">
        <v>1179</v>
      </c>
      <c r="E116" s="282">
        <v>27178792178</v>
      </c>
      <c r="F116" s="283"/>
      <c r="G116" s="283">
        <v>680000</v>
      </c>
      <c r="H116" s="284">
        <v>0</v>
      </c>
      <c r="I116" s="284">
        <v>0</v>
      </c>
      <c r="J116" s="284">
        <v>0</v>
      </c>
      <c r="K116" s="284">
        <v>0</v>
      </c>
      <c r="L116" s="284">
        <v>0</v>
      </c>
      <c r="M116" s="283">
        <v>0</v>
      </c>
      <c r="N116" s="283">
        <v>680000</v>
      </c>
    </row>
    <row r="117" spans="1:14">
      <c r="A117" s="312">
        <v>45456</v>
      </c>
      <c r="B117" s="308" t="s">
        <v>1355</v>
      </c>
      <c r="C117" s="309" t="s">
        <v>627</v>
      </c>
      <c r="D117" s="309" t="s">
        <v>688</v>
      </c>
      <c r="E117" s="309">
        <v>33531122599</v>
      </c>
      <c r="F117" s="310">
        <v>80000</v>
      </c>
      <c r="G117" s="310">
        <v>0</v>
      </c>
      <c r="H117" s="309">
        <v>0</v>
      </c>
      <c r="I117" s="309">
        <v>0</v>
      </c>
      <c r="J117" s="309">
        <v>0</v>
      </c>
      <c r="K117" s="309">
        <v>16800</v>
      </c>
      <c r="L117" s="309">
        <v>0</v>
      </c>
      <c r="M117" s="310">
        <v>0</v>
      </c>
      <c r="N117" s="310">
        <v>96800</v>
      </c>
    </row>
    <row r="118" spans="1:14" s="317" customFormat="1">
      <c r="A118" s="312">
        <v>45455</v>
      </c>
      <c r="B118" s="308" t="s">
        <v>1173</v>
      </c>
      <c r="C118" s="309" t="s">
        <v>1174</v>
      </c>
      <c r="D118" s="309" t="s">
        <v>688</v>
      </c>
      <c r="E118" s="309">
        <v>27942499154</v>
      </c>
      <c r="F118" s="310">
        <v>16528.93</v>
      </c>
      <c r="G118" s="310">
        <v>0</v>
      </c>
      <c r="H118" s="309">
        <v>0</v>
      </c>
      <c r="I118" s="309">
        <v>0</v>
      </c>
      <c r="J118" s="309">
        <v>0</v>
      </c>
      <c r="K118" s="309">
        <v>3471.08</v>
      </c>
      <c r="L118" s="309">
        <v>0</v>
      </c>
      <c r="M118" s="310">
        <v>0</v>
      </c>
      <c r="N118" s="310">
        <v>20000.010000000002</v>
      </c>
    </row>
    <row r="119" spans="1:14" s="317" customFormat="1">
      <c r="A119" s="313">
        <v>45503</v>
      </c>
      <c r="B119" s="314" t="s">
        <v>1325</v>
      </c>
      <c r="C119" s="315" t="s">
        <v>1326</v>
      </c>
      <c r="D119" s="315" t="s">
        <v>688</v>
      </c>
      <c r="E119" s="315">
        <v>30716815710</v>
      </c>
      <c r="F119" s="316">
        <v>13400</v>
      </c>
      <c r="G119" s="316">
        <v>0</v>
      </c>
      <c r="H119" s="315">
        <v>0</v>
      </c>
      <c r="I119" s="315">
        <v>0</v>
      </c>
      <c r="J119" s="315">
        <v>0</v>
      </c>
      <c r="K119" s="315">
        <v>2814</v>
      </c>
      <c r="L119" s="315">
        <v>0</v>
      </c>
      <c r="M119" s="316">
        <v>0</v>
      </c>
      <c r="N119" s="316">
        <v>16214</v>
      </c>
    </row>
    <row r="120" spans="1:14" s="317" customFormat="1">
      <c r="A120" s="313">
        <v>45487</v>
      </c>
      <c r="B120" s="314" t="s">
        <v>1258</v>
      </c>
      <c r="C120" s="315" t="s">
        <v>1259</v>
      </c>
      <c r="D120" s="315" t="s">
        <v>688</v>
      </c>
      <c r="E120" s="315">
        <v>33715594949</v>
      </c>
      <c r="F120" s="316">
        <v>36231.57</v>
      </c>
      <c r="G120" s="316">
        <v>0</v>
      </c>
      <c r="H120" s="315">
        <v>0</v>
      </c>
      <c r="I120" s="315">
        <v>0</v>
      </c>
      <c r="J120" s="315">
        <v>0</v>
      </c>
      <c r="K120" s="315">
        <v>7608.63</v>
      </c>
      <c r="L120" s="315">
        <v>0</v>
      </c>
      <c r="M120" s="316">
        <v>3759.8</v>
      </c>
      <c r="N120" s="316">
        <v>47600</v>
      </c>
    </row>
    <row r="121" spans="1:14" s="317" customFormat="1">
      <c r="A121" s="313">
        <v>45493</v>
      </c>
      <c r="B121" s="314" t="s">
        <v>1292</v>
      </c>
      <c r="C121" s="315" t="s">
        <v>1253</v>
      </c>
      <c r="D121" s="315" t="s">
        <v>688</v>
      </c>
      <c r="E121" s="315">
        <v>30685116657</v>
      </c>
      <c r="F121" s="316">
        <v>36015.72</v>
      </c>
      <c r="G121" s="316">
        <v>0</v>
      </c>
      <c r="H121" s="315">
        <v>0</v>
      </c>
      <c r="I121" s="315">
        <v>0</v>
      </c>
      <c r="J121" s="315">
        <v>0</v>
      </c>
      <c r="K121" s="315">
        <v>7563.3</v>
      </c>
      <c r="L121" s="315">
        <v>0</v>
      </c>
      <c r="M121" s="316">
        <v>6424.79</v>
      </c>
      <c r="N121" s="316">
        <v>50003.81</v>
      </c>
    </row>
    <row r="122" spans="1:14" s="317" customFormat="1">
      <c r="A122" s="313">
        <v>45474</v>
      </c>
      <c r="B122" s="314" t="s">
        <v>1198</v>
      </c>
      <c r="C122" s="315" t="s">
        <v>1199</v>
      </c>
      <c r="D122" s="315" t="s">
        <v>688</v>
      </c>
      <c r="E122" s="315">
        <v>33688436279</v>
      </c>
      <c r="F122" s="316">
        <v>33236.31</v>
      </c>
      <c r="G122" s="316">
        <v>0</v>
      </c>
      <c r="H122" s="315">
        <v>0</v>
      </c>
      <c r="I122" s="315">
        <v>0</v>
      </c>
      <c r="J122" s="315">
        <v>0</v>
      </c>
      <c r="K122" s="315">
        <v>6979.63</v>
      </c>
      <c r="L122" s="315">
        <v>0</v>
      </c>
      <c r="M122" s="316">
        <v>6187.03</v>
      </c>
      <c r="N122" s="316">
        <v>46402.97</v>
      </c>
    </row>
    <row r="123" spans="1:14" s="317" customFormat="1">
      <c r="A123" s="313">
        <v>45484</v>
      </c>
      <c r="B123" s="314" t="s">
        <v>1252</v>
      </c>
      <c r="C123" s="315" t="s">
        <v>1253</v>
      </c>
      <c r="D123" s="315" t="s">
        <v>688</v>
      </c>
      <c r="E123" s="315">
        <v>30685116657</v>
      </c>
      <c r="F123" s="316">
        <v>35581.89</v>
      </c>
      <c r="G123" s="316">
        <v>0</v>
      </c>
      <c r="H123" s="315">
        <v>0</v>
      </c>
      <c r="I123" s="315">
        <v>0</v>
      </c>
      <c r="J123" s="315">
        <v>0</v>
      </c>
      <c r="K123" s="315">
        <v>7472.2</v>
      </c>
      <c r="L123" s="315">
        <v>0</v>
      </c>
      <c r="M123" s="316">
        <v>6347.4</v>
      </c>
      <c r="N123" s="316">
        <v>49401.49</v>
      </c>
    </row>
    <row r="124" spans="1:14">
      <c r="A124" s="312">
        <v>45455</v>
      </c>
      <c r="B124" s="308" t="s">
        <v>1175</v>
      </c>
      <c r="C124" s="309" t="s">
        <v>1176</v>
      </c>
      <c r="D124" s="309" t="s">
        <v>688</v>
      </c>
      <c r="E124" s="309">
        <v>20139793170</v>
      </c>
      <c r="F124" s="310">
        <v>35450.39</v>
      </c>
      <c r="G124" s="310">
        <v>0</v>
      </c>
      <c r="H124" s="309">
        <v>0</v>
      </c>
      <c r="I124" s="309">
        <v>0</v>
      </c>
      <c r="J124" s="309">
        <v>0</v>
      </c>
      <c r="K124" s="309">
        <v>7444.58</v>
      </c>
      <c r="L124" s="309">
        <v>0</v>
      </c>
      <c r="M124" s="310">
        <v>6161.02</v>
      </c>
      <c r="N124" s="310">
        <v>49055.99</v>
      </c>
    </row>
    <row r="125" spans="1:14" s="317" customFormat="1">
      <c r="A125" s="313">
        <v>45482</v>
      </c>
      <c r="B125" s="314" t="s">
        <v>1237</v>
      </c>
      <c r="C125" s="315" t="s">
        <v>1176</v>
      </c>
      <c r="D125" s="315" t="s">
        <v>688</v>
      </c>
      <c r="E125" s="315">
        <v>20139793170</v>
      </c>
      <c r="F125" s="316">
        <v>94948.88</v>
      </c>
      <c r="G125" s="316">
        <v>0</v>
      </c>
      <c r="H125" s="315">
        <v>0</v>
      </c>
      <c r="I125" s="315">
        <v>0</v>
      </c>
      <c r="J125" s="315">
        <v>0</v>
      </c>
      <c r="K125" s="315">
        <v>19939.260000000002</v>
      </c>
      <c r="L125" s="315">
        <v>0</v>
      </c>
      <c r="M125" s="316">
        <v>8618.91</v>
      </c>
      <c r="N125" s="316">
        <v>123507.05</v>
      </c>
    </row>
    <row r="126" spans="1:14" s="317" customFormat="1">
      <c r="A126" s="313">
        <v>45487</v>
      </c>
      <c r="B126" s="314" t="s">
        <v>1260</v>
      </c>
      <c r="C126" s="315" t="s">
        <v>1176</v>
      </c>
      <c r="D126" s="315" t="s">
        <v>688</v>
      </c>
      <c r="E126" s="315">
        <v>20139793170</v>
      </c>
      <c r="F126" s="316">
        <v>46675.67</v>
      </c>
      <c r="G126" s="316">
        <v>0</v>
      </c>
      <c r="H126" s="315">
        <v>0</v>
      </c>
      <c r="I126" s="315">
        <v>0</v>
      </c>
      <c r="J126" s="315">
        <v>0</v>
      </c>
      <c r="K126" s="315">
        <v>9801.89</v>
      </c>
      <c r="L126" s="315">
        <v>0</v>
      </c>
      <c r="M126" s="316">
        <v>4323.3900000000003</v>
      </c>
      <c r="N126" s="316">
        <v>60800.95</v>
      </c>
    </row>
    <row r="127" spans="1:14" s="317" customFormat="1">
      <c r="A127" s="313">
        <v>45492</v>
      </c>
      <c r="B127" s="314" t="s">
        <v>1410</v>
      </c>
      <c r="C127" s="315" t="s">
        <v>1176</v>
      </c>
      <c r="D127" s="315" t="s">
        <v>688</v>
      </c>
      <c r="E127" s="315">
        <v>20139793170</v>
      </c>
      <c r="F127" s="316">
        <v>38383.94</v>
      </c>
      <c r="G127" s="316">
        <v>0</v>
      </c>
      <c r="H127" s="315">
        <v>0</v>
      </c>
      <c r="I127" s="315">
        <v>0</v>
      </c>
      <c r="J127" s="315">
        <v>0</v>
      </c>
      <c r="K127" s="315">
        <v>8060.63</v>
      </c>
      <c r="L127" s="315">
        <v>0</v>
      </c>
      <c r="M127" s="316">
        <v>3555.36</v>
      </c>
      <c r="N127" s="316">
        <v>49999.93</v>
      </c>
    </row>
    <row r="128" spans="1:14" s="317" customFormat="1">
      <c r="A128" s="313">
        <v>45495</v>
      </c>
      <c r="B128" s="314" t="s">
        <v>1302</v>
      </c>
      <c r="C128" s="315" t="s">
        <v>1176</v>
      </c>
      <c r="D128" s="315" t="s">
        <v>688</v>
      </c>
      <c r="E128" s="315">
        <v>20139793170</v>
      </c>
      <c r="F128" s="316">
        <v>73087.75</v>
      </c>
      <c r="G128" s="316">
        <v>0</v>
      </c>
      <c r="H128" s="315">
        <v>0</v>
      </c>
      <c r="I128" s="315">
        <v>0</v>
      </c>
      <c r="J128" s="315">
        <v>0</v>
      </c>
      <c r="K128" s="315">
        <v>15348.43</v>
      </c>
      <c r="L128" s="315">
        <v>0</v>
      </c>
      <c r="M128" s="316">
        <v>6769.85</v>
      </c>
      <c r="N128" s="316">
        <v>95206.03</v>
      </c>
    </row>
    <row r="129" spans="1:17">
      <c r="A129" s="313">
        <v>45501</v>
      </c>
      <c r="B129" s="314" t="s">
        <v>1322</v>
      </c>
      <c r="C129" s="315" t="s">
        <v>1176</v>
      </c>
      <c r="D129" s="315" t="s">
        <v>688</v>
      </c>
      <c r="E129" s="315">
        <v>20139793170</v>
      </c>
      <c r="F129" s="316">
        <v>90376.27</v>
      </c>
      <c r="G129" s="316">
        <v>0</v>
      </c>
      <c r="H129" s="315">
        <v>0</v>
      </c>
      <c r="I129" s="315">
        <v>0</v>
      </c>
      <c r="J129" s="315">
        <v>0</v>
      </c>
      <c r="K129" s="315">
        <v>18979.02</v>
      </c>
      <c r="L129" s="315">
        <v>0</v>
      </c>
      <c r="M129" s="316">
        <v>8272.69</v>
      </c>
      <c r="N129" s="316">
        <v>117627.98</v>
      </c>
    </row>
    <row r="130" spans="1:17" ht="15.75" thickBot="1">
      <c r="F130" s="280">
        <f>SUM(F6:F129)</f>
        <v>59861424.520000011</v>
      </c>
      <c r="G130" s="280">
        <f>SUM(G6:G129)</f>
        <v>16517670.200000001</v>
      </c>
      <c r="H130" s="285">
        <f t="shared" ref="H130:I130" si="0">SUM(H6:H129)</f>
        <v>0</v>
      </c>
      <c r="I130" s="285">
        <f t="shared" si="0"/>
        <v>0</v>
      </c>
      <c r="J130" s="285">
        <f>SUM(J6:J129)</f>
        <v>3470207.24</v>
      </c>
      <c r="K130" s="285">
        <f>SUM(K6:K129)</f>
        <v>5615042.7000000011</v>
      </c>
      <c r="L130" s="285">
        <f>SUM(L6:L129)</f>
        <v>19853.97</v>
      </c>
      <c r="M130" s="280">
        <f>SUM(M6:M129)</f>
        <v>88769.430000000008</v>
      </c>
      <c r="N130" s="280">
        <f>SUM(N6:N129)</f>
        <v>85572968.060000017</v>
      </c>
    </row>
    <row r="131" spans="1:17" ht="15.75" thickBot="1">
      <c r="H131" s="349">
        <f>+SUM(H130:L130)</f>
        <v>9105103.910000002</v>
      </c>
      <c r="I131" s="350"/>
      <c r="J131" s="350"/>
      <c r="K131" s="350"/>
      <c r="L131" s="351"/>
    </row>
    <row r="132" spans="1:17">
      <c r="G132" s="229"/>
      <c r="H132" s="291"/>
      <c r="I132" s="292"/>
      <c r="J132" s="292"/>
      <c r="K132" s="292"/>
      <c r="L132" s="292"/>
      <c r="M132" s="229"/>
    </row>
    <row r="133" spans="1:17">
      <c r="G133" s="229"/>
      <c r="H133" s="291"/>
      <c r="I133" s="292"/>
      <c r="J133" s="292"/>
      <c r="K133" s="292"/>
      <c r="L133" s="292"/>
      <c r="M133" s="229"/>
    </row>
    <row r="134" spans="1:17">
      <c r="G134" s="229"/>
      <c r="H134" s="291"/>
      <c r="I134" s="292"/>
      <c r="J134" s="292"/>
      <c r="K134" s="292"/>
      <c r="L134" s="292"/>
      <c r="M134" s="229"/>
    </row>
    <row r="135" spans="1:17">
      <c r="B135" s="352" t="s">
        <v>1400</v>
      </c>
      <c r="C135" s="352"/>
      <c r="D135" s="352"/>
      <c r="E135" s="352"/>
      <c r="F135" s="352"/>
      <c r="G135" s="352"/>
      <c r="H135" s="352"/>
      <c r="I135" s="352"/>
      <c r="J135" s="352"/>
      <c r="K135" s="352"/>
      <c r="L135" s="352"/>
      <c r="M135" s="352"/>
      <c r="N135" s="352"/>
    </row>
    <row r="138" spans="1:17">
      <c r="A138" s="274" t="s">
        <v>102</v>
      </c>
      <c r="B138" s="274" t="s">
        <v>1385</v>
      </c>
      <c r="C138" s="274" t="s">
        <v>1386</v>
      </c>
      <c r="D138" s="274" t="s">
        <v>1387</v>
      </c>
      <c r="E138" s="274" t="s">
        <v>1388</v>
      </c>
      <c r="F138" s="274" t="s">
        <v>1389</v>
      </c>
      <c r="G138" s="274" t="s">
        <v>1390</v>
      </c>
      <c r="H138" s="274" t="s">
        <v>1391</v>
      </c>
      <c r="I138" s="274" t="s">
        <v>1392</v>
      </c>
      <c r="J138" s="274" t="s">
        <v>1393</v>
      </c>
      <c r="K138" s="274" t="s">
        <v>1394</v>
      </c>
      <c r="L138" s="274" t="s">
        <v>1395</v>
      </c>
      <c r="M138" s="274" t="s">
        <v>1396</v>
      </c>
      <c r="N138" s="274" t="s">
        <v>1397</v>
      </c>
      <c r="O138" s="274" t="s">
        <v>1398</v>
      </c>
      <c r="P138" s="274" t="s">
        <v>3</v>
      </c>
      <c r="Q138" s="274" t="s">
        <v>1399</v>
      </c>
    </row>
    <row r="139" spans="1:17">
      <c r="A139" s="286" t="s">
        <v>894</v>
      </c>
      <c r="B139" s="286" t="s">
        <v>1339</v>
      </c>
      <c r="C139" s="287">
        <v>1</v>
      </c>
      <c r="D139" s="287">
        <v>12</v>
      </c>
      <c r="E139" s="286"/>
      <c r="F139" s="287">
        <v>74305085368219</v>
      </c>
      <c r="G139" s="286" t="s">
        <v>7</v>
      </c>
      <c r="H139" s="287">
        <v>27443612705</v>
      </c>
      <c r="I139" s="286" t="s">
        <v>1346</v>
      </c>
      <c r="J139" s="287">
        <v>1</v>
      </c>
      <c r="K139" s="286" t="s">
        <v>1337</v>
      </c>
      <c r="L139" s="288"/>
      <c r="M139" s="288"/>
      <c r="N139" s="288"/>
      <c r="O139" s="288">
        <v>0</v>
      </c>
      <c r="P139" s="290"/>
      <c r="Q139" s="288">
        <v>600000</v>
      </c>
    </row>
    <row r="140" spans="1:17">
      <c r="A140" s="286" t="s">
        <v>796</v>
      </c>
      <c r="B140" s="286" t="s">
        <v>1339</v>
      </c>
      <c r="C140" s="287">
        <v>4</v>
      </c>
      <c r="D140" s="287">
        <v>35</v>
      </c>
      <c r="E140" s="286"/>
      <c r="F140" s="287">
        <v>74283166033414</v>
      </c>
      <c r="G140" s="286" t="s">
        <v>7</v>
      </c>
      <c r="H140" s="287">
        <v>20272417653</v>
      </c>
      <c r="I140" s="286" t="s">
        <v>1344</v>
      </c>
      <c r="J140" s="287">
        <v>1</v>
      </c>
      <c r="K140" s="286" t="s">
        <v>1337</v>
      </c>
      <c r="L140" s="288"/>
      <c r="M140" s="288"/>
      <c r="N140" s="288"/>
      <c r="O140" s="288">
        <v>0</v>
      </c>
      <c r="P140" s="290"/>
      <c r="Q140" s="288">
        <v>260000</v>
      </c>
    </row>
    <row r="141" spans="1:17">
      <c r="A141" s="286" t="s">
        <v>927</v>
      </c>
      <c r="B141" s="286" t="s">
        <v>1336</v>
      </c>
      <c r="C141" s="287">
        <v>6</v>
      </c>
      <c r="D141" s="287">
        <v>64</v>
      </c>
      <c r="E141" s="286"/>
      <c r="F141" s="287">
        <v>74292359557295</v>
      </c>
      <c r="G141" s="286" t="s">
        <v>7</v>
      </c>
      <c r="H141" s="287">
        <v>20263640862</v>
      </c>
      <c r="I141" s="286" t="s">
        <v>1347</v>
      </c>
      <c r="J141" s="287">
        <v>1</v>
      </c>
      <c r="K141" s="286" t="s">
        <v>1337</v>
      </c>
      <c r="L141" s="288">
        <v>75206.62</v>
      </c>
      <c r="M141" s="288">
        <v>0</v>
      </c>
      <c r="N141" s="288">
        <v>0</v>
      </c>
      <c r="O141" s="288">
        <v>0</v>
      </c>
      <c r="P141" s="290">
        <v>15793.39</v>
      </c>
      <c r="Q141" s="288">
        <v>91000</v>
      </c>
    </row>
    <row r="142" spans="1:17">
      <c r="A142" s="286" t="s">
        <v>1286</v>
      </c>
      <c r="B142" s="286" t="s">
        <v>1336</v>
      </c>
      <c r="C142" s="287">
        <v>7</v>
      </c>
      <c r="D142" s="287">
        <v>395</v>
      </c>
      <c r="E142" s="286"/>
      <c r="F142" s="287">
        <v>74297565435532</v>
      </c>
      <c r="G142" s="286" t="s">
        <v>7</v>
      </c>
      <c r="H142" s="287">
        <v>30717409007</v>
      </c>
      <c r="I142" s="286" t="s">
        <v>1350</v>
      </c>
      <c r="J142" s="287">
        <v>1</v>
      </c>
      <c r="K142" s="286" t="s">
        <v>1337</v>
      </c>
      <c r="L142" s="288">
        <v>46611.57</v>
      </c>
      <c r="M142" s="288">
        <v>0</v>
      </c>
      <c r="N142" s="288">
        <v>0</v>
      </c>
      <c r="O142" s="288">
        <v>0</v>
      </c>
      <c r="P142" s="290">
        <v>9788.43</v>
      </c>
      <c r="Q142" s="288">
        <v>56400</v>
      </c>
    </row>
    <row r="143" spans="1:17">
      <c r="A143" s="286" t="s">
        <v>766</v>
      </c>
      <c r="B143" s="286" t="s">
        <v>1336</v>
      </c>
      <c r="C143" s="287">
        <v>1057</v>
      </c>
      <c r="D143" s="287">
        <v>569</v>
      </c>
      <c r="E143" s="286"/>
      <c r="F143" s="287">
        <v>74271882575824</v>
      </c>
      <c r="G143" s="286" t="s">
        <v>7</v>
      </c>
      <c r="H143" s="287">
        <v>30685849751</v>
      </c>
      <c r="I143" s="286" t="s">
        <v>1341</v>
      </c>
      <c r="J143" s="287">
        <v>1</v>
      </c>
      <c r="K143" s="286" t="s">
        <v>1337</v>
      </c>
      <c r="L143" s="288">
        <v>15545.45</v>
      </c>
      <c r="M143" s="288">
        <v>0</v>
      </c>
      <c r="N143" s="288">
        <v>0</v>
      </c>
      <c r="O143" s="288">
        <v>0</v>
      </c>
      <c r="P143" s="290">
        <v>3264.55</v>
      </c>
      <c r="Q143" s="288">
        <v>19431.82</v>
      </c>
    </row>
    <row r="144" spans="1:17">
      <c r="A144" s="286" t="s">
        <v>1057</v>
      </c>
      <c r="B144" s="286" t="s">
        <v>1336</v>
      </c>
      <c r="C144" s="287">
        <v>7</v>
      </c>
      <c r="D144" s="287">
        <v>1247</v>
      </c>
      <c r="E144" s="286"/>
      <c r="F144" s="287">
        <v>74306210605040</v>
      </c>
      <c r="G144" s="286" t="s">
        <v>7</v>
      </c>
      <c r="H144" s="287">
        <v>30712187316</v>
      </c>
      <c r="I144" s="286" t="s">
        <v>68</v>
      </c>
      <c r="J144" s="287">
        <v>1</v>
      </c>
      <c r="K144" s="286" t="s">
        <v>1337</v>
      </c>
      <c r="L144" s="288">
        <v>117224.59</v>
      </c>
      <c r="M144" s="288">
        <v>0</v>
      </c>
      <c r="N144" s="288">
        <v>0</v>
      </c>
      <c r="O144" s="288">
        <v>0</v>
      </c>
      <c r="P144" s="290">
        <v>24617.16</v>
      </c>
      <c r="Q144" s="288">
        <v>141841.75</v>
      </c>
    </row>
    <row r="145" spans="1:17">
      <c r="A145" s="286" t="s">
        <v>943</v>
      </c>
      <c r="B145" s="286" t="s">
        <v>1336</v>
      </c>
      <c r="C145" s="287">
        <v>5</v>
      </c>
      <c r="D145" s="287">
        <v>1589</v>
      </c>
      <c r="E145" s="286"/>
      <c r="F145" s="287">
        <v>74294463686236</v>
      </c>
      <c r="G145" s="286" t="s">
        <v>7</v>
      </c>
      <c r="H145" s="287">
        <v>30714712604</v>
      </c>
      <c r="I145" s="286" t="s">
        <v>1348</v>
      </c>
      <c r="J145" s="287">
        <v>1</v>
      </c>
      <c r="K145" s="286" t="s">
        <v>1337</v>
      </c>
      <c r="L145" s="288">
        <v>74214.05</v>
      </c>
      <c r="M145" s="288">
        <v>0</v>
      </c>
      <c r="N145" s="288">
        <v>0</v>
      </c>
      <c r="O145" s="288">
        <v>0</v>
      </c>
      <c r="P145" s="290">
        <v>15584.95</v>
      </c>
      <c r="Q145" s="288">
        <v>89799</v>
      </c>
    </row>
    <row r="146" spans="1:17">
      <c r="A146" s="286" t="s">
        <v>1098</v>
      </c>
      <c r="B146" s="286" t="s">
        <v>1336</v>
      </c>
      <c r="C146" s="287">
        <v>18</v>
      </c>
      <c r="D146" s="287">
        <v>2048</v>
      </c>
      <c r="E146" s="286"/>
      <c r="F146" s="287">
        <v>74316512167725</v>
      </c>
      <c r="G146" s="286" t="s">
        <v>7</v>
      </c>
      <c r="H146" s="287">
        <v>30712049886</v>
      </c>
      <c r="I146" s="286" t="s">
        <v>1352</v>
      </c>
      <c r="J146" s="287">
        <v>1</v>
      </c>
      <c r="K146" s="286" t="s">
        <v>1337</v>
      </c>
      <c r="L146" s="288">
        <v>16528.93</v>
      </c>
      <c r="M146" s="288">
        <v>0</v>
      </c>
      <c r="N146" s="288">
        <v>0</v>
      </c>
      <c r="O146" s="288">
        <v>0</v>
      </c>
      <c r="P146" s="290">
        <v>3471.07</v>
      </c>
      <c r="Q146" s="288">
        <v>20000</v>
      </c>
    </row>
    <row r="147" spans="1:17">
      <c r="A147" s="286" t="s">
        <v>973</v>
      </c>
      <c r="B147" s="286" t="s">
        <v>1336</v>
      </c>
      <c r="C147" s="287">
        <v>6136</v>
      </c>
      <c r="D147" s="287">
        <v>11463</v>
      </c>
      <c r="E147" s="286"/>
      <c r="F147" s="287">
        <v>34289099540173</v>
      </c>
      <c r="G147" s="286" t="s">
        <v>7</v>
      </c>
      <c r="H147" s="287">
        <v>33707675069</v>
      </c>
      <c r="I147" s="286" t="s">
        <v>1351</v>
      </c>
      <c r="J147" s="287">
        <v>1</v>
      </c>
      <c r="K147" s="286" t="s">
        <v>1337</v>
      </c>
      <c r="L147" s="288">
        <v>7933.9</v>
      </c>
      <c r="M147" s="288">
        <v>0</v>
      </c>
      <c r="N147" s="288">
        <v>0</v>
      </c>
      <c r="O147" s="288">
        <v>0</v>
      </c>
      <c r="P147" s="290">
        <v>1666.12</v>
      </c>
      <c r="Q147" s="288">
        <v>9600.02</v>
      </c>
    </row>
    <row r="148" spans="1:17">
      <c r="A148" s="286" t="s">
        <v>703</v>
      </c>
      <c r="B148" s="286" t="s">
        <v>1336</v>
      </c>
      <c r="C148" s="287">
        <v>6</v>
      </c>
      <c r="D148" s="287">
        <v>13491</v>
      </c>
      <c r="E148" s="286"/>
      <c r="F148" s="287">
        <v>74273644701506</v>
      </c>
      <c r="G148" s="286" t="s">
        <v>7</v>
      </c>
      <c r="H148" s="287">
        <v>27929147893</v>
      </c>
      <c r="I148" s="286" t="s">
        <v>1340</v>
      </c>
      <c r="J148" s="287">
        <v>1</v>
      </c>
      <c r="K148" s="286" t="s">
        <v>1337</v>
      </c>
      <c r="L148" s="288">
        <v>7355.37</v>
      </c>
      <c r="M148" s="288">
        <v>0</v>
      </c>
      <c r="N148" s="288">
        <v>0</v>
      </c>
      <c r="O148" s="288">
        <v>0</v>
      </c>
      <c r="P148" s="290">
        <v>1544.63</v>
      </c>
      <c r="Q148" s="288">
        <v>8900</v>
      </c>
    </row>
    <row r="149" spans="1:17">
      <c r="A149" s="286" t="s">
        <v>653</v>
      </c>
      <c r="B149" s="286" t="s">
        <v>1336</v>
      </c>
      <c r="C149" s="287">
        <v>1326</v>
      </c>
      <c r="D149" s="287">
        <v>1171020</v>
      </c>
      <c r="E149" s="286"/>
      <c r="F149" s="287">
        <v>74277498249368</v>
      </c>
      <c r="G149" s="286" t="s">
        <v>7</v>
      </c>
      <c r="H149" s="287">
        <v>30663288497</v>
      </c>
      <c r="I149" s="286" t="s">
        <v>1338</v>
      </c>
      <c r="J149" s="287">
        <v>1</v>
      </c>
      <c r="K149" s="286" t="s">
        <v>1337</v>
      </c>
      <c r="L149" s="288">
        <v>37410</v>
      </c>
      <c r="M149" s="288">
        <v>0</v>
      </c>
      <c r="N149" s="288">
        <v>0</v>
      </c>
      <c r="O149" s="288">
        <v>0</v>
      </c>
      <c r="P149" s="290">
        <v>9266.4</v>
      </c>
      <c r="Q149" s="288">
        <v>50532.21</v>
      </c>
    </row>
    <row r="150" spans="1:17">
      <c r="A150" s="286" t="s">
        <v>943</v>
      </c>
      <c r="B150" s="286" t="s">
        <v>1339</v>
      </c>
      <c r="C150" s="287">
        <v>600</v>
      </c>
      <c r="D150" s="287">
        <v>1284072</v>
      </c>
      <c r="E150" s="286"/>
      <c r="F150" s="287">
        <v>74308753465271</v>
      </c>
      <c r="G150" s="286" t="s">
        <v>7</v>
      </c>
      <c r="H150" s="287">
        <v>30710573308</v>
      </c>
      <c r="I150" s="286" t="s">
        <v>1349</v>
      </c>
      <c r="J150" s="287">
        <v>1</v>
      </c>
      <c r="K150" s="286" t="s">
        <v>1337</v>
      </c>
      <c r="L150" s="288"/>
      <c r="M150" s="288"/>
      <c r="N150" s="288"/>
      <c r="O150" s="288">
        <v>0</v>
      </c>
      <c r="P150" s="290"/>
      <c r="Q150" s="288">
        <v>40068</v>
      </c>
    </row>
    <row r="151" spans="1:17">
      <c r="A151" s="286" t="s">
        <v>1098</v>
      </c>
      <c r="B151" s="286" t="s">
        <v>1336</v>
      </c>
      <c r="C151" s="287">
        <v>503</v>
      </c>
      <c r="D151" s="287">
        <v>1406043</v>
      </c>
      <c r="E151" s="286"/>
      <c r="F151" s="287">
        <v>74312570693695</v>
      </c>
      <c r="G151" s="286" t="s">
        <v>7</v>
      </c>
      <c r="H151" s="287">
        <v>30639935872</v>
      </c>
      <c r="I151" s="286" t="s">
        <v>1353</v>
      </c>
      <c r="J151" s="287">
        <v>1</v>
      </c>
      <c r="K151" s="286" t="s">
        <v>1337</v>
      </c>
      <c r="L151" s="288">
        <v>2396.6999999999998</v>
      </c>
      <c r="M151" s="288">
        <v>0</v>
      </c>
      <c r="N151" s="288">
        <v>0</v>
      </c>
      <c r="O151" s="288">
        <v>0</v>
      </c>
      <c r="P151" s="290">
        <v>503.3</v>
      </c>
      <c r="Q151" s="288">
        <v>2995.87</v>
      </c>
    </row>
    <row r="152" spans="1:17">
      <c r="A152" s="286" t="s">
        <v>1342</v>
      </c>
      <c r="B152" s="286" t="s">
        <v>1336</v>
      </c>
      <c r="C152" s="287">
        <v>12</v>
      </c>
      <c r="D152" s="287">
        <v>1749992</v>
      </c>
      <c r="E152" s="286"/>
      <c r="F152" s="287">
        <v>74284155920654</v>
      </c>
      <c r="G152" s="286" t="s">
        <v>7</v>
      </c>
      <c r="H152" s="287">
        <v>30709776564</v>
      </c>
      <c r="I152" s="286" t="s">
        <v>1343</v>
      </c>
      <c r="J152" s="287">
        <v>1</v>
      </c>
      <c r="K152" s="286" t="s">
        <v>1337</v>
      </c>
      <c r="L152" s="288">
        <v>110424.62</v>
      </c>
      <c r="M152" s="288">
        <v>0</v>
      </c>
      <c r="N152" s="288">
        <v>0</v>
      </c>
      <c r="O152" s="288">
        <v>0</v>
      </c>
      <c r="P152" s="290">
        <v>23189.17</v>
      </c>
      <c r="Q152" s="288">
        <v>138030.79</v>
      </c>
    </row>
    <row r="153" spans="1:17">
      <c r="A153" s="286" t="s">
        <v>876</v>
      </c>
      <c r="B153" s="286" t="s">
        <v>1336</v>
      </c>
      <c r="C153" s="287">
        <v>113</v>
      </c>
      <c r="D153" s="287">
        <v>3696756</v>
      </c>
      <c r="E153" s="286"/>
      <c r="F153" s="287">
        <v>74290264554653</v>
      </c>
      <c r="G153" s="286" t="s">
        <v>7</v>
      </c>
      <c r="H153" s="287">
        <v>30577207190</v>
      </c>
      <c r="I153" s="286" t="s">
        <v>1345</v>
      </c>
      <c r="J153" s="287">
        <v>1</v>
      </c>
      <c r="K153" s="286" t="s">
        <v>1337</v>
      </c>
      <c r="L153" s="288">
        <v>1652.89</v>
      </c>
      <c r="M153" s="288">
        <v>0</v>
      </c>
      <c r="N153" s="288">
        <v>0</v>
      </c>
      <c r="O153" s="288">
        <v>0</v>
      </c>
      <c r="P153" s="290">
        <v>347.11</v>
      </c>
      <c r="Q153" s="288">
        <v>2000</v>
      </c>
    </row>
    <row r="154" spans="1:17">
      <c r="A154" s="286" t="s">
        <v>1141</v>
      </c>
      <c r="B154" s="286" t="s">
        <v>1336</v>
      </c>
      <c r="C154" s="287">
        <v>6</v>
      </c>
      <c r="D154" s="287">
        <v>17094103</v>
      </c>
      <c r="E154" s="286"/>
      <c r="F154" s="287">
        <v>74317575072057</v>
      </c>
      <c r="G154" s="286" t="s">
        <v>7</v>
      </c>
      <c r="H154" s="287">
        <v>30620177497</v>
      </c>
      <c r="I154" s="286" t="s">
        <v>1354</v>
      </c>
      <c r="J154" s="287">
        <v>1</v>
      </c>
      <c r="K154" s="286" t="s">
        <v>1337</v>
      </c>
      <c r="L154" s="288">
        <v>24051.46</v>
      </c>
      <c r="M154" s="288">
        <v>0</v>
      </c>
      <c r="N154" s="288">
        <v>0</v>
      </c>
      <c r="O154" s="288">
        <v>0</v>
      </c>
      <c r="P154" s="290">
        <v>5050.8100000000004</v>
      </c>
      <c r="Q154" s="288">
        <v>30785.87</v>
      </c>
    </row>
    <row r="155" spans="1:17">
      <c r="L155" s="289">
        <f>SUM(L139:L154)</f>
        <v>536556.15</v>
      </c>
      <c r="M155" s="289">
        <f t="shared" ref="M155:Q155" si="1">SUM(M139:M154)</f>
        <v>0</v>
      </c>
      <c r="N155" s="289">
        <f t="shared" si="1"/>
        <v>0</v>
      </c>
      <c r="O155" s="289">
        <f t="shared" si="1"/>
        <v>0</v>
      </c>
      <c r="P155" s="289">
        <f t="shared" si="1"/>
        <v>114087.09</v>
      </c>
      <c r="Q155" s="289">
        <f t="shared" si="1"/>
        <v>1561385.33</v>
      </c>
    </row>
    <row r="158" spans="1:17">
      <c r="B158" s="353" t="s">
        <v>1401</v>
      </c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</row>
    <row r="162" spans="2:4">
      <c r="B162" s="274" t="s">
        <v>1402</v>
      </c>
    </row>
    <row r="163" spans="2:4">
      <c r="B163" s="215" t="s">
        <v>1403</v>
      </c>
      <c r="C163" s="215"/>
      <c r="D163" s="215">
        <v>390</v>
      </c>
    </row>
    <row r="164" spans="2:4">
      <c r="B164" s="215" t="s">
        <v>1404</v>
      </c>
      <c r="C164" s="215"/>
      <c r="D164" s="215">
        <v>3497.76</v>
      </c>
    </row>
    <row r="167" spans="2:4">
      <c r="B167" s="274" t="s">
        <v>1405</v>
      </c>
    </row>
    <row r="168" spans="2:4">
      <c r="B168" s="215" t="s">
        <v>1406</v>
      </c>
      <c r="C168" s="215"/>
      <c r="D168" s="215">
        <v>5906.25</v>
      </c>
    </row>
    <row r="169" spans="2:4">
      <c r="B169" s="215" t="s">
        <v>1407</v>
      </c>
      <c r="C169" s="215"/>
      <c r="D169" s="215">
        <v>750</v>
      </c>
    </row>
    <row r="172" spans="2:4">
      <c r="C172" s="55" t="s">
        <v>1408</v>
      </c>
      <c r="D172" s="293">
        <f>+SUM(D163,D164,D168,D169)</f>
        <v>10544.01</v>
      </c>
    </row>
  </sheetData>
  <autoFilter ref="A5:N131">
    <sortState ref="A6:N131">
      <sortCondition ref="A6:A129"/>
    </sortState>
  </autoFilter>
  <sortState ref="A6:N129">
    <sortCondition ref="B6:B129"/>
  </sortState>
  <mergeCells count="3">
    <mergeCell ref="H131:L131"/>
    <mergeCell ref="B135:N135"/>
    <mergeCell ref="B158:N158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Configuracion</vt:lpstr>
      <vt:lpstr>Julio 2024</vt:lpstr>
      <vt:lpstr>Calculo IVA</vt:lpstr>
      <vt:lpstr>Ventas 07</vt:lpstr>
      <vt:lpstr>Compras 07 </vt:lpstr>
      <vt:lpstr>'Julio 2024'!Área_de_impresión</vt:lpstr>
      <vt:lpstr>Configuracion!partner_id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2018-04-24T16:39:23Z</cp:lastPrinted>
  <dcterms:created xsi:type="dcterms:W3CDTF">2006-09-16T00:00:00Z</dcterms:created>
  <dcterms:modified xsi:type="dcterms:W3CDTF">2024-08-21T19:50:05Z</dcterms:modified>
</cp:coreProperties>
</file>