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GASTRONOMIA EN MOVIMIENTO SRL\COMPRAS VENTAS 2024\04-2024\"/>
    </mc:Choice>
  </mc:AlternateContent>
  <xr:revisionPtr revIDLastSave="0" documentId="13_ncr:1_{4D8ED952-F558-4AF8-80D6-B9EA413BE0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va Compras" sheetId="1" r:id="rId1"/>
    <sheet name="Mis Comprobantes" sheetId="2" r:id="rId2"/>
    <sheet name="Hoja3" sheetId="3" r:id="rId3"/>
  </sheets>
  <definedNames>
    <definedName name="_xlnm._FilterDatabase" localSheetId="0" hidden="1">'Iva Compras'!$A$1:$S$524</definedName>
    <definedName name="_xlnm._FilterDatabase" localSheetId="1" hidden="1">'Mis Comprobantes'!$A$1:$R$745</definedName>
  </definedNames>
  <calcPr calcId="181029"/>
</workbook>
</file>

<file path=xl/calcChain.xml><?xml version="1.0" encoding="utf-8"?>
<calcChain xmlns="http://schemas.openxmlformats.org/spreadsheetml/2006/main">
  <c r="N491" i="1" l="1"/>
  <c r="N490" i="1"/>
  <c r="M525" i="1" l="1"/>
  <c r="O525" i="1"/>
  <c r="P525" i="1"/>
  <c r="N525" i="1"/>
  <c r="K3" i="1"/>
  <c r="K2" i="1"/>
  <c r="K6" i="1"/>
  <c r="K5" i="1"/>
  <c r="K7" i="1"/>
  <c r="K8" i="1"/>
  <c r="K10" i="1"/>
  <c r="K11" i="1"/>
  <c r="K12" i="1"/>
  <c r="K14" i="1"/>
  <c r="K16" i="1"/>
  <c r="K15" i="1"/>
  <c r="K17" i="1"/>
  <c r="K18" i="1"/>
  <c r="K20" i="1"/>
  <c r="K22" i="1"/>
  <c r="K24" i="1"/>
  <c r="K23" i="1"/>
  <c r="K25" i="1"/>
  <c r="K28" i="1"/>
  <c r="K29" i="1"/>
  <c r="K27" i="1"/>
  <c r="K31" i="1"/>
  <c r="K32" i="1"/>
  <c r="K34" i="1"/>
  <c r="K35" i="1"/>
  <c r="K36" i="1"/>
  <c r="K37" i="1"/>
  <c r="K38" i="1"/>
  <c r="K41" i="1"/>
  <c r="K40" i="1"/>
  <c r="K44" i="1"/>
  <c r="K43" i="1"/>
  <c r="K46" i="1"/>
  <c r="K48" i="1"/>
  <c r="K47" i="1"/>
  <c r="K50" i="1"/>
  <c r="K51" i="1"/>
  <c r="K52" i="1"/>
  <c r="K54" i="1"/>
  <c r="K56" i="1"/>
  <c r="K55" i="1"/>
  <c r="K58" i="1"/>
  <c r="K60" i="1"/>
  <c r="K59" i="1"/>
  <c r="K61" i="1"/>
  <c r="K64" i="1"/>
  <c r="K63" i="1"/>
  <c r="K65" i="1"/>
  <c r="K67" i="1"/>
  <c r="K68" i="1"/>
  <c r="K70" i="1"/>
  <c r="K71" i="1"/>
  <c r="K72" i="1"/>
  <c r="K73" i="1"/>
  <c r="K76" i="1"/>
  <c r="K75" i="1"/>
  <c r="K78" i="1"/>
  <c r="K80" i="1"/>
  <c r="K79" i="1"/>
  <c r="K82" i="1"/>
  <c r="K84" i="1"/>
  <c r="K83" i="1"/>
  <c r="K85" i="1"/>
  <c r="K88" i="1"/>
  <c r="K87" i="1"/>
  <c r="K90" i="1"/>
  <c r="K91" i="1"/>
  <c r="K92" i="1"/>
  <c r="K93" i="1"/>
  <c r="K95" i="1"/>
  <c r="K97" i="1"/>
  <c r="K96" i="1"/>
  <c r="K100" i="1"/>
  <c r="K99" i="1"/>
  <c r="K102" i="1"/>
  <c r="K104" i="1"/>
  <c r="K103" i="1"/>
  <c r="K106" i="1"/>
  <c r="K107" i="1"/>
  <c r="K109" i="1"/>
  <c r="K108" i="1"/>
  <c r="K110" i="1"/>
  <c r="K112" i="1"/>
  <c r="K113" i="1"/>
  <c r="K115" i="1"/>
  <c r="K116" i="1"/>
  <c r="K118" i="1"/>
  <c r="K119" i="1"/>
  <c r="K121" i="1"/>
  <c r="K120" i="1"/>
  <c r="K125" i="1"/>
  <c r="K126" i="1"/>
  <c r="K128" i="1"/>
  <c r="K129" i="1"/>
  <c r="K123" i="1"/>
  <c r="K122" i="1"/>
  <c r="K130" i="1"/>
  <c r="K137" i="1"/>
  <c r="K136" i="1"/>
  <c r="K138" i="1"/>
  <c r="K141" i="1"/>
  <c r="K140" i="1"/>
  <c r="K142" i="1"/>
  <c r="K145" i="1"/>
  <c r="K144" i="1"/>
  <c r="K146" i="1"/>
  <c r="K149" i="1"/>
  <c r="K148" i="1"/>
  <c r="K150" i="1"/>
  <c r="K153" i="1"/>
  <c r="K152" i="1"/>
  <c r="K155" i="1"/>
  <c r="K133" i="1"/>
  <c r="K132" i="1"/>
  <c r="K134" i="1"/>
  <c r="K156" i="1"/>
  <c r="K157" i="1"/>
  <c r="K159" i="1"/>
  <c r="K161" i="1"/>
  <c r="K160" i="1"/>
  <c r="K163" i="1"/>
  <c r="K164" i="1"/>
  <c r="K168" i="1"/>
  <c r="K170" i="1"/>
  <c r="K169" i="1"/>
  <c r="K172" i="1"/>
  <c r="K173" i="1"/>
  <c r="K175" i="1"/>
  <c r="K174" i="1"/>
  <c r="K165" i="1"/>
  <c r="K177" i="1"/>
  <c r="K176" i="1"/>
  <c r="K178" i="1"/>
  <c r="K180" i="1"/>
  <c r="K181" i="1"/>
  <c r="K182" i="1"/>
  <c r="K184" i="1"/>
  <c r="K186" i="1"/>
  <c r="K188" i="1"/>
  <c r="K187" i="1"/>
  <c r="K190" i="1"/>
  <c r="K191" i="1"/>
  <c r="K192" i="1"/>
  <c r="K194" i="1"/>
  <c r="K198" i="1"/>
  <c r="K197" i="1"/>
  <c r="K199" i="1"/>
  <c r="K195" i="1"/>
  <c r="K200" i="1"/>
  <c r="K202" i="1"/>
  <c r="K203" i="1"/>
  <c r="K204" i="1"/>
  <c r="K206" i="1"/>
  <c r="K210" i="1"/>
  <c r="K209" i="1"/>
  <c r="K208" i="1"/>
  <c r="K211" i="1"/>
  <c r="K212" i="1"/>
  <c r="K213" i="1"/>
  <c r="K216" i="1"/>
  <c r="K215" i="1"/>
  <c r="K217" i="1"/>
  <c r="K220" i="1"/>
  <c r="K219" i="1"/>
  <c r="K222" i="1"/>
  <c r="K224" i="1"/>
  <c r="K223" i="1"/>
  <c r="K225" i="1"/>
  <c r="K227" i="1"/>
  <c r="K228" i="1"/>
  <c r="K229" i="1"/>
  <c r="K242" i="1"/>
  <c r="K230" i="1"/>
  <c r="K232" i="1"/>
  <c r="K233" i="1"/>
  <c r="K234" i="1"/>
  <c r="K236" i="1"/>
  <c r="K238" i="1"/>
  <c r="K237" i="1"/>
  <c r="K239" i="1"/>
  <c r="K241" i="1"/>
  <c r="K245" i="1"/>
  <c r="K244" i="1"/>
  <c r="K246" i="1"/>
  <c r="K248" i="1"/>
  <c r="K250" i="1"/>
  <c r="K252" i="1"/>
  <c r="K251" i="1"/>
  <c r="K254" i="1"/>
  <c r="K256" i="1"/>
  <c r="K255" i="1"/>
  <c r="K257" i="1"/>
  <c r="K258" i="1"/>
  <c r="K260" i="1"/>
  <c r="K261" i="1"/>
  <c r="K265" i="1"/>
  <c r="K266" i="1"/>
  <c r="K268" i="1"/>
  <c r="K270" i="1"/>
  <c r="K269" i="1"/>
  <c r="K272" i="1"/>
  <c r="K273" i="1"/>
  <c r="K275" i="1"/>
  <c r="K274" i="1"/>
  <c r="K276" i="1"/>
  <c r="K280" i="1"/>
  <c r="K281" i="1"/>
  <c r="K282" i="1"/>
  <c r="K285" i="1"/>
  <c r="K284" i="1"/>
  <c r="K286" i="1"/>
  <c r="K289" i="1"/>
  <c r="K288" i="1"/>
  <c r="K290" i="1"/>
  <c r="K293" i="1"/>
  <c r="K292" i="1"/>
  <c r="K297" i="1"/>
  <c r="K299" i="1"/>
  <c r="K298" i="1"/>
  <c r="K301" i="1"/>
  <c r="K263" i="1"/>
  <c r="K264" i="1"/>
  <c r="K278" i="1"/>
  <c r="K295" i="1"/>
  <c r="K294" i="1"/>
  <c r="K303" i="1"/>
  <c r="K304" i="1"/>
  <c r="K305" i="1"/>
  <c r="K308" i="1"/>
  <c r="K311" i="1"/>
  <c r="K310" i="1"/>
  <c r="K312" i="1"/>
  <c r="K315" i="1"/>
  <c r="K314" i="1"/>
  <c r="K316" i="1"/>
  <c r="K319" i="1"/>
  <c r="K318" i="1"/>
  <c r="K322" i="1"/>
  <c r="K307" i="1"/>
  <c r="K306" i="1"/>
  <c r="K320" i="1"/>
  <c r="K325" i="1"/>
  <c r="K324" i="1"/>
  <c r="K327" i="1"/>
  <c r="K328" i="1"/>
  <c r="K330" i="1"/>
  <c r="K332" i="1"/>
  <c r="K331" i="1"/>
  <c r="K334" i="1"/>
  <c r="K336" i="1"/>
  <c r="K335" i="1"/>
  <c r="K338" i="1"/>
  <c r="K342" i="1"/>
  <c r="K341" i="1"/>
  <c r="K344" i="1"/>
  <c r="K343" i="1"/>
  <c r="K340" i="1"/>
  <c r="K346" i="1"/>
  <c r="K345" i="1"/>
  <c r="K348" i="1"/>
  <c r="K349" i="1"/>
  <c r="K350" i="1"/>
  <c r="K351" i="1"/>
  <c r="K352" i="1"/>
  <c r="K354" i="1"/>
  <c r="K355" i="1"/>
  <c r="K357" i="1"/>
  <c r="K356" i="1"/>
  <c r="K359" i="1"/>
  <c r="K358" i="1"/>
  <c r="K360" i="1"/>
  <c r="K361" i="1"/>
  <c r="K363" i="1"/>
  <c r="K362" i="1"/>
  <c r="K365" i="1"/>
  <c r="K364" i="1"/>
  <c r="K367" i="1"/>
  <c r="K366" i="1"/>
  <c r="K368" i="1"/>
  <c r="K369" i="1"/>
  <c r="K371" i="1"/>
  <c r="K370" i="1"/>
  <c r="K373" i="1"/>
  <c r="K372" i="1"/>
  <c r="K374" i="1"/>
  <c r="K353" i="1"/>
  <c r="K376" i="1"/>
  <c r="K375" i="1"/>
  <c r="K378" i="1"/>
  <c r="K377" i="1"/>
  <c r="K382" i="1"/>
  <c r="K381" i="1"/>
  <c r="K384" i="1"/>
  <c r="K383" i="1"/>
  <c r="K386" i="1"/>
  <c r="K385" i="1"/>
  <c r="K388" i="1"/>
  <c r="K387" i="1"/>
  <c r="K380" i="1"/>
  <c r="K379" i="1"/>
  <c r="K389" i="1"/>
  <c r="K390" i="1"/>
  <c r="K391" i="1"/>
  <c r="K392" i="1"/>
  <c r="K393" i="1"/>
  <c r="K394" i="1"/>
  <c r="K396" i="1"/>
  <c r="K395" i="1"/>
  <c r="K398" i="1"/>
  <c r="K397" i="1"/>
  <c r="K400" i="1"/>
  <c r="K399" i="1"/>
  <c r="K401" i="1"/>
  <c r="K402" i="1"/>
  <c r="K404" i="1"/>
  <c r="K403" i="1"/>
  <c r="K406" i="1"/>
  <c r="K405" i="1"/>
  <c r="K408" i="1"/>
  <c r="K407" i="1"/>
  <c r="K410" i="1"/>
  <c r="K409" i="1"/>
  <c r="K411" i="1"/>
  <c r="K412" i="1"/>
  <c r="K413" i="1"/>
  <c r="K414" i="1"/>
  <c r="K415" i="1"/>
  <c r="K417" i="1"/>
  <c r="K416" i="1"/>
  <c r="K419" i="1"/>
  <c r="K418" i="1"/>
  <c r="K425" i="1"/>
  <c r="K424" i="1"/>
  <c r="K427" i="1"/>
  <c r="K426" i="1"/>
  <c r="K429" i="1"/>
  <c r="K428" i="1"/>
  <c r="K431" i="1"/>
  <c r="K430" i="1"/>
  <c r="K421" i="1"/>
  <c r="K420" i="1"/>
  <c r="K422" i="1"/>
  <c r="K423" i="1"/>
  <c r="K432" i="1"/>
  <c r="K435" i="1"/>
  <c r="K434" i="1"/>
  <c r="K436" i="1"/>
  <c r="K438" i="1"/>
  <c r="K437" i="1"/>
  <c r="K439" i="1"/>
  <c r="K441" i="1"/>
  <c r="K440" i="1"/>
  <c r="K443" i="1"/>
  <c r="K442" i="1"/>
  <c r="K445" i="1"/>
  <c r="K444" i="1"/>
  <c r="K447" i="1"/>
  <c r="K446" i="1"/>
  <c r="K433" i="1"/>
  <c r="K449" i="1"/>
  <c r="K448" i="1"/>
  <c r="K451" i="1"/>
  <c r="K450" i="1"/>
  <c r="K453" i="1"/>
  <c r="K452" i="1"/>
  <c r="K455" i="1"/>
  <c r="K454" i="1"/>
  <c r="K457" i="1"/>
  <c r="K456" i="1"/>
  <c r="K459" i="1"/>
  <c r="K458" i="1"/>
  <c r="K461" i="1"/>
  <c r="K460" i="1"/>
  <c r="K462" i="1"/>
  <c r="K464" i="1"/>
  <c r="K463" i="1"/>
  <c r="K466" i="1"/>
  <c r="K465" i="1"/>
  <c r="K468" i="1"/>
  <c r="K467" i="1"/>
  <c r="K470" i="1"/>
  <c r="K469" i="1"/>
  <c r="K472" i="1"/>
  <c r="K471" i="1"/>
  <c r="K473" i="1"/>
  <c r="K475" i="1"/>
  <c r="K474" i="1"/>
  <c r="K477" i="1"/>
  <c r="K476" i="1"/>
  <c r="K479" i="1"/>
  <c r="K478" i="1"/>
  <c r="K480" i="1"/>
  <c r="K481" i="1"/>
  <c r="K483" i="1"/>
  <c r="K482" i="1"/>
  <c r="K484" i="1"/>
  <c r="K492" i="1"/>
  <c r="K490" i="1"/>
  <c r="K487" i="1"/>
  <c r="K493" i="1"/>
  <c r="K488" i="1"/>
  <c r="K485" i="1"/>
  <c r="K494" i="1"/>
  <c r="K491" i="1"/>
  <c r="K489" i="1"/>
  <c r="K486" i="1"/>
  <c r="K496" i="1"/>
  <c r="K495" i="1"/>
  <c r="K498" i="1"/>
  <c r="K497" i="1"/>
  <c r="K499" i="1"/>
  <c r="K501" i="1"/>
  <c r="K500" i="1"/>
  <c r="K503" i="1"/>
  <c r="K502" i="1"/>
  <c r="K505" i="1"/>
  <c r="K504" i="1"/>
  <c r="K506" i="1"/>
  <c r="K508" i="1"/>
  <c r="K507" i="1"/>
  <c r="K510" i="1"/>
  <c r="K509" i="1"/>
  <c r="K513" i="1"/>
  <c r="K512" i="1"/>
  <c r="K515" i="1"/>
  <c r="K514" i="1"/>
  <c r="K516" i="1"/>
  <c r="K518" i="1"/>
  <c r="K519" i="1"/>
  <c r="K517" i="1"/>
  <c r="K521" i="1"/>
  <c r="K522" i="1"/>
  <c r="K523" i="1"/>
  <c r="K524" i="1"/>
  <c r="K511" i="1"/>
  <c r="K520" i="1"/>
  <c r="K4" i="1"/>
  <c r="K347" i="1" l="1"/>
  <c r="K339" i="1"/>
  <c r="K333" i="1"/>
  <c r="K326" i="1"/>
  <c r="K323" i="1"/>
  <c r="K313" i="1"/>
  <c r="K302" i="1"/>
  <c r="K300" i="1"/>
  <c r="K291" i="1"/>
  <c r="K283" i="1"/>
  <c r="K271" i="1"/>
  <c r="K262" i="1"/>
  <c r="K253" i="1"/>
  <c r="K247" i="1"/>
  <c r="K235" i="1"/>
  <c r="K243" i="1"/>
  <c r="K221" i="1"/>
  <c r="K214" i="1"/>
  <c r="K205" i="1"/>
  <c r="K196" i="1"/>
  <c r="K189" i="1"/>
  <c r="K183" i="1"/>
  <c r="K166" i="1"/>
  <c r="K167" i="1"/>
  <c r="K158" i="1"/>
  <c r="K154" i="1"/>
  <c r="K147" i="1"/>
  <c r="K139" i="1"/>
  <c r="K127" i="1"/>
  <c r="K117" i="1"/>
  <c r="K111" i="1"/>
  <c r="K101" i="1"/>
  <c r="K94" i="1"/>
  <c r="K86" i="1"/>
  <c r="K77" i="1"/>
  <c r="K69" i="1"/>
  <c r="K62" i="1"/>
  <c r="K53" i="1"/>
  <c r="K45" i="1"/>
  <c r="K39" i="1"/>
  <c r="K30" i="1"/>
  <c r="K21" i="1"/>
  <c r="K13" i="1"/>
  <c r="K337" i="1"/>
  <c r="K329" i="1"/>
  <c r="K321" i="1"/>
  <c r="K317" i="1"/>
  <c r="K309" i="1"/>
  <c r="K279" i="1"/>
  <c r="K296" i="1"/>
  <c r="K287" i="1"/>
  <c r="K277" i="1"/>
  <c r="K267" i="1"/>
  <c r="K259" i="1"/>
  <c r="K249" i="1"/>
  <c r="K240" i="1"/>
  <c r="K231" i="1"/>
  <c r="K226" i="1"/>
  <c r="K218" i="1"/>
  <c r="K207" i="1"/>
  <c r="K201" i="1"/>
  <c r="K193" i="1"/>
  <c r="K185" i="1"/>
  <c r="K179" i="1"/>
  <c r="K171" i="1"/>
  <c r="K162" i="1"/>
  <c r="K135" i="1"/>
  <c r="K151" i="1"/>
  <c r="K143" i="1"/>
  <c r="K131" i="1"/>
  <c r="K124" i="1"/>
  <c r="K114" i="1"/>
  <c r="K105" i="1"/>
  <c r="K98" i="1"/>
  <c r="K89" i="1"/>
  <c r="K81" i="1"/>
  <c r="K74" i="1"/>
  <c r="K66" i="1"/>
  <c r="K57" i="1"/>
  <c r="K49" i="1"/>
  <c r="K42" i="1"/>
  <c r="K33" i="1"/>
  <c r="K26" i="1"/>
  <c r="K19" i="1"/>
  <c r="K9" i="1"/>
</calcChain>
</file>

<file path=xl/sharedStrings.xml><?xml version="1.0" encoding="utf-8"?>
<sst xmlns="http://schemas.openxmlformats.org/spreadsheetml/2006/main" count="4617" uniqueCount="1090">
  <si>
    <t>FECHA_EMI</t>
  </si>
  <si>
    <t>COD_PROVE</t>
  </si>
  <si>
    <t>NOM_PROVE</t>
  </si>
  <si>
    <t>COND_IVA</t>
  </si>
  <si>
    <t>IDENTIFTRI</t>
  </si>
  <si>
    <t>N_INTERNO</t>
  </si>
  <si>
    <t>T_COMP</t>
  </si>
  <si>
    <t>N_COMP</t>
  </si>
  <si>
    <t>PORC_IVA</t>
  </si>
  <si>
    <t>IMP_EXENTO</t>
  </si>
  <si>
    <t>IMP_NETO</t>
  </si>
  <si>
    <t>IMP_IVA</t>
  </si>
  <si>
    <t>IMP_TOTAL</t>
  </si>
  <si>
    <t/>
  </si>
  <si>
    <t>SANCRI</t>
  </si>
  <si>
    <t>SAN CRISTOBAL SOCIEDAD MUTUAL DE SEGUROS GENERALES</t>
  </si>
  <si>
    <t>RI</t>
  </si>
  <si>
    <t>FAC</t>
  </si>
  <si>
    <t>A0902300112471</t>
  </si>
  <si>
    <t>MASTEL</t>
  </si>
  <si>
    <t>MASTELLONE HNOS S A</t>
  </si>
  <si>
    <t>N/C</t>
  </si>
  <si>
    <t>A0615602479221</t>
  </si>
  <si>
    <t>QUESER</t>
  </si>
  <si>
    <t>QUESERIA Y FIAMBRERIA DON ANGEL S.A.</t>
  </si>
  <si>
    <t>A0001000020865</t>
  </si>
  <si>
    <t>AG</t>
  </si>
  <si>
    <t>BARDONI HERNAN EDUARDO</t>
  </si>
  <si>
    <t>EX</t>
  </si>
  <si>
    <t>A0000400001371</t>
  </si>
  <si>
    <t>OPESSA</t>
  </si>
  <si>
    <t>OPERAD. DE EST. DE SERV. S.A</t>
  </si>
  <si>
    <t>A0715600017094</t>
  </si>
  <si>
    <t>A0000400001374</t>
  </si>
  <si>
    <t>A0714600025123</t>
  </si>
  <si>
    <t>A0715800027132</t>
  </si>
  <si>
    <t>UNI</t>
  </si>
  <si>
    <t>UNILEVER DE ARGENTINA S A</t>
  </si>
  <si>
    <t>A0043700274729</t>
  </si>
  <si>
    <t>A0000400001393</t>
  </si>
  <si>
    <t>ELMITO</t>
  </si>
  <si>
    <t>FEYME SA</t>
  </si>
  <si>
    <t>A0001600004415</t>
  </si>
  <si>
    <t>ZURICH</t>
  </si>
  <si>
    <t>ZURICH ASEGURADORA ARGENTINA S.A</t>
  </si>
  <si>
    <t>A0000200285921</t>
  </si>
  <si>
    <t>ANURA</t>
  </si>
  <si>
    <t>CITILAN ARGENTINA S.A.</t>
  </si>
  <si>
    <t>A0000300223804</t>
  </si>
  <si>
    <t>A0000300285921</t>
  </si>
  <si>
    <t>BERKLE</t>
  </si>
  <si>
    <t>BERKLEY INTERNATIONAL SEGUROS S.A.</t>
  </si>
  <si>
    <t>A0000500573996</t>
  </si>
  <si>
    <t>OMINT</t>
  </si>
  <si>
    <t>OMINT S.A.</t>
  </si>
  <si>
    <t>A0002101111527</t>
  </si>
  <si>
    <t>CLARO</t>
  </si>
  <si>
    <t>AMX ARGENTINA SOCIEDAD ANONIMA</t>
  </si>
  <si>
    <t>A0132600694755</t>
  </si>
  <si>
    <t>BELLOT</t>
  </si>
  <si>
    <t>BELLOTO LUIS MIGUEL</t>
  </si>
  <si>
    <t>A0000100000089</t>
  </si>
  <si>
    <t>VERISU</t>
  </si>
  <si>
    <t>VERISURE ARGENTINA MONITOREO DE ALARMAS SA</t>
  </si>
  <si>
    <t>A0000100439983</t>
  </si>
  <si>
    <t>DSM</t>
  </si>
  <si>
    <t>VALENTI SEBASTIAN Y VALENTI LUIS SOCIEDAD SIMPLE</t>
  </si>
  <si>
    <t>A0000300003715</t>
  </si>
  <si>
    <t>AVICOL</t>
  </si>
  <si>
    <t>AVICOLA AMANECER SRL</t>
  </si>
  <si>
    <t>A0000300005143</t>
  </si>
  <si>
    <t>CMCOMB</t>
  </si>
  <si>
    <t>CM COMBUSTIBLES S. R. L.</t>
  </si>
  <si>
    <t>A0000600005665</t>
  </si>
  <si>
    <t>ADO</t>
  </si>
  <si>
    <t>IDEAS Y NEGOCIOS, S.A.</t>
  </si>
  <si>
    <t>A0001000005688</t>
  </si>
  <si>
    <t>SAN IS</t>
  </si>
  <si>
    <t>SAN ISIDRO 2000 SA</t>
  </si>
  <si>
    <t>A0008000114841</t>
  </si>
  <si>
    <t>BA</t>
  </si>
  <si>
    <t>BAVOSI S.A</t>
  </si>
  <si>
    <t>A0011500140773</t>
  </si>
  <si>
    <t>A0011500140774</t>
  </si>
  <si>
    <t>A0011500140775</t>
  </si>
  <si>
    <t>A0011500140776</t>
  </si>
  <si>
    <t>FEMSA</t>
  </si>
  <si>
    <t>COCA COLA FEMSA DE BUENOS AIRES S A</t>
  </si>
  <si>
    <t>A0060000676068</t>
  </si>
  <si>
    <t>A0060000676069</t>
  </si>
  <si>
    <t>A0060000676070</t>
  </si>
  <si>
    <t>GCOSA</t>
  </si>
  <si>
    <t>GRUPO CONCESIONARIO DEL OESTE SA</t>
  </si>
  <si>
    <t>A0062905021230</t>
  </si>
  <si>
    <t>A0062905022495</t>
  </si>
  <si>
    <t>AUSOL</t>
  </si>
  <si>
    <t>AUTOPISTAS DEL SOL SA</t>
  </si>
  <si>
    <t>A0071105547334</t>
  </si>
  <si>
    <t>A0071105550256</t>
  </si>
  <si>
    <t>A0071105552104</t>
  </si>
  <si>
    <t>BUN</t>
  </si>
  <si>
    <t>BUNGE ARGENTINA S.A.</t>
  </si>
  <si>
    <t>A0200900036620</t>
  </si>
  <si>
    <t>PROVIN</t>
  </si>
  <si>
    <t>BANCO DE LA PROVINCIA DE BUENOS AIRES</t>
  </si>
  <si>
    <t>A0202415239917</t>
  </si>
  <si>
    <t>A0202415240095</t>
  </si>
  <si>
    <t>AXION</t>
  </si>
  <si>
    <t>PAN AMERICAN ENERGY, S.L.,  SUC ARG</t>
  </si>
  <si>
    <t>A0811700045496</t>
  </si>
  <si>
    <t>ARGUEL</t>
  </si>
  <si>
    <t>ARGÜELLO LUIS MIGUEL</t>
  </si>
  <si>
    <t>RS</t>
  </si>
  <si>
    <t>C0000100000025</t>
  </si>
  <si>
    <t>BOTMME</t>
  </si>
  <si>
    <t>BOTINDARI MARIA MERCEDES</t>
  </si>
  <si>
    <t>C0000100000029</t>
  </si>
  <si>
    <t>REYSEB</t>
  </si>
  <si>
    <t>REY SEBASTIAN MAXIMILIANO</t>
  </si>
  <si>
    <t>C0000200000188</t>
  </si>
  <si>
    <t>DOBARR</t>
  </si>
  <si>
    <t>DOBARRO PAULA MARCELA</t>
  </si>
  <si>
    <t>C0000200000307</t>
  </si>
  <si>
    <t>RIO</t>
  </si>
  <si>
    <t>BANCO SANTANDER RIO</t>
  </si>
  <si>
    <t>00202409432059</t>
  </si>
  <si>
    <t>PAKLOC</t>
  </si>
  <si>
    <t>PUERTO GOURMET SRL</t>
  </si>
  <si>
    <t>A0000100002310</t>
  </si>
  <si>
    <t>A&amp;VFER</t>
  </si>
  <si>
    <t>ALANIZ JUAN JOSE Y VILLECCO ANALIA CARLA</t>
  </si>
  <si>
    <t>A0000300008263</t>
  </si>
  <si>
    <t>T</t>
  </si>
  <si>
    <t>PRODUCTOS ALIMENTICIOS TARTAGAL S R L</t>
  </si>
  <si>
    <t>A0000300099387</t>
  </si>
  <si>
    <t>HOR</t>
  </si>
  <si>
    <t>HORVINDUL SRL</t>
  </si>
  <si>
    <t>A0000500007322</t>
  </si>
  <si>
    <t>LA</t>
  </si>
  <si>
    <t>INTERNACIONAL DE PRODUCTOS S A</t>
  </si>
  <si>
    <t>A0001200079583</t>
  </si>
  <si>
    <t>LAQUES</t>
  </si>
  <si>
    <t>CASSINI  Y CESARATTO S.A.</t>
  </si>
  <si>
    <t>A0002000151084</t>
  </si>
  <si>
    <t>CALSA</t>
  </si>
  <si>
    <t>COMPAÑIA ARGENTINA DE LEVADURAS S A I C</t>
  </si>
  <si>
    <t>A0004600398640</t>
  </si>
  <si>
    <t>DOS</t>
  </si>
  <si>
    <t>COMPAÑIA INTRODUCTORA DE BUENOS AIRES S A</t>
  </si>
  <si>
    <t>A0021800160366</t>
  </si>
  <si>
    <t>VAC</t>
  </si>
  <si>
    <t>ERNESTO RODRIGUEZ E HIJOS SA</t>
  </si>
  <si>
    <t>A0100100234087</t>
  </si>
  <si>
    <t>AUSA</t>
  </si>
  <si>
    <t>AUTOPISTAS URBANAS S A</t>
  </si>
  <si>
    <t>A0501100594555</t>
  </si>
  <si>
    <t>A0501500598327</t>
  </si>
  <si>
    <t>A0512800024095</t>
  </si>
  <si>
    <t>DANONE</t>
  </si>
  <si>
    <t>DANONE ARGENTINA S.A.</t>
  </si>
  <si>
    <t>A0600403576627</t>
  </si>
  <si>
    <t>A0615606686660</t>
  </si>
  <si>
    <t>GALICI</t>
  </si>
  <si>
    <t>BANCO DE GALICIA Y BUENOS AIRES S A U</t>
  </si>
  <si>
    <t>00202405042024</t>
  </si>
  <si>
    <t>HAKIMI</t>
  </si>
  <si>
    <t>HAKIMIAN JORGE ALEXIS</t>
  </si>
  <si>
    <t>A0000200000951</t>
  </si>
  <si>
    <t>A0000200000952</t>
  </si>
  <si>
    <t>AGROM</t>
  </si>
  <si>
    <t>BARDONI HNOS. S.R.L.</t>
  </si>
  <si>
    <t>A0000300001101</t>
  </si>
  <si>
    <t>A0000300005146</t>
  </si>
  <si>
    <t>PRO EX</t>
  </si>
  <si>
    <t>PRO EXCEL S A</t>
  </si>
  <si>
    <t>A0001700007677</t>
  </si>
  <si>
    <t>PIAMON</t>
  </si>
  <si>
    <t>LA PIAMONTESA S.A.</t>
  </si>
  <si>
    <t>A0006300065226</t>
  </si>
  <si>
    <t>SAP</t>
  </si>
  <si>
    <t>Molfino Hnos SA</t>
  </si>
  <si>
    <t>A0200200282190</t>
  </si>
  <si>
    <t>VERO</t>
  </si>
  <si>
    <t>VERONICA S.A.C.I.A.F.e.I.</t>
  </si>
  <si>
    <t>A0004300290572</t>
  </si>
  <si>
    <t>MIL</t>
  </si>
  <si>
    <t>MILKAUT S.A.</t>
  </si>
  <si>
    <t>A0062200266229</t>
  </si>
  <si>
    <t>00202400937602</t>
  </si>
  <si>
    <t>00202409833844</t>
  </si>
  <si>
    <t>ROLLS</t>
  </si>
  <si>
    <t>ROLLS Y EMPANADAS S.A.</t>
  </si>
  <si>
    <t>A0000100000773</t>
  </si>
  <si>
    <t>GOICOE</t>
  </si>
  <si>
    <t>GOICOECHEA SERGIO DANIEL</t>
  </si>
  <si>
    <t>A0000200000036</t>
  </si>
  <si>
    <t>3PL</t>
  </si>
  <si>
    <t>3PL SRL</t>
  </si>
  <si>
    <t>A0000300001360</t>
  </si>
  <si>
    <t>VTV</t>
  </si>
  <si>
    <t>REVISION TECNICA VEHICULAR GENERAL PAZ S.A.</t>
  </si>
  <si>
    <t>A0000300019368</t>
  </si>
  <si>
    <t>JUMBA</t>
  </si>
  <si>
    <t>OLIVOS DEL NORTE S.R.L.</t>
  </si>
  <si>
    <t>A0000300046892</t>
  </si>
  <si>
    <t>DULFIX</t>
  </si>
  <si>
    <t>DULFIX SA</t>
  </si>
  <si>
    <t>A0001000153087</t>
  </si>
  <si>
    <t>SANTAM</t>
  </si>
  <si>
    <t>COMERCIAL SANTA MARTA S A</t>
  </si>
  <si>
    <t>A0001800009788</t>
  </si>
  <si>
    <t>A0011500140934</t>
  </si>
  <si>
    <t>CORRVI</t>
  </si>
  <si>
    <t>CORREDORES VIALES S.A.</t>
  </si>
  <si>
    <t>A0070001585875</t>
  </si>
  <si>
    <t>A0070001586173</t>
  </si>
  <si>
    <t>A0070001603414</t>
  </si>
  <si>
    <t>A0202400983384</t>
  </si>
  <si>
    <t>C0000100000026</t>
  </si>
  <si>
    <t>MORPLA</t>
  </si>
  <si>
    <t>MOLINOS RIO DE LA PLATA S A</t>
  </si>
  <si>
    <t>A0066700290371</t>
  </si>
  <si>
    <t>A0000300005151</t>
  </si>
  <si>
    <t>A0001000022134</t>
  </si>
  <si>
    <t>DV</t>
  </si>
  <si>
    <t>LA DOLCE SRL</t>
  </si>
  <si>
    <t>A0006000305813</t>
  </si>
  <si>
    <t>A0021800160470</t>
  </si>
  <si>
    <t>A0021800160471</t>
  </si>
  <si>
    <t>A0060100260452</t>
  </si>
  <si>
    <t>A0600403581919</t>
  </si>
  <si>
    <t>A0615606695476</t>
  </si>
  <si>
    <t>A0811700046361</t>
  </si>
  <si>
    <t>A2024000959235</t>
  </si>
  <si>
    <t>LOPEZN</t>
  </si>
  <si>
    <t>LOPEZ NICOLAS ALBERTO</t>
  </si>
  <si>
    <t>C0000100000213</t>
  </si>
  <si>
    <t>VILLAD</t>
  </si>
  <si>
    <t>VILLA DANIEL ALEJANDRO</t>
  </si>
  <si>
    <t>C0000300005307</t>
  </si>
  <si>
    <t>A0000400000295</t>
  </si>
  <si>
    <t>A0000400000296</t>
  </si>
  <si>
    <t>MAYANA</t>
  </si>
  <si>
    <t>LABORATORIO MAYANA, S.A.S.</t>
  </si>
  <si>
    <t>A0000100005391</t>
  </si>
  <si>
    <t>FAI</t>
  </si>
  <si>
    <t>FAINAX SA</t>
  </si>
  <si>
    <t>A0000300005202</t>
  </si>
  <si>
    <t>FIRST</t>
  </si>
  <si>
    <t>FIRST STEP SA</t>
  </si>
  <si>
    <t>A0000300101457</t>
  </si>
  <si>
    <t>SANCHE</t>
  </si>
  <si>
    <t>SANCHEZ DI MARE DANIEL FERNANDO</t>
  </si>
  <si>
    <t>A0000900008260</t>
  </si>
  <si>
    <t>PESQVE</t>
  </si>
  <si>
    <t>PESQUERA VERAZ S. A.</t>
  </si>
  <si>
    <t>A0001800005665</t>
  </si>
  <si>
    <t>A0006000306055</t>
  </si>
  <si>
    <t>PERUZZ</t>
  </si>
  <si>
    <t>PERUZZOTTI CAROLINA</t>
  </si>
  <si>
    <t>C0000700000070</t>
  </si>
  <si>
    <t>A0000300001366</t>
  </si>
  <si>
    <t>A0004600399061</t>
  </si>
  <si>
    <t>A0062200267869</t>
  </si>
  <si>
    <t>A0600403584955</t>
  </si>
  <si>
    <t>A0615606700639</t>
  </si>
  <si>
    <t>TEL</t>
  </si>
  <si>
    <t>TELECOM ARGENTINA S.A</t>
  </si>
  <si>
    <t>A0720217415202</t>
  </si>
  <si>
    <t>MARTEL</t>
  </si>
  <si>
    <t>MARTELLETTI HNOS MOLINO ARGENTINO SRL</t>
  </si>
  <si>
    <t>A0000600002750</t>
  </si>
  <si>
    <t>00202490027901</t>
  </si>
  <si>
    <t>00202490028301</t>
  </si>
  <si>
    <t>MAG</t>
  </si>
  <si>
    <t>LO GIUDICE CARLOS DANIEL</t>
  </si>
  <si>
    <t>A0000200002522</t>
  </si>
  <si>
    <t>SEBAST</t>
  </si>
  <si>
    <t>COMERCIAL LA SEBASTIANA S.A.</t>
  </si>
  <si>
    <t>A0000500000604</t>
  </si>
  <si>
    <t>MR</t>
  </si>
  <si>
    <t>MORIXE HERMANOS S.A.C.I.</t>
  </si>
  <si>
    <t>A0000900016543</t>
  </si>
  <si>
    <t>SHELL</t>
  </si>
  <si>
    <t>CONTITUYENTES 1806 S.A.</t>
  </si>
  <si>
    <t>A0001000075878</t>
  </si>
  <si>
    <t>A0004600399093</t>
  </si>
  <si>
    <t>A0006300065337</t>
  </si>
  <si>
    <t>A0006300065342</t>
  </si>
  <si>
    <t>CAAUS</t>
  </si>
  <si>
    <t>CAMPO AUSTRAL SA</t>
  </si>
  <si>
    <t>A0053900039999</t>
  </si>
  <si>
    <t>DUJOR</t>
  </si>
  <si>
    <t>HEIMENRATH ROSA ARONTHAL DE HEIMENRATH RUBEN ANGEL Y HEIMENR</t>
  </si>
  <si>
    <t>A0100100002744</t>
  </si>
  <si>
    <t>A0200200282972</t>
  </si>
  <si>
    <t>A0615606703431</t>
  </si>
  <si>
    <t>MARIÑO</t>
  </si>
  <si>
    <t>MARIÑO MARIA EUGENIA</t>
  </si>
  <si>
    <t>C0000100000108</t>
  </si>
  <si>
    <t>A0600401735658</t>
  </si>
  <si>
    <t>ANYCIA</t>
  </si>
  <si>
    <t>NICOLAS ANTON Y CIA.</t>
  </si>
  <si>
    <t>A0000100000400</t>
  </si>
  <si>
    <t>A0004300291418</t>
  </si>
  <si>
    <t>TREGAR</t>
  </si>
  <si>
    <t>GARCIA HERMANOS AGROINDUSTRIAL SRL</t>
  </si>
  <si>
    <t>A0016100195270</t>
  </si>
  <si>
    <t>A0729800029663</t>
  </si>
  <si>
    <t>A0001000022303</t>
  </si>
  <si>
    <t>EASY</t>
  </si>
  <si>
    <t>CENCOSUD S A</t>
  </si>
  <si>
    <t>A0826300009869</t>
  </si>
  <si>
    <t>CIRCMB</t>
  </si>
  <si>
    <t>CIRCULO CERRADO SA DE AHORRO PARA FINES DETERMINADOS</t>
  </si>
  <si>
    <t>00202410746314</t>
  </si>
  <si>
    <t>00202410746413</t>
  </si>
  <si>
    <t>00202410746513</t>
  </si>
  <si>
    <t>00202460044311</t>
  </si>
  <si>
    <t>00202480005601</t>
  </si>
  <si>
    <t>A0000100000774</t>
  </si>
  <si>
    <t>A0000300047376</t>
  </si>
  <si>
    <t>C0000300005314</t>
  </si>
  <si>
    <t>A0001000052566</t>
  </si>
  <si>
    <t>00202490023201</t>
  </si>
  <si>
    <t>00202490024501</t>
  </si>
  <si>
    <t>00202490028302</t>
  </si>
  <si>
    <t>MAIZOL</t>
  </si>
  <si>
    <t>ACEITERA GERASOLES S.A.</t>
  </si>
  <si>
    <t>A0000100000441</t>
  </si>
  <si>
    <t>GARCIA</t>
  </si>
  <si>
    <t>GARCIA MARCELO  F</t>
  </si>
  <si>
    <t>A0000100005759</t>
  </si>
  <si>
    <t>ABETO</t>
  </si>
  <si>
    <t>JOSE L. RONCHI E HIJOS S.R.L.</t>
  </si>
  <si>
    <t>A0000200016373</t>
  </si>
  <si>
    <t>YATAST</t>
  </si>
  <si>
    <t>LACTEOS YATASTO SA</t>
  </si>
  <si>
    <t>A0000200019970</t>
  </si>
  <si>
    <t>MARCOS</t>
  </si>
  <si>
    <t>MARCOS SCHMUKLER S A</t>
  </si>
  <si>
    <t>A0000300001371</t>
  </si>
  <si>
    <t>A0000300005156</t>
  </si>
  <si>
    <t>A0000300005209</t>
  </si>
  <si>
    <t>GUALLA</t>
  </si>
  <si>
    <t>GUALLAR GUILLERMO HORACIO</t>
  </si>
  <si>
    <t>A0000300005982</t>
  </si>
  <si>
    <t>A0000400001408</t>
  </si>
  <si>
    <t>A0000400001409</t>
  </si>
  <si>
    <t>GCRSA</t>
  </si>
  <si>
    <t>GCR SA</t>
  </si>
  <si>
    <t>A0000400021031</t>
  </si>
  <si>
    <t>A0000500007337</t>
  </si>
  <si>
    <t>LSTAFE</t>
  </si>
  <si>
    <t>SANTA FE COMERCIAL SRL</t>
  </si>
  <si>
    <t>A0000800078166</t>
  </si>
  <si>
    <t>CHA</t>
  </si>
  <si>
    <t>MOLINO CHACABUCO S.A.</t>
  </si>
  <si>
    <t>A0010000292572</t>
  </si>
  <si>
    <t>A0010000292574</t>
  </si>
  <si>
    <t>ROS</t>
  </si>
  <si>
    <t>HREÑUK SA</t>
  </si>
  <si>
    <t>A0010200072319</t>
  </si>
  <si>
    <t>A0200200283347</t>
  </si>
  <si>
    <t>A0536000001113</t>
  </si>
  <si>
    <t>A0600403590568</t>
  </si>
  <si>
    <t>A0615606709600</t>
  </si>
  <si>
    <t>BOTFED</t>
  </si>
  <si>
    <t>BOTINDARI FEDERICO DANIEL</t>
  </si>
  <si>
    <t>C0000200000763</t>
  </si>
  <si>
    <t>00202490015401</t>
  </si>
  <si>
    <t>GONOSS</t>
  </si>
  <si>
    <t>GONZALEZ OSVALDO SALVADOR</t>
  </si>
  <si>
    <t>A0000300000625</t>
  </si>
  <si>
    <t>A0000300003760</t>
  </si>
  <si>
    <t>AB</t>
  </si>
  <si>
    <t>GOOD FOOD S.A.</t>
  </si>
  <si>
    <t>A0000400028341</t>
  </si>
  <si>
    <t>QUION</t>
  </si>
  <si>
    <t>QUION S.A.</t>
  </si>
  <si>
    <t>A0000600024000</t>
  </si>
  <si>
    <t>PANKO</t>
  </si>
  <si>
    <t>TEN TEN S.R.L.</t>
  </si>
  <si>
    <t>A0000700002051</t>
  </si>
  <si>
    <t>A0001000005714</t>
  </si>
  <si>
    <t>A0001200079701</t>
  </si>
  <si>
    <t>A0004300291869</t>
  </si>
  <si>
    <t>CEAMSE</t>
  </si>
  <si>
    <t>COORDINACION ECOLOGICA AREA METROPOLITANA SOCIEDAD DEL ESTAD</t>
  </si>
  <si>
    <t>A0011303567875</t>
  </si>
  <si>
    <t>A0011303569106</t>
  </si>
  <si>
    <t>A0011303570151</t>
  </si>
  <si>
    <t>A0062905060456</t>
  </si>
  <si>
    <t>A0062905061009</t>
  </si>
  <si>
    <t>A0071105604053</t>
  </si>
  <si>
    <t>A0071105606934</t>
  </si>
  <si>
    <t>A0071105608770</t>
  </si>
  <si>
    <t>MC</t>
  </si>
  <si>
    <t>MOLINO CAÑUELAS S.A.C.I.F.I.A.</t>
  </si>
  <si>
    <t>A0115200064665</t>
  </si>
  <si>
    <t>A0200200283558</t>
  </si>
  <si>
    <t>A0200200283559</t>
  </si>
  <si>
    <t>A0501100603880</t>
  </si>
  <si>
    <t>A0501400604125</t>
  </si>
  <si>
    <t>A0503600029230</t>
  </si>
  <si>
    <t>FERFAB</t>
  </si>
  <si>
    <t>FERNANDEZ FABIAN ROBERTO</t>
  </si>
  <si>
    <t>C0000100000008</t>
  </si>
  <si>
    <t>C0000300005316</t>
  </si>
  <si>
    <t>FIN</t>
  </si>
  <si>
    <t>FINCA DE SANTIAGO S.A.</t>
  </si>
  <si>
    <t>A0000500000243</t>
  </si>
  <si>
    <t>A0000500000245</t>
  </si>
  <si>
    <t>A0011500031068</t>
  </si>
  <si>
    <t>A0202000004328</t>
  </si>
  <si>
    <t>A0000100005764</t>
  </si>
  <si>
    <t>A0000300101994</t>
  </si>
  <si>
    <t>A0001200046365</t>
  </si>
  <si>
    <t>A0016100195552</t>
  </si>
  <si>
    <t>A0100100234748</t>
  </si>
  <si>
    <t>MAK</t>
  </si>
  <si>
    <t>SUPERMERCADO MAYORISTA MAKRO S.A.</t>
  </si>
  <si>
    <t>A0167800036428</t>
  </si>
  <si>
    <t>A0200900036968</t>
  </si>
  <si>
    <t>A0200900036969</t>
  </si>
  <si>
    <t>A0200900036970</t>
  </si>
  <si>
    <t>A0200900036971</t>
  </si>
  <si>
    <t>A0600403593320</t>
  </si>
  <si>
    <t>A0030000090533</t>
  </si>
  <si>
    <t>A0600401739506</t>
  </si>
  <si>
    <t>A0001000044151</t>
  </si>
  <si>
    <t>A0001000076083</t>
  </si>
  <si>
    <t>MILKWO</t>
  </si>
  <si>
    <t>MILK WORLD SA</t>
  </si>
  <si>
    <t>A0001200051349</t>
  </si>
  <si>
    <t>ALVARE</t>
  </si>
  <si>
    <t>ALVAREZ DARIO BERNARDO</t>
  </si>
  <si>
    <t>A0001400001299</t>
  </si>
  <si>
    <t>LODI</t>
  </si>
  <si>
    <t>LODISER S.A.</t>
  </si>
  <si>
    <t>A0009000435701</t>
  </si>
  <si>
    <t>A0009100241874</t>
  </si>
  <si>
    <t>A0021800160690</t>
  </si>
  <si>
    <t>A0021800160691</t>
  </si>
  <si>
    <t>A0200200283852</t>
  </si>
  <si>
    <t>A0615606716861</t>
  </si>
  <si>
    <t>C0000300005319</t>
  </si>
  <si>
    <t>A0600401740376</t>
  </si>
  <si>
    <t>A0004300292278</t>
  </si>
  <si>
    <t>A0062200270891</t>
  </si>
  <si>
    <t>A0000100002334</t>
  </si>
  <si>
    <t>A0000200000959</t>
  </si>
  <si>
    <t>A0000300047728</t>
  </si>
  <si>
    <t>COMJOV</t>
  </si>
  <si>
    <t>COMIDAS JOVENES SA</t>
  </si>
  <si>
    <t>A0000400001061</t>
  </si>
  <si>
    <t>IPLAN</t>
  </si>
  <si>
    <t>NSS SA</t>
  </si>
  <si>
    <t>A0000503017939</t>
  </si>
  <si>
    <t>AVA</t>
  </si>
  <si>
    <t>A.V.A. S.A.</t>
  </si>
  <si>
    <t>A0001200001586</t>
  </si>
  <si>
    <t>A0011500141609</t>
  </si>
  <si>
    <t>A0011500141610</t>
  </si>
  <si>
    <t>A0011500141611</t>
  </si>
  <si>
    <t>A0011500141612</t>
  </si>
  <si>
    <t>A0011500141613</t>
  </si>
  <si>
    <t>A0011500141614</t>
  </si>
  <si>
    <t>A0011500141615</t>
  </si>
  <si>
    <t>A0011500141616</t>
  </si>
  <si>
    <t>A0053900040192</t>
  </si>
  <si>
    <t>A0200200284128</t>
  </si>
  <si>
    <t>A0200200284129</t>
  </si>
  <si>
    <t>A0202415379493</t>
  </si>
  <si>
    <t>A0000500000247</t>
  </si>
  <si>
    <t>A0004600399660</t>
  </si>
  <si>
    <t>NESTLE</t>
  </si>
  <si>
    <t>NESTLE ARGENTINA S A</t>
  </si>
  <si>
    <t>A0039400369991</t>
  </si>
  <si>
    <t>A0100100234948</t>
  </si>
  <si>
    <t>A0503800018956</t>
  </si>
  <si>
    <t>A0600403598299</t>
  </si>
  <si>
    <t>A0615606723436</t>
  </si>
  <si>
    <t>A0062200107587</t>
  </si>
  <si>
    <t>A0000300099960</t>
  </si>
  <si>
    <t>A0000300099961</t>
  </si>
  <si>
    <t>A0000300099962</t>
  </si>
  <si>
    <t>A0000400028470</t>
  </si>
  <si>
    <t>A0000500000616</t>
  </si>
  <si>
    <t>A0001400001430</t>
  </si>
  <si>
    <t>A0006000307293</t>
  </si>
  <si>
    <t>A0021800160767</t>
  </si>
  <si>
    <t>A0060100261684</t>
  </si>
  <si>
    <t>A0070001617317</t>
  </si>
  <si>
    <t>A0070001634183</t>
  </si>
  <si>
    <t>A0070200422328</t>
  </si>
  <si>
    <t>A0070200422329</t>
  </si>
  <si>
    <t>A0070200422330</t>
  </si>
  <si>
    <t>A0070200422331</t>
  </si>
  <si>
    <t>CABRAL</t>
  </si>
  <si>
    <t>CABRALES SA</t>
  </si>
  <si>
    <t>A0141100004486</t>
  </si>
  <si>
    <t>A0000300100028</t>
  </si>
  <si>
    <t>A0000400001428</t>
  </si>
  <si>
    <t>A0000800115567</t>
  </si>
  <si>
    <t>MEDICA</t>
  </si>
  <si>
    <t>MEDICARDIO S R L</t>
  </si>
  <si>
    <t>A0001000079515</t>
  </si>
  <si>
    <t>A0004600399824</t>
  </si>
  <si>
    <t>MAROL</t>
  </si>
  <si>
    <t>MAROLIO S.A.</t>
  </si>
  <si>
    <t>A0011000088196</t>
  </si>
  <si>
    <t>A0062200272491</t>
  </si>
  <si>
    <t>A0522700013222</t>
  </si>
  <si>
    <t>A0600403600825</t>
  </si>
  <si>
    <t>A0615606727576</t>
  </si>
  <si>
    <t>A0011000094739</t>
  </si>
  <si>
    <t>A0013500221405</t>
  </si>
  <si>
    <t>A0013500221406</t>
  </si>
  <si>
    <t>A0000300005224</t>
  </si>
  <si>
    <t>HUARPE</t>
  </si>
  <si>
    <t>LOS HUARPES SRL</t>
  </si>
  <si>
    <t>A0000900040487</t>
  </si>
  <si>
    <t>COMBRU</t>
  </si>
  <si>
    <t>COMBUSTIBLE RUTA 26 S.A.</t>
  </si>
  <si>
    <t>A0004100002687</t>
  </si>
  <si>
    <t>A0009000436576</t>
  </si>
  <si>
    <t>A0013500025844</t>
  </si>
  <si>
    <t>A0043701653025</t>
  </si>
  <si>
    <t>A0067900172110</t>
  </si>
  <si>
    <t>A0070200422913</t>
  </si>
  <si>
    <t>A0200200284757</t>
  </si>
  <si>
    <t>A0000500000098</t>
  </si>
  <si>
    <t>A0088400102668</t>
  </si>
  <si>
    <t>A0506500023680</t>
  </si>
  <si>
    <t>00202419414026</t>
  </si>
  <si>
    <t>00202490020301</t>
  </si>
  <si>
    <t>00202490025001</t>
  </si>
  <si>
    <t>00202490031201</t>
  </si>
  <si>
    <t>00202490031301</t>
  </si>
  <si>
    <t>SEGTEX</t>
  </si>
  <si>
    <t>MAIDANA EDUARDO HERNAN</t>
  </si>
  <si>
    <t>A0000200000145</t>
  </si>
  <si>
    <t>ORLOC</t>
  </si>
  <si>
    <t>ESTABLECIMIENTO ORLOC SOCIEDAD RESPONSABILIDAD LIMITADA</t>
  </si>
  <si>
    <t>A0000200039584</t>
  </si>
  <si>
    <t>A0001000153812</t>
  </si>
  <si>
    <t>REMOTT</t>
  </si>
  <si>
    <t>REMOTTI S. A.</t>
  </si>
  <si>
    <t>A0003200081935</t>
  </si>
  <si>
    <t>A0004600399975</t>
  </si>
  <si>
    <t>A0043701654380</t>
  </si>
  <si>
    <t>A0100100002756</t>
  </si>
  <si>
    <t>A0100100235246</t>
  </si>
  <si>
    <t>A0100100235247</t>
  </si>
  <si>
    <t>COMAFI</t>
  </si>
  <si>
    <t>BANCO COMAFI SOCIEDAD ANONIMA</t>
  </si>
  <si>
    <t>A0202403321895</t>
  </si>
  <si>
    <t>A0202415239919</t>
  </si>
  <si>
    <t>A0202415240096</t>
  </si>
  <si>
    <t>A0202433218721</t>
  </si>
  <si>
    <t>A0700800022666</t>
  </si>
  <si>
    <t>00202430042024</t>
  </si>
  <si>
    <t>00202480001001</t>
  </si>
  <si>
    <t>00202490031601</t>
  </si>
  <si>
    <t>LIBERT</t>
  </si>
  <si>
    <t>LIBERTY LION S.R.L</t>
  </si>
  <si>
    <t>A0000700019372</t>
  </si>
  <si>
    <t>A0001200079837</t>
  </si>
  <si>
    <t>A0001800005701</t>
  </si>
  <si>
    <t>A0004300293465</t>
  </si>
  <si>
    <t>AUBASA</t>
  </si>
  <si>
    <t>AUTOPISTAS DE BUENOS AIRES (AUBASA) SA</t>
  </si>
  <si>
    <t>A0005003599412</t>
  </si>
  <si>
    <t>A0005003600471</t>
  </si>
  <si>
    <t>A0005003601261</t>
  </si>
  <si>
    <t>A0060100262150</t>
  </si>
  <si>
    <t>A0600403607093</t>
  </si>
  <si>
    <t>A0615606737586</t>
  </si>
  <si>
    <t>A0636408290087</t>
  </si>
  <si>
    <t>C0000200000189</t>
  </si>
  <si>
    <t>TAR</t>
  </si>
  <si>
    <t>TARTARELLI JUAN MANUEL</t>
  </si>
  <si>
    <t>C0000200000352</t>
  </si>
  <si>
    <t>C0000700000072</t>
  </si>
  <si>
    <t>C0000700000073</t>
  </si>
  <si>
    <t>A0013500221779</t>
  </si>
  <si>
    <t>C0000200000006</t>
  </si>
  <si>
    <t>34500045339</t>
  </si>
  <si>
    <t>30547242331</t>
  </si>
  <si>
    <t>30711758034</t>
  </si>
  <si>
    <t>20243348677</t>
  </si>
  <si>
    <t>30678774495</t>
  </si>
  <si>
    <t>30501092696</t>
  </si>
  <si>
    <t>30634284431</t>
  </si>
  <si>
    <t>30500036393</t>
  </si>
  <si>
    <t>30707135596</t>
  </si>
  <si>
    <t>30500035788</t>
  </si>
  <si>
    <t>30550245309</t>
  </si>
  <si>
    <t>30663288497</t>
  </si>
  <si>
    <t>20301971479</t>
  </si>
  <si>
    <t>33716307749</t>
  </si>
  <si>
    <t>30715296132</t>
  </si>
  <si>
    <t>30708481137</t>
  </si>
  <si>
    <t>30717211096</t>
  </si>
  <si>
    <t>30708784687</t>
  </si>
  <si>
    <t>33707901409</t>
  </si>
  <si>
    <t>30629646708</t>
  </si>
  <si>
    <t>30525390086</t>
  </si>
  <si>
    <t>30663498513</t>
  </si>
  <si>
    <t>30677237119</t>
  </si>
  <si>
    <t>30700869918</t>
  </si>
  <si>
    <t>33999242109</t>
  </si>
  <si>
    <t>30695542476</t>
  </si>
  <si>
    <t>20345349600</t>
  </si>
  <si>
    <t>27444490204</t>
  </si>
  <si>
    <t>20330065983</t>
  </si>
  <si>
    <t>27206941419</t>
  </si>
  <si>
    <t>30500008454</t>
  </si>
  <si>
    <t>30716161109</t>
  </si>
  <si>
    <t>30715113852</t>
  </si>
  <si>
    <t>30703957478</t>
  </si>
  <si>
    <t>30709614785</t>
  </si>
  <si>
    <t>30697646627</t>
  </si>
  <si>
    <t>30646618521</t>
  </si>
  <si>
    <t>30532149793</t>
  </si>
  <si>
    <t>30501290323</t>
  </si>
  <si>
    <t>30586611522</t>
  </si>
  <si>
    <t>30574876474</t>
  </si>
  <si>
    <t>30501116242</t>
  </si>
  <si>
    <t>30500001735</t>
  </si>
  <si>
    <t>23255946269</t>
  </si>
  <si>
    <t>30711928592</t>
  </si>
  <si>
    <t>30645722937</t>
  </si>
  <si>
    <t>30503861638</t>
  </si>
  <si>
    <t>30500768262</t>
  </si>
  <si>
    <t>30500979824</t>
  </si>
  <si>
    <t>30682032630</t>
  </si>
  <si>
    <t>30715048066</t>
  </si>
  <si>
    <t>20200362951</t>
  </si>
  <si>
    <t>30714746436</t>
  </si>
  <si>
    <t>30715421557</t>
  </si>
  <si>
    <t>30711497974</t>
  </si>
  <si>
    <t>30642219355</t>
  </si>
  <si>
    <t>30577649827</t>
  </si>
  <si>
    <t>30715804812</t>
  </si>
  <si>
    <t>30500858628</t>
  </si>
  <si>
    <t>33707259839</t>
  </si>
  <si>
    <t>20344720305</t>
  </si>
  <si>
    <t>20180563017</t>
  </si>
  <si>
    <t>30716423030</t>
  </si>
  <si>
    <t>33714191999</t>
  </si>
  <si>
    <t>30710214472</t>
  </si>
  <si>
    <t>20214656575</t>
  </si>
  <si>
    <t>30624419193</t>
  </si>
  <si>
    <t>27316244918</t>
  </si>
  <si>
    <t>30639453738</t>
  </si>
  <si>
    <t>30529902278</t>
  </si>
  <si>
    <t>20180575023</t>
  </si>
  <si>
    <t>30713239808</t>
  </si>
  <si>
    <t>30525346389</t>
  </si>
  <si>
    <t>30709114103</t>
  </si>
  <si>
    <t>30663197599</t>
  </si>
  <si>
    <t>30503430165</t>
  </si>
  <si>
    <t>27248812228</t>
  </si>
  <si>
    <t>30717742121</t>
  </si>
  <si>
    <t>30566108352</t>
  </si>
  <si>
    <t>30590360763</t>
  </si>
  <si>
    <t>30592717340</t>
  </si>
  <si>
    <t>33717710229</t>
  </si>
  <si>
    <t>20184111110</t>
  </si>
  <si>
    <t>30708904534</t>
  </si>
  <si>
    <t>30714786667</t>
  </si>
  <si>
    <t>30552910512</t>
  </si>
  <si>
    <t>20126591293</t>
  </si>
  <si>
    <t>30707225609</t>
  </si>
  <si>
    <t>30586172308</t>
  </si>
  <si>
    <t>30534040713</t>
  </si>
  <si>
    <t>30522250356</t>
  </si>
  <si>
    <t>20400104094</t>
  </si>
  <si>
    <t>20172277609</t>
  </si>
  <si>
    <t>30645830446</t>
  </si>
  <si>
    <t>30710371624</t>
  </si>
  <si>
    <t>30715830236</t>
  </si>
  <si>
    <t>30577207190</t>
  </si>
  <si>
    <t>30507950848</t>
  </si>
  <si>
    <t>20284458010</t>
  </si>
  <si>
    <t>30709571717</t>
  </si>
  <si>
    <t>30589621499</t>
  </si>
  <si>
    <t>30708938021</t>
  </si>
  <si>
    <t>20148190489</t>
  </si>
  <si>
    <t>30707059806</t>
  </si>
  <si>
    <t>30618899612</t>
  </si>
  <si>
    <t>30702652975</t>
  </si>
  <si>
    <t>30709151041</t>
  </si>
  <si>
    <t>30546764040</t>
  </si>
  <si>
    <t>30537745742</t>
  </si>
  <si>
    <t>30612430973</t>
  </si>
  <si>
    <t>30711303592</t>
  </si>
  <si>
    <t>30585754869</t>
  </si>
  <si>
    <t>30708251697</t>
  </si>
  <si>
    <t>23307002809</t>
  </si>
  <si>
    <t>30582634021</t>
  </si>
  <si>
    <t>30501214279</t>
  </si>
  <si>
    <t>30604731018</t>
  </si>
  <si>
    <t>30715760475</t>
  </si>
  <si>
    <t>30714112836</t>
  </si>
  <si>
    <t>20245294825</t>
  </si>
  <si>
    <t>Fecha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</si>
  <si>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</si>
  <si>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</si>
  <si>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</si>
  <si>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</si>
  <si>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</si>
  <si>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</si>
  <si>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</si>
  <si>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</si>
  <si>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Imp. Neto Gravado</t>
  </si>
  <si>
    <t>Imp. Neto No Gravado</t>
  </si>
  <si>
    <t>Imp. Op. Exentas</t>
  </si>
  <si>
    <t>Otros Tributos</t>
  </si>
  <si>
    <t>IVA</t>
  </si>
  <si>
    <t>Imp. Total</t>
  </si>
  <si>
    <t>08/04/2024</t>
  </si>
  <si>
    <t>1 - Factura A</t>
  </si>
  <si>
    <t>3071474643631360</t>
  </si>
  <si>
    <t>CUIT</t>
  </si>
  <si>
    <t>11/04/2024</t>
  </si>
  <si>
    <t>3071474643631366</t>
  </si>
  <si>
    <t>16/04/2024</t>
  </si>
  <si>
    <t>3071474643631371</t>
  </si>
  <si>
    <t>22/04/2024</t>
  </si>
  <si>
    <t>30709151041121586</t>
  </si>
  <si>
    <t>A.V.A. SOCIEDAD ANONIMA</t>
  </si>
  <si>
    <t>337177102291441</t>
  </si>
  <si>
    <t>04/04/2024</t>
  </si>
  <si>
    <t>3071511385238263</t>
  </si>
  <si>
    <t>01/04/2024</t>
  </si>
  <si>
    <t>3070776023710693460</t>
  </si>
  <si>
    <t>ALYSER SA</t>
  </si>
  <si>
    <t>03/04/2024</t>
  </si>
  <si>
    <t>3 - Nota de Crédito A</t>
  </si>
  <si>
    <t>307077602371066624</t>
  </si>
  <si>
    <t>306632884971326694755</t>
  </si>
  <si>
    <t>11 - Factura C</t>
  </si>
  <si>
    <t>20345349600125</t>
  </si>
  <si>
    <t>20345349600126</t>
  </si>
  <si>
    <t>30/04/2024</t>
  </si>
  <si>
    <t>30714112836503600471</t>
  </si>
  <si>
    <t>30714112836503599412</t>
  </si>
  <si>
    <t>30714112836503601261</t>
  </si>
  <si>
    <t>306772371197115547334</t>
  </si>
  <si>
    <t>AUTOPISTAS DEL SOL S A</t>
  </si>
  <si>
    <t>306772371197115552104</t>
  </si>
  <si>
    <t>306772371197115550256</t>
  </si>
  <si>
    <t>17/04/2024</t>
  </si>
  <si>
    <t>306772371197115606934</t>
  </si>
  <si>
    <t>306772371197115604053</t>
  </si>
  <si>
    <t>306772371197115608770</t>
  </si>
  <si>
    <t>305748764745011594555</t>
  </si>
  <si>
    <t>305748764745015598327</t>
  </si>
  <si>
    <t>305748764745011603880</t>
  </si>
  <si>
    <t>305748764745014604125</t>
  </si>
  <si>
    <t>3070848113735143</t>
  </si>
  <si>
    <t>05/04/2024</t>
  </si>
  <si>
    <t>3070848113735146</t>
  </si>
  <si>
    <t>09/04/2024</t>
  </si>
  <si>
    <t>3070848113735151</t>
  </si>
  <si>
    <t>3070848113735156</t>
  </si>
  <si>
    <t>202433486774295</t>
  </si>
  <si>
    <t>202433486774296</t>
  </si>
  <si>
    <t>2024334867741408</t>
  </si>
  <si>
    <t>2024334867741409</t>
  </si>
  <si>
    <t>25/04/2024</t>
  </si>
  <si>
    <t>2024334867741428</t>
  </si>
  <si>
    <t>3071192859231101</t>
  </si>
  <si>
    <t>30629646708115140776</t>
  </si>
  <si>
    <t>BAVOSI SOCIEDAD ANONIMA</t>
  </si>
  <si>
    <t>30629646708115140775</t>
  </si>
  <si>
    <t>30629646708115140773</t>
  </si>
  <si>
    <t>30629646708115140774</t>
  </si>
  <si>
    <t>30629646708115140934</t>
  </si>
  <si>
    <t>3062964670811531068</t>
  </si>
  <si>
    <t>30629646708115141612</t>
  </si>
  <si>
    <t>30629646708115141616</t>
  </si>
  <si>
    <t>30629646708115141613</t>
  </si>
  <si>
    <t>30629646708115141614</t>
  </si>
  <si>
    <t>30629646708115141615</t>
  </si>
  <si>
    <t>30629646708115141609</t>
  </si>
  <si>
    <t>30629646708115141611</t>
  </si>
  <si>
    <t>30629646708115141610</t>
  </si>
  <si>
    <t>20301971479189</t>
  </si>
  <si>
    <t>305000357885573996</t>
  </si>
  <si>
    <t>204001040942763</t>
  </si>
  <si>
    <t>27444490204129</t>
  </si>
  <si>
    <t>30700869918200936620</t>
  </si>
  <si>
    <t>BUNGE ARGENTINA S A</t>
  </si>
  <si>
    <t>18/04/2024</t>
  </si>
  <si>
    <t>30700869918200936971</t>
  </si>
  <si>
    <t>30700869918200936970</t>
  </si>
  <si>
    <t>30700869918200936968</t>
  </si>
  <si>
    <t>30700869918200936969</t>
  </si>
  <si>
    <t>24/04/2024</t>
  </si>
  <si>
    <t>3053774574214114486</t>
  </si>
  <si>
    <t>12/04/2024</t>
  </si>
  <si>
    <t>3066319759953939999</t>
  </si>
  <si>
    <t>3066319759953940192</t>
  </si>
  <si>
    <t>3064661852120151084</t>
  </si>
  <si>
    <t>14/04/2024</t>
  </si>
  <si>
    <t>3059036076382639869</t>
  </si>
  <si>
    <t>307071355963223804</t>
  </si>
  <si>
    <t>30525390086600676068</t>
  </si>
  <si>
    <t>30525390086600676069</t>
  </si>
  <si>
    <t>30525390086600676070</t>
  </si>
  <si>
    <t>30525390086601260452</t>
  </si>
  <si>
    <t>30525390086601261684</t>
  </si>
  <si>
    <t>30525390086601261839</t>
  </si>
  <si>
    <t>3052539008660356563</t>
  </si>
  <si>
    <t>30525390086601262150</t>
  </si>
  <si>
    <t>307132398085604</t>
  </si>
  <si>
    <t>307132398085616</t>
  </si>
  <si>
    <t>26/04/2024</t>
  </si>
  <si>
    <t>30713239808598</t>
  </si>
  <si>
    <t>3061889961241061</t>
  </si>
  <si>
    <t>3053214979346398640</t>
  </si>
  <si>
    <t>3053214979346399061</t>
  </si>
  <si>
    <t>3053214979346399093</t>
  </si>
  <si>
    <t>23/04/2024</t>
  </si>
  <si>
    <t>3053214979346399660</t>
  </si>
  <si>
    <t>3053214979346399824</t>
  </si>
  <si>
    <t>29/04/2024</t>
  </si>
  <si>
    <t>3053214979346399975</t>
  </si>
  <si>
    <t>30501290323218160366</t>
  </si>
  <si>
    <t>30501290323218160471</t>
  </si>
  <si>
    <t>30501290323218160470</t>
  </si>
  <si>
    <t>19/04/2024</t>
  </si>
  <si>
    <t>30501290323218160691</t>
  </si>
  <si>
    <t>30501290323218160690</t>
  </si>
  <si>
    <t>30501290323218160767</t>
  </si>
  <si>
    <t>305772071901133569106</t>
  </si>
  <si>
    <t>COORDINACION ECOLOGICA AREA METROPOLITANA SOCIEDAD DEL ESTADO</t>
  </si>
  <si>
    <t>305772071901133570151</t>
  </si>
  <si>
    <t>305772071901133567875</t>
  </si>
  <si>
    <t>307158048127001585875</t>
  </si>
  <si>
    <t>CORREDORES VIALES SOCIEDAD ANONIMA</t>
  </si>
  <si>
    <t>307158048127001586173</t>
  </si>
  <si>
    <t>307158048127001603414</t>
  </si>
  <si>
    <t>307158048127001617317</t>
  </si>
  <si>
    <t>307158048127001634183</t>
  </si>
  <si>
    <t>307158048121045632472</t>
  </si>
  <si>
    <t>3050111624260043576627</t>
  </si>
  <si>
    <t>DANONE ARGENTINA SOCIEDAD ANONIMA</t>
  </si>
  <si>
    <t>3050111624260043581919</t>
  </si>
  <si>
    <t>3050111624260043584955</t>
  </si>
  <si>
    <t>3050111624260041735658</t>
  </si>
  <si>
    <t>3050111624260043590568</t>
  </si>
  <si>
    <t>3050111624260043593320</t>
  </si>
  <si>
    <t>3050111624260041739506</t>
  </si>
  <si>
    <t>3050111624260041740376</t>
  </si>
  <si>
    <t>3050111624260043598299</t>
  </si>
  <si>
    <t>3050111624260043600825</t>
  </si>
  <si>
    <t>3050111624260043607093</t>
  </si>
  <si>
    <t>272069414192307</t>
  </si>
  <si>
    <t>3064221935510153087</t>
  </si>
  <si>
    <t>15/04/2024</t>
  </si>
  <si>
    <t>306422193551052566</t>
  </si>
  <si>
    <t>3064221935510153812</t>
  </si>
  <si>
    <t>305866115221001234087</t>
  </si>
  <si>
    <t>305866115221001234748</t>
  </si>
  <si>
    <t>305866115221001234948</t>
  </si>
  <si>
    <t>305866115221001235246</t>
  </si>
  <si>
    <t>305866115221001235247</t>
  </si>
  <si>
    <t>30582634021239584</t>
  </si>
  <si>
    <t>10/04/2024</t>
  </si>
  <si>
    <t>3371419199935202</t>
  </si>
  <si>
    <t>FAINAX S.A.</t>
  </si>
  <si>
    <t>3371419199935209</t>
  </si>
  <si>
    <t>3371419199935224</t>
  </si>
  <si>
    <t>2028445801018</t>
  </si>
  <si>
    <t>307095717175245</t>
  </si>
  <si>
    <t>FINCA DE SANTIAGO SA</t>
  </si>
  <si>
    <t>307095717175243</t>
  </si>
  <si>
    <t>307095717175247</t>
  </si>
  <si>
    <t>307102144723101457</t>
  </si>
  <si>
    <t>307102144723101994</t>
  </si>
  <si>
    <t>13/04/2024</t>
  </si>
  <si>
    <t>30566108352161195270</t>
  </si>
  <si>
    <t>30566108352161195552</t>
  </si>
  <si>
    <t>30566108352135221405</t>
  </si>
  <si>
    <t>30566108352135221406</t>
  </si>
  <si>
    <t>3056610835213525844</t>
  </si>
  <si>
    <t>2 - Nota de Débito A</t>
  </si>
  <si>
    <t>305661083521351106</t>
  </si>
  <si>
    <t>30566108352135221719</t>
  </si>
  <si>
    <t>30566108352135221779</t>
  </si>
  <si>
    <t>2018411111015759</t>
  </si>
  <si>
    <t>2018411111015764</t>
  </si>
  <si>
    <t>30707225609421031</t>
  </si>
  <si>
    <t>20200362951236</t>
  </si>
  <si>
    <t>20287430974342385</t>
  </si>
  <si>
    <t>GOMEZ JOSE MARIA</t>
  </si>
  <si>
    <t>201722776093625</t>
  </si>
  <si>
    <t>30645830446428341</t>
  </si>
  <si>
    <t>GOOD FOOD SA</t>
  </si>
  <si>
    <t>30645830446428470</t>
  </si>
  <si>
    <t>306634985136295021230</t>
  </si>
  <si>
    <t>306634985136295022495</t>
  </si>
  <si>
    <t>306634985136295060456</t>
  </si>
  <si>
    <t>306634985136295061009</t>
  </si>
  <si>
    <t>2012659129335982</t>
  </si>
  <si>
    <t>232559462692952</t>
  </si>
  <si>
    <t>232559462692951</t>
  </si>
  <si>
    <t>232559462692959</t>
  </si>
  <si>
    <t>3050343016510012744</t>
  </si>
  <si>
    <t>HEIMENRATH ROSA ARONTHAL DE HEIMENRATH RUBEN ANGEL Y HEIMENRATH JORGE MARIO</t>
  </si>
  <si>
    <t>3050343016510012756</t>
  </si>
  <si>
    <t>3070961478557322</t>
  </si>
  <si>
    <t>HORVINDUL S.R.L.</t>
  </si>
  <si>
    <t>3070961478557337</t>
  </si>
  <si>
    <t>3052225035610272319</t>
  </si>
  <si>
    <t>30708784687105688</t>
  </si>
  <si>
    <t>IDEAS Y NEGOCIOS S.A.</t>
  </si>
  <si>
    <t>30708784687105714</t>
  </si>
  <si>
    <t>306976466271279583</t>
  </si>
  <si>
    <t>306976466271279701</t>
  </si>
  <si>
    <t>306976466271279837</t>
  </si>
  <si>
    <t>30708904534216373</t>
  </si>
  <si>
    <t>JOSE LUIS RONCHI E HIJOS S.R.L.</t>
  </si>
  <si>
    <t>3370725983960305813</t>
  </si>
  <si>
    <t>3370725983960306055</t>
  </si>
  <si>
    <t>3370725983960307293</t>
  </si>
  <si>
    <t>305038616386365226</t>
  </si>
  <si>
    <t>305038616386365337</t>
  </si>
  <si>
    <t>305038616386365342</t>
  </si>
  <si>
    <t>3071642303015391</t>
  </si>
  <si>
    <t>LABORATORIO MAYANA</t>
  </si>
  <si>
    <t>30714786667219948</t>
  </si>
  <si>
    <t>3071478666724573</t>
  </si>
  <si>
    <t>30714786667219970</t>
  </si>
  <si>
    <t>2018057502322522</t>
  </si>
  <si>
    <t>3070705980690435701</t>
  </si>
  <si>
    <t>LODISER SA</t>
  </si>
  <si>
    <t>3070705980691241874</t>
  </si>
  <si>
    <t>3070705980690436576</t>
  </si>
  <si>
    <t>307070598069115555</t>
  </si>
  <si>
    <t>203447203051213</t>
  </si>
  <si>
    <t>30585754869940487</t>
  </si>
  <si>
    <t>2005503657944758</t>
  </si>
  <si>
    <t>LUCANERA ALFREDO ADOLFO</t>
  </si>
  <si>
    <t>233070028092145</t>
  </si>
  <si>
    <t>305529105121044112</t>
  </si>
  <si>
    <t>305529105121044151</t>
  </si>
  <si>
    <t>30552910512107634</t>
  </si>
  <si>
    <t>272488122281108</t>
  </si>
  <si>
    <t>3071130359211088196</t>
  </si>
  <si>
    <t>3071130359211094739</t>
  </si>
  <si>
    <t>3052990227862750</t>
  </si>
  <si>
    <t>3054724233161566686660</t>
  </si>
  <si>
    <t>3054724233161566695476</t>
  </si>
  <si>
    <t>3054724233161566700639</t>
  </si>
  <si>
    <t>3054724233161566703431</t>
  </si>
  <si>
    <t>3054724233161566709600</t>
  </si>
  <si>
    <t>3054724233161566716861</t>
  </si>
  <si>
    <t>3054724233161566723436</t>
  </si>
  <si>
    <t>3054724233161566727576</t>
  </si>
  <si>
    <t>30547242331616240408</t>
  </si>
  <si>
    <t>3054724233161566737586</t>
  </si>
  <si>
    <t>306124309731079515</t>
  </si>
  <si>
    <t>307089380211251349</t>
  </si>
  <si>
    <t>MILK WORLD S.A.</t>
  </si>
  <si>
    <t>06/04/2024</t>
  </si>
  <si>
    <t>30682032630622266229</t>
  </si>
  <si>
    <t>MILKAUT SA</t>
  </si>
  <si>
    <t>30682032630622267869</t>
  </si>
  <si>
    <t>20/04/2024</t>
  </si>
  <si>
    <t>30682032630622270891</t>
  </si>
  <si>
    <t>30682032630622107587</t>
  </si>
  <si>
    <t>30682032630622272491</t>
  </si>
  <si>
    <t>305007682622002282190</t>
  </si>
  <si>
    <t>MOLFINO HNOS SOCIEDAD ANONIMA</t>
  </si>
  <si>
    <t>305007682622002282972</t>
  </si>
  <si>
    <t>305007682622002283347</t>
  </si>
  <si>
    <t>305007682622002283558</t>
  </si>
  <si>
    <t>305007682622002283559</t>
  </si>
  <si>
    <t>3050076826220204328</t>
  </si>
  <si>
    <t>305007682622002283852</t>
  </si>
  <si>
    <t>305007682622002284128</t>
  </si>
  <si>
    <t>305007682622002284129</t>
  </si>
  <si>
    <t>305007682622002284757</t>
  </si>
  <si>
    <t>30507950848115264665</t>
  </si>
  <si>
    <t>MOLINO CAÑUELAS SOCIEDAD ANONIMA COMERCIAL INDUSTRIAL  FINANCIERA INMOBILIARIA Y AGROPECUARIA</t>
  </si>
  <si>
    <t>30507950848884102014</t>
  </si>
  <si>
    <t>305079508488849950</t>
  </si>
  <si>
    <t>27/04/2024</t>
  </si>
  <si>
    <t>30507950848884102668</t>
  </si>
  <si>
    <t>30534040713100292572</t>
  </si>
  <si>
    <t>MOLINO CHACABUCO S A</t>
  </si>
  <si>
    <t>30534040713100292574</t>
  </si>
  <si>
    <t>3053404071330090533</t>
  </si>
  <si>
    <t>30500858628667290371</t>
  </si>
  <si>
    <t>30500858628702422328</t>
  </si>
  <si>
    <t>30500858628702422329</t>
  </si>
  <si>
    <t>30500858628702422330</t>
  </si>
  <si>
    <t>30500858628702422331</t>
  </si>
  <si>
    <t>30500858628679172110</t>
  </si>
  <si>
    <t>30500858628702422913</t>
  </si>
  <si>
    <t>30525346389916543</t>
  </si>
  <si>
    <t>MORIXE HERMANOS SOCIEDAD ANONIMA COMERCIAL E INDUSTRIAL</t>
  </si>
  <si>
    <t>30546764040394369991</t>
  </si>
  <si>
    <t>307177421211400</t>
  </si>
  <si>
    <t>3070265297553017938</t>
  </si>
  <si>
    <t>3070265297553017939</t>
  </si>
  <si>
    <t>30711497974346892</t>
  </si>
  <si>
    <t>30711497974347376</t>
  </si>
  <si>
    <t>30711497974347728</t>
  </si>
  <si>
    <t>30711497974347723</t>
  </si>
  <si>
    <t>3071149797435468</t>
  </si>
  <si>
    <t>30550245309211111527</t>
  </si>
  <si>
    <t>OMINT SOCIEDAD ANONIMA DE SERVICIOS</t>
  </si>
  <si>
    <t>30678774495729428672</t>
  </si>
  <si>
    <t>OPERADORA DE ESTACIONES DE SERVICIOS SA</t>
  </si>
  <si>
    <t>30678774495729829663</t>
  </si>
  <si>
    <t>30678774495700822666</t>
  </si>
  <si>
    <t>30695542476811745496</t>
  </si>
  <si>
    <t>PAN AMERICAN ENERGY, S.L.,  SUCURSAL ARGENTINA</t>
  </si>
  <si>
    <t>30695542476811746361</t>
  </si>
  <si>
    <t>20936208690141495</t>
  </si>
  <si>
    <t>PASSUELO DAVID JOHN</t>
  </si>
  <si>
    <t>27316244918770</t>
  </si>
  <si>
    <t>27316244918771</t>
  </si>
  <si>
    <t>27316244918773</t>
  </si>
  <si>
    <t>27316244918772</t>
  </si>
  <si>
    <t>30624419193185665</t>
  </si>
  <si>
    <t>30624419193185701</t>
  </si>
  <si>
    <t>30703957478399387</t>
  </si>
  <si>
    <t>30703957478399962</t>
  </si>
  <si>
    <t>30703957478399961</t>
  </si>
  <si>
    <t>30703957478399960</t>
  </si>
  <si>
    <t>307039574783100028</t>
  </si>
  <si>
    <t>3071616110912310</t>
  </si>
  <si>
    <t>3071616110912334</t>
  </si>
  <si>
    <t>305012142793281935</t>
  </si>
  <si>
    <t>30715421557319368</t>
  </si>
  <si>
    <t>203300659832188</t>
  </si>
  <si>
    <t>203300659832189</t>
  </si>
  <si>
    <t>13 - Nota de Crédito C</t>
  </si>
  <si>
    <t>2033006598326</t>
  </si>
  <si>
    <t>307150480661773</t>
  </si>
  <si>
    <t>307150480661774</t>
  </si>
  <si>
    <t>2021465657598260</t>
  </si>
  <si>
    <t>30586172308878166</t>
  </si>
  <si>
    <t>SANTA FE COMERCIAL SOCIEDAD DE RESPONSABILIDAD LIMITADA</t>
  </si>
  <si>
    <t>30589621499167836428</t>
  </si>
  <si>
    <t>SUPERMERCADOS MAYORISTAS MAKRO SA</t>
  </si>
  <si>
    <t>202452948252352</t>
  </si>
  <si>
    <t>3063945373863648290087</t>
  </si>
  <si>
    <t>TELECOM ARGENTINA SOCIEDAD ANONIMA</t>
  </si>
  <si>
    <t>3071583023672051</t>
  </si>
  <si>
    <t>30501092696437281102</t>
  </si>
  <si>
    <t>30501092696437281178</t>
  </si>
  <si>
    <t>305010926964371653025</t>
  </si>
  <si>
    <t>305010926964371654380</t>
  </si>
  <si>
    <t>30685200070285295</t>
  </si>
  <si>
    <t>V T V NORTE SA S. A.</t>
  </si>
  <si>
    <t>3071529613233715</t>
  </si>
  <si>
    <t>3071529613233760</t>
  </si>
  <si>
    <t>337163077491439983</t>
  </si>
  <si>
    <t>3050097982443290572</t>
  </si>
  <si>
    <t>VERONICA S A C I A F E I</t>
  </si>
  <si>
    <t>3050097982443291418</t>
  </si>
  <si>
    <t>3050097982443291869</t>
  </si>
  <si>
    <t>3050097982443292278</t>
  </si>
  <si>
    <t>3050097982443293465</t>
  </si>
  <si>
    <t>2018056301735307</t>
  </si>
  <si>
    <t>2018056301735314</t>
  </si>
  <si>
    <t>2018056301735316</t>
  </si>
  <si>
    <t>2018056301735319</t>
  </si>
  <si>
    <t>A0001000044112</t>
  </si>
  <si>
    <t>A0729400028672</t>
  </si>
  <si>
    <t>C0000700000071</t>
  </si>
  <si>
    <t>Columna1</t>
  </si>
  <si>
    <t>Columna2</t>
  </si>
  <si>
    <t>Columna3</t>
  </si>
  <si>
    <t>NO SE SI SUBIRLA</t>
  </si>
  <si>
    <t>ES IGUAL QUE LA DE ARRIBA</t>
  </si>
  <si>
    <t>AGREGADAS A AFIP</t>
  </si>
  <si>
    <t>PERCEPCIONES</t>
  </si>
  <si>
    <t>COINCIDEN CON AFIP</t>
  </si>
  <si>
    <t>FALTAN AGREGAR A AFIP</t>
  </si>
  <si>
    <t>BANCOS - CORROBORAR CON LOS BANCOS DE AFIP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</si>
</sst>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quotePrefix="1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1" applyFont="1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1" fontId="0" fillId="3" borderId="0" xfId="0" applyNumberFormat="1" applyFill="1"/>
    <xf numFmtId="4" fontId="2" fillId="0" borderId="0" xfId="0" applyNumberFormat="1" applyFont="1"/>
    <xf numFmtId="4" fontId="0" fillId="0" borderId="0" xfId="0" applyNumberFormat="1"/>
    <xf numFmtId="4" fontId="0" fillId="3" borderId="0" xfId="0" applyNumberFormat="1" applyFill="1"/>
    <xf numFmtId="0" fontId="0" fillId="4" borderId="0" xfId="0" applyFill="1"/>
    <xf numFmtId="1" fontId="0" fillId="4" borderId="0" xfId="0" applyNumberFormat="1" applyFill="1"/>
    <xf numFmtId="4" fontId="0" fillId="4" borderId="0" xfId="0" applyNumberFormat="1" applyFill="1"/>
    <xf numFmtId="0" fontId="4" fillId="0" borderId="0" xfId="0" quotePrefix="1" applyFont="1"/>
    <xf numFmtId="164" fontId="4" fillId="0" borderId="0" xfId="1" quotePrefix="1" applyFont="1"/>
    <xf numFmtId="0" fontId="3" fillId="0" borderId="0" xfId="0" applyFont="1"/>
    <xf numFmtId="164" fontId="5" fillId="0" borderId="0" xfId="0" applyNumberFormat="1" applyFont="1"/>
    <xf numFmtId="14" fontId="0" fillId="5" borderId="0" xfId="0" applyNumberFormat="1" applyFill="1"/>
    <xf numFmtId="0" fontId="0" fillId="5" borderId="0" xfId="0" quotePrefix="1" applyFill="1"/>
    <xf numFmtId="1" fontId="0" fillId="5" borderId="0" xfId="0" applyNumberFormat="1" applyFill="1"/>
    <xf numFmtId="2" fontId="0" fillId="5" borderId="0" xfId="0" applyNumberFormat="1" applyFill="1"/>
    <xf numFmtId="164" fontId="0" fillId="5" borderId="0" xfId="1" applyFont="1" applyFill="1"/>
    <xf numFmtId="0" fontId="0" fillId="5" borderId="0" xfId="0" applyFill="1"/>
    <xf numFmtId="4" fontId="0" fillId="0" borderId="0" xfId="0" applyNumberFormat="1" applyFill="1"/>
    <xf numFmtId="0" fontId="0" fillId="0" borderId="0" xfId="0" applyFill="1"/>
    <xf numFmtId="0" fontId="0" fillId="2" borderId="0" xfId="0" quotePrefix="1" applyFill="1"/>
    <xf numFmtId="14" fontId="0" fillId="6" borderId="0" xfId="0" applyNumberFormat="1" applyFill="1"/>
    <xf numFmtId="0" fontId="0" fillId="6" borderId="0" xfId="0" quotePrefix="1" applyFill="1"/>
    <xf numFmtId="1" fontId="0" fillId="6" borderId="0" xfId="0" applyNumberFormat="1" applyFill="1"/>
    <xf numFmtId="2" fontId="0" fillId="6" borderId="0" xfId="0" applyNumberFormat="1" applyFill="1"/>
    <xf numFmtId="164" fontId="0" fillId="6" borderId="0" xfId="1" applyFont="1" applyFill="1"/>
    <xf numFmtId="0" fontId="0" fillId="6" borderId="0" xfId="0" applyFill="1"/>
    <xf numFmtId="0" fontId="3" fillId="0" borderId="0" xfId="0" quotePrefix="1" applyFont="1" applyFill="1"/>
    <xf numFmtId="14" fontId="0" fillId="7" borderId="0" xfId="0" applyNumberFormat="1" applyFill="1"/>
    <xf numFmtId="0" fontId="0" fillId="7" borderId="0" xfId="0" quotePrefix="1" applyFill="1"/>
    <xf numFmtId="1" fontId="0" fillId="7" borderId="0" xfId="0" applyNumberFormat="1" applyFill="1"/>
    <xf numFmtId="2" fontId="0" fillId="7" borderId="0" xfId="0" applyNumberFormat="1" applyFill="1"/>
    <xf numFmtId="164" fontId="0" fillId="7" borderId="0" xfId="1" applyFont="1" applyFill="1"/>
    <xf numFmtId="0" fontId="0" fillId="7" borderId="0" xfId="0" applyFill="1"/>
    <xf numFmtId="14" fontId="0" fillId="3" borderId="0" xfId="0" applyNumberFormat="1" applyFill="1"/>
    <xf numFmtId="0" fontId="0" fillId="3" borderId="0" xfId="0" quotePrefix="1" applyFill="1"/>
    <xf numFmtId="2" fontId="0" fillId="3" borderId="0" xfId="0" applyNumberFormat="1" applyFill="1"/>
    <xf numFmtId="164" fontId="0" fillId="3" borderId="0" xfId="1" applyFont="1" applyFill="1"/>
    <xf numFmtId="14" fontId="0" fillId="8" borderId="0" xfId="0" applyNumberFormat="1" applyFill="1"/>
    <xf numFmtId="0" fontId="0" fillId="8" borderId="0" xfId="0" quotePrefix="1" applyFill="1"/>
    <xf numFmtId="1" fontId="0" fillId="8" borderId="0" xfId="0" applyNumberFormat="1" applyFill="1"/>
    <xf numFmtId="2" fontId="0" fillId="8" borderId="0" xfId="0" applyNumberFormat="1" applyFill="1"/>
    <xf numFmtId="164" fontId="0" fillId="8" borderId="0" xfId="1" applyFont="1" applyFill="1"/>
    <xf numFmtId="0" fontId="0" fillId="8" borderId="0" xfId="0" applyFill="1"/>
  </cellXfs>
  <cellStyles count="2">
    <cellStyle name="Millares" xfId="1" builtinId="3"/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\ _€_-;\-* #,##0.00\ _€_-;_-* &quot;-&quot;??\ _€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\ _€_-;\-* #,##0.00\ _€_-;_-* &quot;-&quot;??\ _€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\ _€_-;\-* #,##0.00\ _€_-;_-* &quot;-&quot;??\ _€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\ _€_-;\-* #,##0.00\ _€_-;_-* &quot;-&quot;??\ _€_-;_-@_-"/>
    </dxf>
    <dxf>
      <numFmt numFmtId="2" formatCode="0.00"/>
    </dxf>
    <dxf>
      <numFmt numFmtId="1" formatCode="0"/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1" formatCode="0"/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A403A3-1BA4-4F24-8807-1E1CCB13F17D}" name="Tabla1" displayName="Tabla1" ref="A1:P525" totalsRowCount="1" headerRowDxfId="15" dataDxfId="14" headerRowCellStyle="Millares" dataCellStyle="Millares">
  <autoFilter ref="A1:P524" xr:uid="{F0A403A3-1BA4-4F24-8807-1E1CCB13F17D}"/>
  <sortState xmlns:xlrd2="http://schemas.microsoft.com/office/spreadsheetml/2017/richdata2" ref="A2:P524">
    <sortCondition ref="A1:A524"/>
  </sortState>
  <tableColumns count="16">
    <tableColumn id="1" xr3:uid="{4AC05B8A-7CB4-4112-BA80-4EC3689E39D1}" name="FECHA_EMI" dataDxfId="13" totalsRowDxfId="6"/>
    <tableColumn id="2" xr3:uid="{A3043596-2F80-47E2-88EE-2D686A912C9F}" name="COD_PROVE"/>
    <tableColumn id="3" xr3:uid="{974AA80B-6F3B-4FEC-87B1-CBC24B8D5717}" name="NOM_PROVE"/>
    <tableColumn id="4" xr3:uid="{33B38DC5-804E-465F-A91B-BB8EBE07BF9D}" name="COND_IVA"/>
    <tableColumn id="5" xr3:uid="{006592ED-ACD7-40B0-9542-08B8E4AB7C93}" name="IDENTIFTRI"/>
    <tableColumn id="6" xr3:uid="{256ACD56-CBA7-4AC9-B030-CF60B281B4D2}" name="N_INTERNO" dataDxfId="12" totalsRowDxfId="5"/>
    <tableColumn id="7" xr3:uid="{B07575CC-6147-4939-84D4-FB123F899237}" name="T_COMP"/>
    <tableColumn id="8" xr3:uid="{BD53671B-EB07-48D2-8552-F9D1631EC088}" name="N_COMP"/>
    <tableColumn id="9" xr3:uid="{19F7566D-0CEF-45C9-8618-3D059B2E001B}" name="Columna1"/>
    <tableColumn id="10" xr3:uid="{466784F3-377B-42F3-BFB0-A6B309A9D6E6}" name="Columna2"/>
    <tableColumn id="11" xr3:uid="{8F24A397-E060-4C02-BDC4-31A1E19BAF0F}" name="Columna3">
      <calculatedColumnFormula>CONCATENATE(E2,I2,J2)</calculatedColumnFormula>
    </tableColumn>
    <tableColumn id="12" xr3:uid="{4B0E1348-84CC-4F82-B8DF-C2EB04FF2339}" name="PORC_IVA" dataDxfId="11" totalsRowDxfId="4"/>
    <tableColumn id="13" xr3:uid="{FA383224-7DA3-443A-A9F9-94AA78374A4C}" name="IMP_EXENTO" totalsRowFunction="sum" dataDxfId="10" totalsRowDxfId="3" dataCellStyle="Millares"/>
    <tableColumn id="14" xr3:uid="{4086DFE7-5DD0-48E0-A0AB-252603265F06}" name="IMP_NETO" totalsRowFunction="sum" dataDxfId="9" totalsRowDxfId="2" dataCellStyle="Millares"/>
    <tableColumn id="15" xr3:uid="{4E88F7EC-3E2A-4B1A-915E-68360FD60DBB}" name="IMP_IVA" totalsRowFunction="sum" dataDxfId="8" totalsRowDxfId="1" dataCellStyle="Millares"/>
    <tableColumn id="16" xr3:uid="{574462A7-EE52-4B5D-A4C2-B30177CDC56E}" name="IMP_TOTAL" totalsRowFunction="sum" dataDxfId="7" totalsRowDxfId="0" dataCellStyle="Millar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5"/>
  <sheetViews>
    <sheetView tabSelected="1" topLeftCell="C1" zoomScaleNormal="100" workbookViewId="0">
      <selection activeCell="R7" sqref="R7"/>
    </sheetView>
  </sheetViews>
  <sheetFormatPr baseColWidth="10" defaultRowHeight="15" x14ac:dyDescent="0.25"/>
  <cols>
    <col min="1" max="1" width="18.28515625" customWidth="1"/>
    <col min="2" max="2" width="19.5703125" customWidth="1"/>
    <col min="3" max="3" width="29.85546875" customWidth="1"/>
    <col min="4" max="4" width="4.7109375" customWidth="1"/>
    <col min="5" max="5" width="14" customWidth="1"/>
    <col min="6" max="6" width="7.7109375" customWidth="1"/>
    <col min="7" max="7" width="5.7109375" customWidth="1"/>
    <col min="8" max="8" width="15.140625" customWidth="1"/>
    <col min="9" max="9" width="8.28515625" customWidth="1"/>
    <col min="10" max="10" width="12.7109375" customWidth="1"/>
    <col min="11" max="11" width="24.28515625" bestFit="1" customWidth="1"/>
    <col min="12" max="12" width="16.5703125" customWidth="1"/>
    <col min="13" max="13" width="22.7109375" style="5" customWidth="1"/>
    <col min="14" max="14" width="19" style="5" customWidth="1"/>
    <col min="15" max="15" width="18.7109375" style="5" customWidth="1"/>
    <col min="16" max="16" width="20.5703125" style="5" customWidth="1"/>
    <col min="17" max="17" width="11.42578125" style="28"/>
    <col min="18" max="18" width="46.42578125" bestFit="1" customWidth="1"/>
  </cols>
  <sheetData>
    <row r="1" spans="1:18" s="19" customFormat="1" ht="15.75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1080</v>
      </c>
      <c r="J1" s="17" t="s">
        <v>1081</v>
      </c>
      <c r="K1" s="17" t="s">
        <v>1082</v>
      </c>
      <c r="L1" s="17" t="s">
        <v>8</v>
      </c>
      <c r="M1" s="18" t="s">
        <v>9</v>
      </c>
      <c r="N1" s="18" t="s">
        <v>10</v>
      </c>
      <c r="O1" s="18" t="s">
        <v>11</v>
      </c>
      <c r="P1" s="18" t="s">
        <v>12</v>
      </c>
      <c r="Q1" s="36" t="s">
        <v>13</v>
      </c>
    </row>
    <row r="2" spans="1:18" x14ac:dyDescent="0.25">
      <c r="A2" s="47">
        <v>45331</v>
      </c>
      <c r="B2" s="48" t="s">
        <v>19</v>
      </c>
      <c r="C2" s="48" t="s">
        <v>20</v>
      </c>
      <c r="D2" s="48" t="s">
        <v>16</v>
      </c>
      <c r="E2" s="48" t="s">
        <v>589</v>
      </c>
      <c r="F2" s="49">
        <v>11481</v>
      </c>
      <c r="G2" s="48" t="s">
        <v>21</v>
      </c>
      <c r="H2" s="48" t="s">
        <v>22</v>
      </c>
      <c r="I2" s="48">
        <v>6156</v>
      </c>
      <c r="J2" s="48">
        <v>2479221</v>
      </c>
      <c r="K2" s="48" t="str">
        <f>CONCATENATE(E2,I2,J2)</f>
        <v>3054724233161562479221</v>
      </c>
      <c r="L2" s="50">
        <v>21</v>
      </c>
      <c r="M2" s="51">
        <v>0</v>
      </c>
      <c r="N2" s="51">
        <v>-67744.039999999994</v>
      </c>
      <c r="O2" s="51">
        <v>-14226.25</v>
      </c>
      <c r="P2" s="51">
        <v>-81970.289999999994</v>
      </c>
    </row>
    <row r="3" spans="1:18" x14ac:dyDescent="0.25">
      <c r="A3" s="30">
        <v>45331</v>
      </c>
      <c r="B3" s="31" t="s">
        <v>14</v>
      </c>
      <c r="C3" s="31" t="s">
        <v>15</v>
      </c>
      <c r="D3" s="31" t="s">
        <v>16</v>
      </c>
      <c r="E3" s="31" t="s">
        <v>588</v>
      </c>
      <c r="F3" s="32">
        <v>11562</v>
      </c>
      <c r="G3" s="31" t="s">
        <v>17</v>
      </c>
      <c r="H3" s="31" t="s">
        <v>18</v>
      </c>
      <c r="I3" s="31">
        <v>9023</v>
      </c>
      <c r="J3" s="31">
        <v>112471</v>
      </c>
      <c r="K3" s="31" t="str">
        <f>CONCATENATE(E3,I3,J3)</f>
        <v>345000453399023112471</v>
      </c>
      <c r="L3" s="33">
        <v>3</v>
      </c>
      <c r="M3" s="34">
        <v>0</v>
      </c>
      <c r="N3" s="34">
        <v>0</v>
      </c>
      <c r="O3" s="34">
        <v>878.79</v>
      </c>
      <c r="P3" s="34">
        <v>0</v>
      </c>
      <c r="R3" s="42" t="s">
        <v>1085</v>
      </c>
    </row>
    <row r="4" spans="1:18" x14ac:dyDescent="0.25">
      <c r="A4" s="47">
        <v>45331</v>
      </c>
      <c r="B4" s="48" t="s">
        <v>14</v>
      </c>
      <c r="C4" s="48" t="s">
        <v>15</v>
      </c>
      <c r="D4" s="48" t="s">
        <v>16</v>
      </c>
      <c r="E4" s="48" t="s">
        <v>588</v>
      </c>
      <c r="F4" s="49">
        <v>11562</v>
      </c>
      <c r="G4" s="48" t="s">
        <v>17</v>
      </c>
      <c r="H4" s="48" t="s">
        <v>18</v>
      </c>
      <c r="I4" s="48">
        <v>9023</v>
      </c>
      <c r="J4" s="48">
        <v>112471</v>
      </c>
      <c r="K4" s="48" t="str">
        <f>CONCATENATE(E4,I4,J4)</f>
        <v>345000453399023112471</v>
      </c>
      <c r="L4" s="50">
        <v>21</v>
      </c>
      <c r="M4" s="51">
        <v>1942.23</v>
      </c>
      <c r="N4" s="51">
        <v>29292.74</v>
      </c>
      <c r="O4" s="51">
        <v>6151.48</v>
      </c>
      <c r="P4" s="51">
        <v>39587</v>
      </c>
      <c r="R4" s="35" t="s">
        <v>1086</v>
      </c>
    </row>
    <row r="5" spans="1:18" x14ac:dyDescent="0.25">
      <c r="A5" s="47">
        <v>45349</v>
      </c>
      <c r="B5" s="48" t="s">
        <v>23</v>
      </c>
      <c r="C5" s="48" t="s">
        <v>24</v>
      </c>
      <c r="D5" s="48" t="s">
        <v>16</v>
      </c>
      <c r="E5" s="48" t="s">
        <v>590</v>
      </c>
      <c r="F5" s="49">
        <v>11714</v>
      </c>
      <c r="G5" s="48" t="s">
        <v>17</v>
      </c>
      <c r="H5" s="48" t="s">
        <v>25</v>
      </c>
      <c r="I5" s="48">
        <v>10</v>
      </c>
      <c r="J5" s="48">
        <v>20865</v>
      </c>
      <c r="K5" s="48" t="str">
        <f>CONCATENATE(E5,I5,J5)</f>
        <v>307117580341020865</v>
      </c>
      <c r="L5" s="50">
        <v>10.5</v>
      </c>
      <c r="M5" s="51">
        <v>0</v>
      </c>
      <c r="N5" s="51">
        <v>0</v>
      </c>
      <c r="O5" s="51">
        <v>2620.34</v>
      </c>
      <c r="P5" s="51">
        <v>0</v>
      </c>
      <c r="R5" s="8" t="s">
        <v>1087</v>
      </c>
    </row>
    <row r="6" spans="1:18" x14ac:dyDescent="0.25">
      <c r="A6" s="47">
        <v>45349</v>
      </c>
      <c r="B6" s="48" t="s">
        <v>23</v>
      </c>
      <c r="C6" s="48" t="s">
        <v>24</v>
      </c>
      <c r="D6" s="48" t="s">
        <v>16</v>
      </c>
      <c r="E6" s="48" t="s">
        <v>590</v>
      </c>
      <c r="F6" s="49">
        <v>11714</v>
      </c>
      <c r="G6" s="48" t="s">
        <v>17</v>
      </c>
      <c r="H6" s="48" t="s">
        <v>25</v>
      </c>
      <c r="I6" s="48">
        <v>10</v>
      </c>
      <c r="J6" s="48">
        <v>20865</v>
      </c>
      <c r="K6" s="48" t="str">
        <f>CONCATENATE(E6,I6,J6)</f>
        <v>307117580341020865</v>
      </c>
      <c r="L6" s="50">
        <v>21</v>
      </c>
      <c r="M6" s="51">
        <v>0</v>
      </c>
      <c r="N6" s="51">
        <v>49242.06</v>
      </c>
      <c r="O6" s="51">
        <v>5100.1499999999996</v>
      </c>
      <c r="P6" s="51">
        <v>57947.39</v>
      </c>
      <c r="R6" s="26" t="s">
        <v>1089</v>
      </c>
    </row>
    <row r="7" spans="1:18" x14ac:dyDescent="0.25">
      <c r="A7" s="47">
        <v>45358</v>
      </c>
      <c r="B7" s="48" t="s">
        <v>26</v>
      </c>
      <c r="C7" s="48" t="s">
        <v>27</v>
      </c>
      <c r="D7" s="48" t="s">
        <v>28</v>
      </c>
      <c r="E7" s="48" t="s">
        <v>591</v>
      </c>
      <c r="F7" s="49">
        <v>10783</v>
      </c>
      <c r="G7" s="48" t="s">
        <v>17</v>
      </c>
      <c r="H7" s="48" t="s">
        <v>29</v>
      </c>
      <c r="I7" s="48">
        <v>4</v>
      </c>
      <c r="J7" s="48">
        <v>1371</v>
      </c>
      <c r="K7" s="48" t="str">
        <f>CONCATENATE(E7,I7,J7)</f>
        <v>2024334867741371</v>
      </c>
      <c r="L7" s="50">
        <v>10.5</v>
      </c>
      <c r="M7" s="51">
        <v>0</v>
      </c>
      <c r="N7" s="51">
        <v>1650000</v>
      </c>
      <c r="O7" s="51">
        <v>173250</v>
      </c>
      <c r="P7" s="51">
        <v>1823250</v>
      </c>
      <c r="R7" s="52" t="s">
        <v>1088</v>
      </c>
    </row>
    <row r="8" spans="1:18" x14ac:dyDescent="0.25">
      <c r="A8" s="47">
        <v>45360</v>
      </c>
      <c r="B8" s="48" t="s">
        <v>30</v>
      </c>
      <c r="C8" s="48" t="s">
        <v>31</v>
      </c>
      <c r="D8" s="48" t="s">
        <v>16</v>
      </c>
      <c r="E8" s="48" t="s">
        <v>592</v>
      </c>
      <c r="F8" s="49">
        <v>11783</v>
      </c>
      <c r="G8" s="48" t="s">
        <v>17</v>
      </c>
      <c r="H8" s="48" t="s">
        <v>32</v>
      </c>
      <c r="I8" s="48">
        <v>7156</v>
      </c>
      <c r="J8" s="48">
        <v>17094</v>
      </c>
      <c r="K8" s="48" t="str">
        <f>CONCATENATE(E8,I8,J8)</f>
        <v>30678774495715617094</v>
      </c>
      <c r="L8" s="50">
        <v>21</v>
      </c>
      <c r="M8" s="51">
        <v>4686.59</v>
      </c>
      <c r="N8" s="51">
        <v>44558.21</v>
      </c>
      <c r="O8" s="51">
        <v>9357.2199999999993</v>
      </c>
      <c r="P8" s="51">
        <v>59586.92</v>
      </c>
    </row>
    <row r="9" spans="1:18" x14ac:dyDescent="0.25">
      <c r="A9" s="47">
        <v>45362</v>
      </c>
      <c r="B9" s="48" t="s">
        <v>26</v>
      </c>
      <c r="C9" s="48" t="s">
        <v>27</v>
      </c>
      <c r="D9" s="48" t="s">
        <v>28</v>
      </c>
      <c r="E9" s="48" t="s">
        <v>591</v>
      </c>
      <c r="F9" s="49">
        <v>10880</v>
      </c>
      <c r="G9" s="48" t="s">
        <v>17</v>
      </c>
      <c r="H9" s="48" t="s">
        <v>33</v>
      </c>
      <c r="I9" s="48">
        <v>4</v>
      </c>
      <c r="J9" s="48">
        <v>1374</v>
      </c>
      <c r="K9" s="48" t="str">
        <f>CONCATENATE(E9,I9,J9)</f>
        <v>2024334867741374</v>
      </c>
      <c r="L9" s="50">
        <v>10.5</v>
      </c>
      <c r="M9" s="51">
        <v>0</v>
      </c>
      <c r="N9" s="51">
        <v>0</v>
      </c>
      <c r="O9" s="51">
        <v>201390</v>
      </c>
      <c r="P9" s="51">
        <v>0</v>
      </c>
    </row>
    <row r="10" spans="1:18" x14ac:dyDescent="0.25">
      <c r="A10" s="47">
        <v>45362</v>
      </c>
      <c r="B10" s="48" t="s">
        <v>26</v>
      </c>
      <c r="C10" s="48" t="s">
        <v>27</v>
      </c>
      <c r="D10" s="48" t="s">
        <v>28</v>
      </c>
      <c r="E10" s="48" t="s">
        <v>591</v>
      </c>
      <c r="F10" s="49">
        <v>10880</v>
      </c>
      <c r="G10" s="48" t="s">
        <v>17</v>
      </c>
      <c r="H10" s="48" t="s">
        <v>33</v>
      </c>
      <c r="I10" s="48">
        <v>4</v>
      </c>
      <c r="J10" s="48">
        <v>1374</v>
      </c>
      <c r="K10" s="48" t="str">
        <f>CONCATENATE(E10,I10,J10)</f>
        <v>2024334867741374</v>
      </c>
      <c r="L10" s="50">
        <v>21</v>
      </c>
      <c r="M10" s="51">
        <v>0</v>
      </c>
      <c r="N10" s="51">
        <v>2123000</v>
      </c>
      <c r="O10" s="51">
        <v>43050</v>
      </c>
      <c r="P10" s="51">
        <v>2367440</v>
      </c>
    </row>
    <row r="11" spans="1:18" x14ac:dyDescent="0.25">
      <c r="A11" s="47">
        <v>45368</v>
      </c>
      <c r="B11" s="48" t="s">
        <v>30</v>
      </c>
      <c r="C11" s="48" t="s">
        <v>31</v>
      </c>
      <c r="D11" s="48" t="s">
        <v>16</v>
      </c>
      <c r="E11" s="48" t="s">
        <v>592</v>
      </c>
      <c r="F11" s="49">
        <v>11782</v>
      </c>
      <c r="G11" s="48" t="s">
        <v>17</v>
      </c>
      <c r="H11" s="48" t="s">
        <v>34</v>
      </c>
      <c r="I11" s="48">
        <v>7146</v>
      </c>
      <c r="J11" s="48">
        <v>25123</v>
      </c>
      <c r="K11" s="48" t="str">
        <f>CONCATENATE(E11,I11,J11)</f>
        <v>30678774495714625123</v>
      </c>
      <c r="L11" s="50">
        <v>21</v>
      </c>
      <c r="M11" s="51">
        <v>4318.87</v>
      </c>
      <c r="N11" s="51">
        <v>41062.1</v>
      </c>
      <c r="O11" s="51">
        <v>8623.0400000000009</v>
      </c>
      <c r="P11" s="51">
        <v>54911.63</v>
      </c>
    </row>
    <row r="12" spans="1:18" x14ac:dyDescent="0.25">
      <c r="A12" s="47">
        <v>45372</v>
      </c>
      <c r="B12" s="48" t="s">
        <v>30</v>
      </c>
      <c r="C12" s="48" t="s">
        <v>31</v>
      </c>
      <c r="D12" s="48" t="s">
        <v>16</v>
      </c>
      <c r="E12" s="48" t="s">
        <v>592</v>
      </c>
      <c r="F12" s="49">
        <v>11781</v>
      </c>
      <c r="G12" s="48" t="s">
        <v>17</v>
      </c>
      <c r="H12" s="48" t="s">
        <v>35</v>
      </c>
      <c r="I12" s="48">
        <v>7158</v>
      </c>
      <c r="J12" s="48">
        <v>27132</v>
      </c>
      <c r="K12" s="48" t="str">
        <f>CONCATENATE(E12,I12,J12)</f>
        <v>30678774495715827132</v>
      </c>
      <c r="L12" s="50">
        <v>21</v>
      </c>
      <c r="M12" s="51">
        <v>4511.05</v>
      </c>
      <c r="N12" s="51">
        <v>42889.25</v>
      </c>
      <c r="O12" s="51">
        <v>9006.74</v>
      </c>
      <c r="P12" s="51">
        <v>57355.05</v>
      </c>
    </row>
    <row r="13" spans="1:18" x14ac:dyDescent="0.25">
      <c r="A13" s="30">
        <v>45378</v>
      </c>
      <c r="B13" s="31" t="s">
        <v>36</v>
      </c>
      <c r="C13" s="31" t="s">
        <v>37</v>
      </c>
      <c r="D13" s="31" t="s">
        <v>16</v>
      </c>
      <c r="E13" s="31" t="s">
        <v>593</v>
      </c>
      <c r="F13" s="32">
        <v>11485</v>
      </c>
      <c r="G13" s="31" t="s">
        <v>21</v>
      </c>
      <c r="H13" s="31" t="s">
        <v>38</v>
      </c>
      <c r="I13" s="31">
        <v>437</v>
      </c>
      <c r="J13" s="31">
        <v>274729</v>
      </c>
      <c r="K13" s="31" t="str">
        <f>CONCATENATE(E13,I13,J13)</f>
        <v>30501092696437274729</v>
      </c>
      <c r="L13" s="33">
        <v>3</v>
      </c>
      <c r="M13" s="34">
        <v>0</v>
      </c>
      <c r="N13" s="34">
        <v>0</v>
      </c>
      <c r="O13" s="34">
        <v>-2604.4499999999998</v>
      </c>
      <c r="P13" s="34">
        <v>0</v>
      </c>
    </row>
    <row r="14" spans="1:18" x14ac:dyDescent="0.25">
      <c r="A14" s="47">
        <v>45378</v>
      </c>
      <c r="B14" s="48" t="s">
        <v>36</v>
      </c>
      <c r="C14" s="48" t="s">
        <v>37</v>
      </c>
      <c r="D14" s="48" t="s">
        <v>16</v>
      </c>
      <c r="E14" s="48" t="s">
        <v>593</v>
      </c>
      <c r="F14" s="49">
        <v>11485</v>
      </c>
      <c r="G14" s="48" t="s">
        <v>21</v>
      </c>
      <c r="H14" s="48" t="s">
        <v>38</v>
      </c>
      <c r="I14" s="48">
        <v>437</v>
      </c>
      <c r="J14" s="48">
        <v>274729</v>
      </c>
      <c r="K14" s="48" t="str">
        <f>CONCATENATE(E14,I14,J14)</f>
        <v>30501092696437274729</v>
      </c>
      <c r="L14" s="50">
        <v>21</v>
      </c>
      <c r="M14" s="51">
        <v>0</v>
      </c>
      <c r="N14" s="51">
        <v>-86814.98</v>
      </c>
      <c r="O14" s="51">
        <v>-18231.150000000001</v>
      </c>
      <c r="P14" s="51">
        <v>-107650.58</v>
      </c>
    </row>
    <row r="15" spans="1:18" x14ac:dyDescent="0.25">
      <c r="A15" s="47">
        <v>45379</v>
      </c>
      <c r="B15" s="48" t="s">
        <v>26</v>
      </c>
      <c r="C15" s="48" t="s">
        <v>27</v>
      </c>
      <c r="D15" s="48" t="s">
        <v>28</v>
      </c>
      <c r="E15" s="48" t="s">
        <v>591</v>
      </c>
      <c r="F15" s="49">
        <v>11322</v>
      </c>
      <c r="G15" s="48" t="s">
        <v>17</v>
      </c>
      <c r="H15" s="48" t="s">
        <v>39</v>
      </c>
      <c r="I15" s="48">
        <v>4</v>
      </c>
      <c r="J15" s="48">
        <v>1393</v>
      </c>
      <c r="K15" s="48" t="str">
        <f>CONCATENATE(E15,I15,J15)</f>
        <v>2024334867741393</v>
      </c>
      <c r="L15" s="50">
        <v>10.5</v>
      </c>
      <c r="M15" s="51">
        <v>0</v>
      </c>
      <c r="N15" s="51">
        <v>0</v>
      </c>
      <c r="O15" s="51">
        <v>268537.5</v>
      </c>
      <c r="P15" s="51">
        <v>0</v>
      </c>
    </row>
    <row r="16" spans="1:18" x14ac:dyDescent="0.25">
      <c r="A16" s="47">
        <v>45379</v>
      </c>
      <c r="B16" s="48" t="s">
        <v>26</v>
      </c>
      <c r="C16" s="48" t="s">
        <v>27</v>
      </c>
      <c r="D16" s="48" t="s">
        <v>28</v>
      </c>
      <c r="E16" s="48" t="s">
        <v>591</v>
      </c>
      <c r="F16" s="49">
        <v>11322</v>
      </c>
      <c r="G16" s="48" t="s">
        <v>17</v>
      </c>
      <c r="H16" s="48" t="s">
        <v>39</v>
      </c>
      <c r="I16" s="48">
        <v>4</v>
      </c>
      <c r="J16" s="48">
        <v>1393</v>
      </c>
      <c r="K16" s="48" t="str">
        <f>CONCATENATE(E16,I16,J16)</f>
        <v>2024334867741393</v>
      </c>
      <c r="L16" s="50">
        <v>21</v>
      </c>
      <c r="M16" s="51">
        <v>0</v>
      </c>
      <c r="N16" s="51">
        <v>2613500</v>
      </c>
      <c r="O16" s="51">
        <v>11760</v>
      </c>
      <c r="P16" s="51">
        <v>2893797.5</v>
      </c>
    </row>
    <row r="17" spans="1:17" x14ac:dyDescent="0.25">
      <c r="A17" s="47">
        <v>45379</v>
      </c>
      <c r="B17" s="48" t="s">
        <v>40</v>
      </c>
      <c r="C17" s="48" t="s">
        <v>41</v>
      </c>
      <c r="D17" s="48" t="s">
        <v>16</v>
      </c>
      <c r="E17" s="48" t="s">
        <v>594</v>
      </c>
      <c r="F17" s="49">
        <v>11787</v>
      </c>
      <c r="G17" s="48" t="s">
        <v>17</v>
      </c>
      <c r="H17" s="48" t="s">
        <v>42</v>
      </c>
      <c r="I17" s="48">
        <v>16</v>
      </c>
      <c r="J17" s="48">
        <v>4415</v>
      </c>
      <c r="K17" s="48" t="str">
        <f>CONCATENATE(E17,I17,J17)</f>
        <v>30634284431164415</v>
      </c>
      <c r="L17" s="50">
        <v>21</v>
      </c>
      <c r="M17" s="51">
        <v>3243</v>
      </c>
      <c r="N17" s="51">
        <v>32857.839999999997</v>
      </c>
      <c r="O17" s="51">
        <v>6900.15</v>
      </c>
      <c r="P17" s="51">
        <v>43000.99</v>
      </c>
    </row>
    <row r="18" spans="1:17" s="42" customFormat="1" x14ac:dyDescent="0.25">
      <c r="A18" s="37">
        <v>45383</v>
      </c>
      <c r="B18" s="38" t="s">
        <v>43</v>
      </c>
      <c r="C18" s="38" t="s">
        <v>44</v>
      </c>
      <c r="D18" s="38" t="s">
        <v>16</v>
      </c>
      <c r="E18" s="38" t="s">
        <v>595</v>
      </c>
      <c r="F18" s="39">
        <v>11430</v>
      </c>
      <c r="G18" s="38" t="s">
        <v>17</v>
      </c>
      <c r="H18" s="38" t="s">
        <v>45</v>
      </c>
      <c r="I18" s="38">
        <v>2</v>
      </c>
      <c r="J18" s="38">
        <v>285921</v>
      </c>
      <c r="K18" s="38" t="str">
        <f>CONCATENATE(E18,I18,J18)</f>
        <v>305000363932285921</v>
      </c>
      <c r="L18" s="40">
        <v>3</v>
      </c>
      <c r="M18" s="41">
        <v>0</v>
      </c>
      <c r="N18" s="41">
        <v>0</v>
      </c>
      <c r="O18" s="41">
        <v>18425.57</v>
      </c>
      <c r="P18" s="41">
        <v>0</v>
      </c>
    </row>
    <row r="19" spans="1:17" s="42" customFormat="1" x14ac:dyDescent="0.25">
      <c r="A19" s="37">
        <v>45383</v>
      </c>
      <c r="B19" s="38" t="s">
        <v>43</v>
      </c>
      <c r="C19" s="38" t="s">
        <v>44</v>
      </c>
      <c r="D19" s="38" t="s">
        <v>16</v>
      </c>
      <c r="E19" s="38" t="s">
        <v>595</v>
      </c>
      <c r="F19" s="39">
        <v>11430</v>
      </c>
      <c r="G19" s="38" t="s">
        <v>17</v>
      </c>
      <c r="H19" s="38" t="s">
        <v>45</v>
      </c>
      <c r="I19" s="38">
        <v>2</v>
      </c>
      <c r="J19" s="38">
        <v>285921</v>
      </c>
      <c r="K19" s="38" t="str">
        <f>CONCATENATE(E19,I19,J19)</f>
        <v>305000363932285921</v>
      </c>
      <c r="L19" s="40">
        <v>21</v>
      </c>
      <c r="M19" s="41">
        <v>23075.49</v>
      </c>
      <c r="N19" s="41">
        <v>614185.80000000005</v>
      </c>
      <c r="O19" s="41">
        <v>128979.02</v>
      </c>
      <c r="P19" s="41">
        <v>796949.6</v>
      </c>
    </row>
    <row r="20" spans="1:17" x14ac:dyDescent="0.25">
      <c r="A20" s="2">
        <v>45383</v>
      </c>
      <c r="B20" s="1" t="s">
        <v>46</v>
      </c>
      <c r="C20" s="1" t="s">
        <v>47</v>
      </c>
      <c r="D20" s="1" t="s">
        <v>16</v>
      </c>
      <c r="E20" s="1" t="s">
        <v>596</v>
      </c>
      <c r="F20" s="3">
        <v>11456</v>
      </c>
      <c r="G20" s="1" t="s">
        <v>17</v>
      </c>
      <c r="H20" s="29" t="s">
        <v>48</v>
      </c>
      <c r="I20" s="1">
        <v>3</v>
      </c>
      <c r="J20" s="1">
        <v>223804</v>
      </c>
      <c r="K20" s="1" t="str">
        <f>CONCATENATE(E20,I20,J20)</f>
        <v>307071355963223804</v>
      </c>
      <c r="L20" s="4">
        <v>21</v>
      </c>
      <c r="M20" s="5">
        <v>0</v>
      </c>
      <c r="N20" s="5">
        <v>69721.03</v>
      </c>
      <c r="O20" s="5">
        <v>14641.42</v>
      </c>
      <c r="P20" s="5">
        <v>85756.87</v>
      </c>
    </row>
    <row r="21" spans="1:17" s="42" customFormat="1" x14ac:dyDescent="0.25">
      <c r="A21" s="43">
        <v>45383</v>
      </c>
      <c r="B21" s="44" t="s">
        <v>43</v>
      </c>
      <c r="C21" s="44" t="s">
        <v>44</v>
      </c>
      <c r="D21" s="44" t="s">
        <v>16</v>
      </c>
      <c r="E21" s="44" t="s">
        <v>595</v>
      </c>
      <c r="F21" s="10">
        <v>11431</v>
      </c>
      <c r="G21" s="44" t="s">
        <v>17</v>
      </c>
      <c r="H21" s="44" t="s">
        <v>49</v>
      </c>
      <c r="I21" s="44">
        <v>3</v>
      </c>
      <c r="J21" s="44">
        <v>285921</v>
      </c>
      <c r="K21" s="44" t="str">
        <f>CONCATENATE(E21,I21,J21)</f>
        <v>305000363933285921</v>
      </c>
      <c r="L21" s="45">
        <v>3</v>
      </c>
      <c r="M21" s="46">
        <v>0</v>
      </c>
      <c r="N21" s="46">
        <v>0</v>
      </c>
      <c r="O21" s="46">
        <v>47165.78</v>
      </c>
      <c r="P21" s="46">
        <v>0</v>
      </c>
      <c r="Q21" s="42" t="s">
        <v>1083</v>
      </c>
    </row>
    <row r="22" spans="1:17" s="42" customFormat="1" x14ac:dyDescent="0.25">
      <c r="A22" s="43">
        <v>45383</v>
      </c>
      <c r="B22" s="44" t="s">
        <v>43</v>
      </c>
      <c r="C22" s="44" t="s">
        <v>44</v>
      </c>
      <c r="D22" s="44" t="s">
        <v>16</v>
      </c>
      <c r="E22" s="44" t="s">
        <v>595</v>
      </c>
      <c r="F22" s="10">
        <v>11431</v>
      </c>
      <c r="G22" s="44" t="s">
        <v>17</v>
      </c>
      <c r="H22" s="44" t="s">
        <v>49</v>
      </c>
      <c r="I22" s="44">
        <v>3</v>
      </c>
      <c r="J22" s="44">
        <v>285921</v>
      </c>
      <c r="K22" s="44" t="str">
        <f>CONCATENATE(E22,I22,J22)</f>
        <v>305000363933285921</v>
      </c>
      <c r="L22" s="45">
        <v>21</v>
      </c>
      <c r="M22" s="46">
        <v>59068.62</v>
      </c>
      <c r="N22" s="46">
        <v>1572192.57</v>
      </c>
      <c r="O22" s="46">
        <v>330160.44</v>
      </c>
      <c r="P22" s="46">
        <v>2040031.26</v>
      </c>
      <c r="Q22" s="42" t="s">
        <v>1084</v>
      </c>
    </row>
    <row r="23" spans="1:17" x14ac:dyDescent="0.25">
      <c r="A23" s="30">
        <v>45383</v>
      </c>
      <c r="B23" s="31" t="s">
        <v>50</v>
      </c>
      <c r="C23" s="31" t="s">
        <v>51</v>
      </c>
      <c r="D23" s="31" t="s">
        <v>16</v>
      </c>
      <c r="E23" s="31" t="s">
        <v>597</v>
      </c>
      <c r="F23" s="32">
        <v>11779</v>
      </c>
      <c r="G23" s="31" t="s">
        <v>17</v>
      </c>
      <c r="H23" s="31" t="s">
        <v>52</v>
      </c>
      <c r="I23" s="31">
        <v>5</v>
      </c>
      <c r="J23" s="31">
        <v>573996</v>
      </c>
      <c r="K23" s="31" t="str">
        <f>CONCATENATE(E23,I23,J23)</f>
        <v>305000357885573996</v>
      </c>
      <c r="L23" s="33">
        <v>3</v>
      </c>
      <c r="M23" s="34">
        <v>0</v>
      </c>
      <c r="N23" s="34">
        <v>0</v>
      </c>
      <c r="O23" s="34">
        <v>468.78</v>
      </c>
      <c r="P23" s="34">
        <v>0</v>
      </c>
    </row>
    <row r="24" spans="1:17" x14ac:dyDescent="0.25">
      <c r="A24" s="2">
        <v>45383</v>
      </c>
      <c r="B24" s="1" t="s">
        <v>50</v>
      </c>
      <c r="C24" s="1" t="s">
        <v>51</v>
      </c>
      <c r="D24" s="1" t="s">
        <v>16</v>
      </c>
      <c r="E24" s="1" t="s">
        <v>597</v>
      </c>
      <c r="F24" s="3">
        <v>11779</v>
      </c>
      <c r="G24" s="1" t="s">
        <v>17</v>
      </c>
      <c r="H24" s="29" t="s">
        <v>52</v>
      </c>
      <c r="I24" s="1">
        <v>5</v>
      </c>
      <c r="J24" s="1">
        <v>573996</v>
      </c>
      <c r="K24" s="1" t="str">
        <f>CONCATENATE(E24,I24,J24)</f>
        <v>305000357885573996</v>
      </c>
      <c r="L24" s="4">
        <v>21</v>
      </c>
      <c r="M24" s="5">
        <v>426.04</v>
      </c>
      <c r="N24" s="5">
        <v>15626.06</v>
      </c>
      <c r="O24" s="5">
        <v>3281.47</v>
      </c>
      <c r="P24" s="5">
        <v>20114.87</v>
      </c>
    </row>
    <row r="25" spans="1:17" x14ac:dyDescent="0.25">
      <c r="A25" s="2">
        <v>45383</v>
      </c>
      <c r="B25" s="1" t="s">
        <v>53</v>
      </c>
      <c r="C25" s="1" t="s">
        <v>54</v>
      </c>
      <c r="D25" s="1" t="s">
        <v>16</v>
      </c>
      <c r="E25" s="1" t="s">
        <v>598</v>
      </c>
      <c r="F25" s="3">
        <v>11254</v>
      </c>
      <c r="G25" s="1" t="s">
        <v>17</v>
      </c>
      <c r="H25" s="29" t="s">
        <v>55</v>
      </c>
      <c r="I25" s="1">
        <v>21</v>
      </c>
      <c r="J25" s="1">
        <v>1111527</v>
      </c>
      <c r="K25" s="1" t="str">
        <f>CONCATENATE(E25,I25,J25)</f>
        <v>30550245309211111527</v>
      </c>
      <c r="L25" s="4">
        <v>10.5</v>
      </c>
      <c r="M25" s="5">
        <v>0</v>
      </c>
      <c r="N25" s="5">
        <v>2440034.2999999998</v>
      </c>
      <c r="O25" s="5">
        <v>239881.9</v>
      </c>
      <c r="P25" s="5">
        <v>2834561.32</v>
      </c>
    </row>
    <row r="26" spans="1:17" x14ac:dyDescent="0.25">
      <c r="A26" s="2">
        <v>45383</v>
      </c>
      <c r="B26" s="1" t="s">
        <v>53</v>
      </c>
      <c r="C26" s="1" t="s">
        <v>54</v>
      </c>
      <c r="D26" s="1" t="s">
        <v>16</v>
      </c>
      <c r="E26" s="1" t="s">
        <v>598</v>
      </c>
      <c r="F26" s="3">
        <v>11254</v>
      </c>
      <c r="G26" s="1" t="s">
        <v>17</v>
      </c>
      <c r="H26" s="1" t="s">
        <v>55</v>
      </c>
      <c r="I26" s="1">
        <v>21</v>
      </c>
      <c r="J26" s="1">
        <v>1111527</v>
      </c>
      <c r="K26" s="1" t="str">
        <f>CONCATENATE(E26,I26,J26)</f>
        <v>30550245309211111527</v>
      </c>
      <c r="L26" s="4">
        <v>21</v>
      </c>
      <c r="M26" s="5">
        <v>0</v>
      </c>
      <c r="N26" s="5">
        <v>0</v>
      </c>
      <c r="O26" s="5">
        <v>32643.4</v>
      </c>
      <c r="P26" s="5">
        <v>0</v>
      </c>
    </row>
    <row r="27" spans="1:17" x14ac:dyDescent="0.25">
      <c r="A27" s="30">
        <v>45383</v>
      </c>
      <c r="B27" s="31" t="s">
        <v>56</v>
      </c>
      <c r="C27" s="31" t="s">
        <v>57</v>
      </c>
      <c r="D27" s="31" t="s">
        <v>16</v>
      </c>
      <c r="E27" s="31" t="s">
        <v>599</v>
      </c>
      <c r="F27" s="32">
        <v>11420</v>
      </c>
      <c r="G27" s="31" t="s">
        <v>17</v>
      </c>
      <c r="H27" s="31" t="s">
        <v>58</v>
      </c>
      <c r="I27" s="31">
        <v>1326</v>
      </c>
      <c r="J27" s="31">
        <v>694755</v>
      </c>
      <c r="K27" s="31" t="str">
        <f>CONCATENATE(E27,I27,J27)</f>
        <v>306632884971326694755</v>
      </c>
      <c r="L27" s="33">
        <v>3</v>
      </c>
      <c r="M27" s="34">
        <v>0</v>
      </c>
      <c r="N27" s="34">
        <v>0</v>
      </c>
      <c r="O27" s="34">
        <v>573</v>
      </c>
      <c r="P27" s="34">
        <v>0</v>
      </c>
    </row>
    <row r="28" spans="1:17" s="35" customFormat="1" x14ac:dyDescent="0.25">
      <c r="A28" s="2">
        <v>45383</v>
      </c>
      <c r="B28" s="1" t="s">
        <v>56</v>
      </c>
      <c r="C28" s="1" t="s">
        <v>57</v>
      </c>
      <c r="D28" s="1" t="s">
        <v>16</v>
      </c>
      <c r="E28" s="1" t="s">
        <v>599</v>
      </c>
      <c r="F28" s="3">
        <v>11420</v>
      </c>
      <c r="G28" s="1" t="s">
        <v>17</v>
      </c>
      <c r="H28" s="29" t="s">
        <v>58</v>
      </c>
      <c r="I28" s="1">
        <v>1326</v>
      </c>
      <c r="J28" s="1">
        <v>694755</v>
      </c>
      <c r="K28" s="1" t="str">
        <f>CONCATENATE(E28,I28,J28)</f>
        <v>306632884971326694755</v>
      </c>
      <c r="L28" s="4">
        <v>21</v>
      </c>
      <c r="M28" s="5">
        <v>0</v>
      </c>
      <c r="N28" s="5">
        <v>19100</v>
      </c>
      <c r="O28" s="5">
        <v>3969</v>
      </c>
      <c r="P28" s="5">
        <v>24078</v>
      </c>
      <c r="Q28" s="28"/>
    </row>
    <row r="29" spans="1:17" s="35" customFormat="1" x14ac:dyDescent="0.25">
      <c r="A29" s="2">
        <v>45383</v>
      </c>
      <c r="B29" s="1" t="s">
        <v>56</v>
      </c>
      <c r="C29" s="1" t="s">
        <v>57</v>
      </c>
      <c r="D29" s="1" t="s">
        <v>16</v>
      </c>
      <c r="E29" s="1" t="s">
        <v>599</v>
      </c>
      <c r="F29" s="3">
        <v>11420</v>
      </c>
      <c r="G29" s="1" t="s">
        <v>17</v>
      </c>
      <c r="H29" s="1" t="s">
        <v>58</v>
      </c>
      <c r="I29" s="1">
        <v>1326</v>
      </c>
      <c r="J29" s="1">
        <v>694755</v>
      </c>
      <c r="K29" s="1" t="str">
        <f>CONCATENATE(E29,I29,J29)</f>
        <v>306632884971326694755</v>
      </c>
      <c r="L29" s="4">
        <v>27</v>
      </c>
      <c r="M29" s="5">
        <v>0</v>
      </c>
      <c r="N29" s="5">
        <v>0</v>
      </c>
      <c r="O29" s="5">
        <v>54</v>
      </c>
      <c r="P29" s="5">
        <v>0</v>
      </c>
      <c r="Q29" s="28"/>
    </row>
    <row r="30" spans="1:17" s="35" customFormat="1" x14ac:dyDescent="0.25">
      <c r="A30" s="2">
        <v>45385</v>
      </c>
      <c r="B30" s="1" t="s">
        <v>59</v>
      </c>
      <c r="C30" s="1" t="s">
        <v>60</v>
      </c>
      <c r="D30" s="1" t="s">
        <v>16</v>
      </c>
      <c r="E30" s="1" t="s">
        <v>600</v>
      </c>
      <c r="F30" s="3">
        <v>11270</v>
      </c>
      <c r="G30" s="1" t="s">
        <v>17</v>
      </c>
      <c r="H30" s="29" t="s">
        <v>61</v>
      </c>
      <c r="I30" s="1">
        <v>1</v>
      </c>
      <c r="J30" s="1">
        <v>89</v>
      </c>
      <c r="K30" s="1" t="str">
        <f>CONCATENATE(E30,I30,J30)</f>
        <v>20301971479189</v>
      </c>
      <c r="L30" s="4">
        <v>21</v>
      </c>
      <c r="M30" s="5">
        <v>0</v>
      </c>
      <c r="N30" s="5">
        <v>270000</v>
      </c>
      <c r="O30" s="5">
        <v>56700</v>
      </c>
      <c r="P30" s="5">
        <v>326700</v>
      </c>
      <c r="Q30" s="28"/>
    </row>
    <row r="31" spans="1:17" s="35" customFormat="1" x14ac:dyDescent="0.25">
      <c r="A31" s="2">
        <v>45385</v>
      </c>
      <c r="B31" s="1" t="s">
        <v>62</v>
      </c>
      <c r="C31" s="1" t="s">
        <v>63</v>
      </c>
      <c r="D31" s="1" t="s">
        <v>16</v>
      </c>
      <c r="E31" s="1" t="s">
        <v>601</v>
      </c>
      <c r="F31" s="3">
        <v>11321</v>
      </c>
      <c r="G31" s="1" t="s">
        <v>17</v>
      </c>
      <c r="H31" s="29" t="s">
        <v>64</v>
      </c>
      <c r="I31" s="1">
        <v>1</v>
      </c>
      <c r="J31" s="1">
        <v>439983</v>
      </c>
      <c r="K31" s="1" t="str">
        <f>CONCATENATE(E31,I31,J31)</f>
        <v>337163077491439983</v>
      </c>
      <c r="L31" s="4">
        <v>21</v>
      </c>
      <c r="M31" s="5">
        <v>0</v>
      </c>
      <c r="N31" s="5">
        <v>22999</v>
      </c>
      <c r="O31" s="5">
        <v>4829.79</v>
      </c>
      <c r="P31" s="5">
        <v>27828.79</v>
      </c>
      <c r="Q31" s="28"/>
    </row>
    <row r="32" spans="1:17" s="35" customFormat="1" x14ac:dyDescent="0.25">
      <c r="A32" s="2">
        <v>45385</v>
      </c>
      <c r="B32" s="1" t="s">
        <v>65</v>
      </c>
      <c r="C32" s="1" t="s">
        <v>66</v>
      </c>
      <c r="D32" s="1" t="s">
        <v>16</v>
      </c>
      <c r="E32" s="1" t="s">
        <v>602</v>
      </c>
      <c r="F32" s="3">
        <v>11184</v>
      </c>
      <c r="G32" s="1" t="s">
        <v>17</v>
      </c>
      <c r="H32" s="29" t="s">
        <v>67</v>
      </c>
      <c r="I32" s="1">
        <v>3</v>
      </c>
      <c r="J32" s="1">
        <v>3715</v>
      </c>
      <c r="K32" s="1" t="str">
        <f>CONCATENATE(E32,I32,J32)</f>
        <v>3071529613233715</v>
      </c>
      <c r="L32" s="4">
        <v>21</v>
      </c>
      <c r="M32" s="5">
        <v>0</v>
      </c>
      <c r="N32" s="5">
        <v>1619836</v>
      </c>
      <c r="O32" s="5">
        <v>340165.56</v>
      </c>
      <c r="P32" s="5">
        <v>1960001.56</v>
      </c>
      <c r="Q32" s="28"/>
    </row>
    <row r="33" spans="1:17" s="35" customFormat="1" x14ac:dyDescent="0.25">
      <c r="A33" s="30">
        <v>45385</v>
      </c>
      <c r="B33" s="31" t="s">
        <v>68</v>
      </c>
      <c r="C33" s="31" t="s">
        <v>69</v>
      </c>
      <c r="D33" s="31" t="s">
        <v>16</v>
      </c>
      <c r="E33" s="31" t="s">
        <v>603</v>
      </c>
      <c r="F33" s="32">
        <v>11793</v>
      </c>
      <c r="G33" s="31" t="s">
        <v>17</v>
      </c>
      <c r="H33" s="31" t="s">
        <v>70</v>
      </c>
      <c r="I33" s="31">
        <v>3</v>
      </c>
      <c r="J33" s="31">
        <v>5143</v>
      </c>
      <c r="K33" s="31" t="str">
        <f>CONCATENATE(E33,I33,J33)</f>
        <v>3070848113735143</v>
      </c>
      <c r="L33" s="33">
        <v>3</v>
      </c>
      <c r="M33" s="34">
        <v>0</v>
      </c>
      <c r="N33" s="34">
        <v>0</v>
      </c>
      <c r="O33" s="34">
        <v>153883.98000000001</v>
      </c>
      <c r="P33" s="34">
        <v>0</v>
      </c>
      <c r="Q33" s="28"/>
    </row>
    <row r="34" spans="1:17" s="35" customFormat="1" x14ac:dyDescent="0.25">
      <c r="A34" s="2">
        <v>45385</v>
      </c>
      <c r="B34" s="1" t="s">
        <v>68</v>
      </c>
      <c r="C34" s="1" t="s">
        <v>69</v>
      </c>
      <c r="D34" s="1" t="s">
        <v>16</v>
      </c>
      <c r="E34" s="1" t="s">
        <v>603</v>
      </c>
      <c r="F34" s="3">
        <v>11793</v>
      </c>
      <c r="G34" s="1" t="s">
        <v>17</v>
      </c>
      <c r="H34" s="29" t="s">
        <v>70</v>
      </c>
      <c r="I34" s="1">
        <v>3</v>
      </c>
      <c r="J34" s="1">
        <v>5143</v>
      </c>
      <c r="K34" s="1" t="str">
        <f>CONCATENATE(E34,I34,J34)</f>
        <v>3070848113735143</v>
      </c>
      <c r="L34" s="4">
        <v>21</v>
      </c>
      <c r="M34" s="5">
        <v>0</v>
      </c>
      <c r="N34" s="5">
        <v>5129466.12</v>
      </c>
      <c r="O34" s="5">
        <v>1077187.8899999999</v>
      </c>
      <c r="P34" s="5">
        <v>6360537.9900000002</v>
      </c>
      <c r="Q34" s="28"/>
    </row>
    <row r="35" spans="1:17" s="35" customFormat="1" x14ac:dyDescent="0.25">
      <c r="A35" s="2">
        <v>45385</v>
      </c>
      <c r="B35" s="1" t="s">
        <v>71</v>
      </c>
      <c r="C35" s="1" t="s">
        <v>72</v>
      </c>
      <c r="D35" s="1" t="s">
        <v>16</v>
      </c>
      <c r="E35" s="1" t="s">
        <v>604</v>
      </c>
      <c r="F35" s="3">
        <v>11780</v>
      </c>
      <c r="G35" s="1" t="s">
        <v>17</v>
      </c>
      <c r="H35" s="29" t="s">
        <v>73</v>
      </c>
      <c r="I35" s="1">
        <v>6</v>
      </c>
      <c r="J35" s="1">
        <v>5665</v>
      </c>
      <c r="K35" s="1" t="str">
        <f>CONCATENATE(E35,I35,J35)</f>
        <v>3071721109665665</v>
      </c>
      <c r="L35" s="4">
        <v>21</v>
      </c>
      <c r="M35" s="5">
        <v>5155.71</v>
      </c>
      <c r="N35" s="5">
        <v>38379.449999999997</v>
      </c>
      <c r="O35" s="5">
        <v>8059.68</v>
      </c>
      <c r="P35" s="5">
        <v>51594.84</v>
      </c>
      <c r="Q35" s="28"/>
    </row>
    <row r="36" spans="1:17" s="35" customFormat="1" x14ac:dyDescent="0.25">
      <c r="A36" s="2">
        <v>45385</v>
      </c>
      <c r="B36" s="1" t="s">
        <v>74</v>
      </c>
      <c r="C36" s="1" t="s">
        <v>75</v>
      </c>
      <c r="D36" s="1" t="s">
        <v>16</v>
      </c>
      <c r="E36" s="1" t="s">
        <v>605</v>
      </c>
      <c r="F36" s="3">
        <v>11168</v>
      </c>
      <c r="G36" s="1" t="s">
        <v>17</v>
      </c>
      <c r="H36" s="29" t="s">
        <v>76</v>
      </c>
      <c r="I36" s="1">
        <v>10</v>
      </c>
      <c r="J36" s="1">
        <v>5688</v>
      </c>
      <c r="K36" s="1" t="str">
        <f>CONCATENATE(E36,I36,J36)</f>
        <v>30708784687105688</v>
      </c>
      <c r="L36" s="4">
        <v>21</v>
      </c>
      <c r="M36" s="5">
        <v>0</v>
      </c>
      <c r="N36" s="5">
        <v>369810</v>
      </c>
      <c r="O36" s="5">
        <v>77660.100000000006</v>
      </c>
      <c r="P36" s="5">
        <v>447470.1</v>
      </c>
      <c r="Q36" s="28"/>
    </row>
    <row r="37" spans="1:17" s="42" customFormat="1" x14ac:dyDescent="0.25">
      <c r="A37" s="37">
        <v>45385</v>
      </c>
      <c r="B37" s="38" t="s">
        <v>77</v>
      </c>
      <c r="C37" s="38" t="s">
        <v>78</v>
      </c>
      <c r="D37" s="38" t="s">
        <v>16</v>
      </c>
      <c r="E37" s="38" t="s">
        <v>606</v>
      </c>
      <c r="F37" s="39">
        <v>11252</v>
      </c>
      <c r="G37" s="38" t="s">
        <v>17</v>
      </c>
      <c r="H37" s="38" t="s">
        <v>79</v>
      </c>
      <c r="I37" s="38">
        <v>80</v>
      </c>
      <c r="J37" s="38">
        <v>114841</v>
      </c>
      <c r="K37" s="38" t="str">
        <f>CONCATENATE(E37,I37,J37)</f>
        <v>3370790140980114841</v>
      </c>
      <c r="L37" s="40">
        <v>21</v>
      </c>
      <c r="M37" s="41">
        <v>6260.94</v>
      </c>
      <c r="N37" s="41">
        <v>67554.710000000006</v>
      </c>
      <c r="O37" s="41">
        <v>14186.49</v>
      </c>
      <c r="P37" s="41">
        <v>88002.14</v>
      </c>
    </row>
    <row r="38" spans="1:17" s="35" customFormat="1" x14ac:dyDescent="0.25">
      <c r="A38" s="30">
        <v>45385</v>
      </c>
      <c r="B38" s="31" t="s">
        <v>80</v>
      </c>
      <c r="C38" s="31" t="s">
        <v>81</v>
      </c>
      <c r="D38" s="31" t="s">
        <v>16</v>
      </c>
      <c r="E38" s="31" t="s">
        <v>607</v>
      </c>
      <c r="F38" s="32">
        <v>11188</v>
      </c>
      <c r="G38" s="31" t="s">
        <v>17</v>
      </c>
      <c r="H38" s="31" t="s">
        <v>82</v>
      </c>
      <c r="I38" s="31">
        <v>115</v>
      </c>
      <c r="J38" s="31">
        <v>140773</v>
      </c>
      <c r="K38" s="31" t="str">
        <f>CONCATENATE(E38,I38,J38)</f>
        <v>30629646708115140773</v>
      </c>
      <c r="L38" s="33">
        <v>1.5</v>
      </c>
      <c r="M38" s="34">
        <v>0</v>
      </c>
      <c r="N38" s="34">
        <v>0</v>
      </c>
      <c r="O38" s="34">
        <v>3350.91</v>
      </c>
      <c r="P38" s="34">
        <v>0</v>
      </c>
      <c r="Q38" s="28"/>
    </row>
    <row r="39" spans="1:17" s="35" customFormat="1" x14ac:dyDescent="0.25">
      <c r="A39" s="2">
        <v>45385</v>
      </c>
      <c r="B39" s="1" t="s">
        <v>80</v>
      </c>
      <c r="C39" s="1" t="s">
        <v>81</v>
      </c>
      <c r="D39" s="1" t="s">
        <v>16</v>
      </c>
      <c r="E39" s="1" t="s">
        <v>607</v>
      </c>
      <c r="F39" s="3">
        <v>11188</v>
      </c>
      <c r="G39" s="1" t="s">
        <v>17</v>
      </c>
      <c r="H39" s="29" t="s">
        <v>82</v>
      </c>
      <c r="I39" s="1">
        <v>115</v>
      </c>
      <c r="J39" s="1">
        <v>140773</v>
      </c>
      <c r="K39" s="1" t="str">
        <f>CONCATENATE(E39,I39,J39)</f>
        <v>30629646708115140773</v>
      </c>
      <c r="L39" s="4">
        <v>10.5</v>
      </c>
      <c r="M39" s="5">
        <v>0</v>
      </c>
      <c r="N39" s="5">
        <v>223393.81</v>
      </c>
      <c r="O39" s="5">
        <v>23456.35</v>
      </c>
      <c r="P39" s="5">
        <v>261370.76</v>
      </c>
      <c r="Q39" s="28"/>
    </row>
    <row r="40" spans="1:17" s="35" customFormat="1" x14ac:dyDescent="0.25">
      <c r="A40" s="30">
        <v>45385</v>
      </c>
      <c r="B40" s="31" t="s">
        <v>80</v>
      </c>
      <c r="C40" s="31" t="s">
        <v>81</v>
      </c>
      <c r="D40" s="31" t="s">
        <v>16</v>
      </c>
      <c r="E40" s="31" t="s">
        <v>607</v>
      </c>
      <c r="F40" s="32">
        <v>11189</v>
      </c>
      <c r="G40" s="31" t="s">
        <v>17</v>
      </c>
      <c r="H40" s="31" t="s">
        <v>83</v>
      </c>
      <c r="I40" s="31">
        <v>115</v>
      </c>
      <c r="J40" s="31">
        <v>140774</v>
      </c>
      <c r="K40" s="31" t="str">
        <f>CONCATENATE(E40,I40,J40)</f>
        <v>30629646708115140774</v>
      </c>
      <c r="L40" s="33">
        <v>3</v>
      </c>
      <c r="M40" s="34">
        <v>0</v>
      </c>
      <c r="N40" s="34">
        <v>0</v>
      </c>
      <c r="O40" s="34">
        <v>72315.23</v>
      </c>
      <c r="P40" s="34">
        <v>0</v>
      </c>
      <c r="Q40" s="28"/>
    </row>
    <row r="41" spans="1:17" s="35" customFormat="1" x14ac:dyDescent="0.25">
      <c r="A41" s="2">
        <v>45385</v>
      </c>
      <c r="B41" s="1" t="s">
        <v>80</v>
      </c>
      <c r="C41" s="1" t="s">
        <v>81</v>
      </c>
      <c r="D41" s="1" t="s">
        <v>16</v>
      </c>
      <c r="E41" s="1" t="s">
        <v>607</v>
      </c>
      <c r="F41" s="3">
        <v>11189</v>
      </c>
      <c r="G41" s="1" t="s">
        <v>17</v>
      </c>
      <c r="H41" s="29" t="s">
        <v>83</v>
      </c>
      <c r="I41" s="1">
        <v>115</v>
      </c>
      <c r="J41" s="1">
        <v>140774</v>
      </c>
      <c r="K41" s="1" t="str">
        <f>CONCATENATE(E41,I41,J41)</f>
        <v>30629646708115140774</v>
      </c>
      <c r="L41" s="4">
        <v>21</v>
      </c>
      <c r="M41" s="5">
        <v>0</v>
      </c>
      <c r="N41" s="5">
        <v>2410507.62</v>
      </c>
      <c r="O41" s="5">
        <v>506206.6</v>
      </c>
      <c r="P41" s="5">
        <v>3109554.83</v>
      </c>
      <c r="Q41" s="28"/>
    </row>
    <row r="42" spans="1:17" s="35" customFormat="1" x14ac:dyDescent="0.25">
      <c r="A42" s="2">
        <v>45385</v>
      </c>
      <c r="B42" s="1" t="s">
        <v>80</v>
      </c>
      <c r="C42" s="1" t="s">
        <v>81</v>
      </c>
      <c r="D42" s="1" t="s">
        <v>16</v>
      </c>
      <c r="E42" s="1" t="s">
        <v>607</v>
      </c>
      <c r="F42" s="3">
        <v>11190</v>
      </c>
      <c r="G42" s="1" t="s">
        <v>17</v>
      </c>
      <c r="H42" s="29" t="s">
        <v>84</v>
      </c>
      <c r="I42" s="1">
        <v>115</v>
      </c>
      <c r="J42" s="1">
        <v>140775</v>
      </c>
      <c r="K42" s="1" t="str">
        <f>CONCATENATE(E42,I42,J42)</f>
        <v>30629646708115140775</v>
      </c>
      <c r="L42" s="4">
        <v>10.5</v>
      </c>
      <c r="M42" s="5">
        <v>0</v>
      </c>
      <c r="N42" s="5">
        <v>40625.06</v>
      </c>
      <c r="O42" s="5">
        <v>4265.63</v>
      </c>
      <c r="P42" s="5">
        <v>46109.440000000002</v>
      </c>
      <c r="Q42" s="28"/>
    </row>
    <row r="43" spans="1:17" s="35" customFormat="1" x14ac:dyDescent="0.25">
      <c r="A43" s="30">
        <v>45385</v>
      </c>
      <c r="B43" s="31" t="s">
        <v>80</v>
      </c>
      <c r="C43" s="31" t="s">
        <v>81</v>
      </c>
      <c r="D43" s="31" t="s">
        <v>16</v>
      </c>
      <c r="E43" s="31" t="s">
        <v>607</v>
      </c>
      <c r="F43" s="32">
        <v>11191</v>
      </c>
      <c r="G43" s="31" t="s">
        <v>17</v>
      </c>
      <c r="H43" s="31" t="s">
        <v>85</v>
      </c>
      <c r="I43" s="31">
        <v>115</v>
      </c>
      <c r="J43" s="31">
        <v>140776</v>
      </c>
      <c r="K43" s="31" t="str">
        <f>CONCATENATE(E43,I43,J43)</f>
        <v>30629646708115140776</v>
      </c>
      <c r="L43" s="33">
        <v>3</v>
      </c>
      <c r="M43" s="34">
        <v>0</v>
      </c>
      <c r="N43" s="34">
        <v>0</v>
      </c>
      <c r="O43" s="34">
        <v>108971.56</v>
      </c>
      <c r="P43" s="34">
        <v>0</v>
      </c>
      <c r="Q43" s="28"/>
    </row>
    <row r="44" spans="1:17" s="35" customFormat="1" x14ac:dyDescent="0.25">
      <c r="A44" s="2">
        <v>45385</v>
      </c>
      <c r="B44" s="1" t="s">
        <v>80</v>
      </c>
      <c r="C44" s="1" t="s">
        <v>81</v>
      </c>
      <c r="D44" s="1" t="s">
        <v>16</v>
      </c>
      <c r="E44" s="1" t="s">
        <v>607</v>
      </c>
      <c r="F44" s="3">
        <v>11191</v>
      </c>
      <c r="G44" s="1" t="s">
        <v>17</v>
      </c>
      <c r="H44" s="29" t="s">
        <v>85</v>
      </c>
      <c r="I44" s="1">
        <v>115</v>
      </c>
      <c r="J44" s="1">
        <v>140776</v>
      </c>
      <c r="K44" s="1" t="str">
        <f>CONCATENATE(E44,I44,J44)</f>
        <v>30629646708115140776</v>
      </c>
      <c r="L44" s="4">
        <v>21</v>
      </c>
      <c r="M44" s="5">
        <v>0</v>
      </c>
      <c r="N44" s="5">
        <v>3632385.4</v>
      </c>
      <c r="O44" s="5">
        <v>762800.93</v>
      </c>
      <c r="P44" s="5">
        <v>4685777.16</v>
      </c>
      <c r="Q44" s="28"/>
    </row>
    <row r="45" spans="1:17" s="35" customFormat="1" x14ac:dyDescent="0.25">
      <c r="A45" s="30">
        <v>45385</v>
      </c>
      <c r="B45" s="31" t="s">
        <v>86</v>
      </c>
      <c r="C45" s="31" t="s">
        <v>87</v>
      </c>
      <c r="D45" s="31" t="s">
        <v>16</v>
      </c>
      <c r="E45" s="31" t="s">
        <v>608</v>
      </c>
      <c r="F45" s="32">
        <v>11765</v>
      </c>
      <c r="G45" s="31" t="s">
        <v>17</v>
      </c>
      <c r="H45" s="31" t="s">
        <v>88</v>
      </c>
      <c r="I45" s="31">
        <v>600</v>
      </c>
      <c r="J45" s="31">
        <v>676068</v>
      </c>
      <c r="K45" s="31" t="str">
        <f>CONCATENATE(E45,I45,J45)</f>
        <v>30525390086600676068</v>
      </c>
      <c r="L45" s="33">
        <v>3</v>
      </c>
      <c r="M45" s="34">
        <v>0</v>
      </c>
      <c r="N45" s="34">
        <v>0</v>
      </c>
      <c r="O45" s="34">
        <v>80920.95</v>
      </c>
      <c r="P45" s="34">
        <v>0</v>
      </c>
      <c r="Q45" s="28"/>
    </row>
    <row r="46" spans="1:17" s="35" customFormat="1" x14ac:dyDescent="0.25">
      <c r="A46" s="2">
        <v>45385</v>
      </c>
      <c r="B46" s="1" t="s">
        <v>86</v>
      </c>
      <c r="C46" s="1" t="s">
        <v>87</v>
      </c>
      <c r="D46" s="1" t="s">
        <v>16</v>
      </c>
      <c r="E46" s="1" t="s">
        <v>608</v>
      </c>
      <c r="F46" s="3">
        <v>11765</v>
      </c>
      <c r="G46" s="1" t="s">
        <v>17</v>
      </c>
      <c r="H46" s="29" t="s">
        <v>88</v>
      </c>
      <c r="I46" s="1">
        <v>600</v>
      </c>
      <c r="J46" s="1">
        <v>676068</v>
      </c>
      <c r="K46" s="1" t="str">
        <f>CONCATENATE(E46,I46,J46)</f>
        <v>30525390086600676068</v>
      </c>
      <c r="L46" s="4">
        <v>21</v>
      </c>
      <c r="M46" s="5">
        <v>112399.19</v>
      </c>
      <c r="N46" s="5">
        <v>2697364.84</v>
      </c>
      <c r="O46" s="5">
        <v>566446.62</v>
      </c>
      <c r="P46" s="5">
        <v>3513326.88</v>
      </c>
      <c r="Q46" s="28"/>
    </row>
    <row r="47" spans="1:17" s="35" customFormat="1" x14ac:dyDescent="0.25">
      <c r="A47" s="30">
        <v>45385</v>
      </c>
      <c r="B47" s="31" t="s">
        <v>86</v>
      </c>
      <c r="C47" s="31" t="s">
        <v>87</v>
      </c>
      <c r="D47" s="31" t="s">
        <v>16</v>
      </c>
      <c r="E47" s="31" t="s">
        <v>608</v>
      </c>
      <c r="F47" s="32">
        <v>11766</v>
      </c>
      <c r="G47" s="31" t="s">
        <v>17</v>
      </c>
      <c r="H47" s="31" t="s">
        <v>89</v>
      </c>
      <c r="I47" s="31">
        <v>600</v>
      </c>
      <c r="J47" s="31">
        <v>676069</v>
      </c>
      <c r="K47" s="31" t="str">
        <f>CONCATENATE(E47,I47,J47)</f>
        <v>30525390086600676069</v>
      </c>
      <c r="L47" s="33">
        <v>3</v>
      </c>
      <c r="M47" s="34">
        <v>0</v>
      </c>
      <c r="N47" s="34">
        <v>0</v>
      </c>
      <c r="O47" s="34">
        <v>181443.75</v>
      </c>
      <c r="P47" s="34">
        <v>0</v>
      </c>
      <c r="Q47" s="28"/>
    </row>
    <row r="48" spans="1:17" s="35" customFormat="1" x14ac:dyDescent="0.25">
      <c r="A48" s="2">
        <v>45385</v>
      </c>
      <c r="B48" s="1" t="s">
        <v>86</v>
      </c>
      <c r="C48" s="1" t="s">
        <v>87</v>
      </c>
      <c r="D48" s="1" t="s">
        <v>16</v>
      </c>
      <c r="E48" s="1" t="s">
        <v>608</v>
      </c>
      <c r="F48" s="3">
        <v>11766</v>
      </c>
      <c r="G48" s="1" t="s">
        <v>17</v>
      </c>
      <c r="H48" s="29" t="s">
        <v>89</v>
      </c>
      <c r="I48" s="1">
        <v>600</v>
      </c>
      <c r="J48" s="1">
        <v>676069</v>
      </c>
      <c r="K48" s="1" t="str">
        <f>CONCATENATE(E48,I48,J48)</f>
        <v>30525390086600676069</v>
      </c>
      <c r="L48" s="4">
        <v>21</v>
      </c>
      <c r="M48" s="5">
        <v>525944.93999999994</v>
      </c>
      <c r="N48" s="5">
        <v>6048124.8899999997</v>
      </c>
      <c r="O48" s="5">
        <v>1270106.23</v>
      </c>
      <c r="P48" s="5">
        <v>8157101.21</v>
      </c>
      <c r="Q48" s="28"/>
    </row>
    <row r="49" spans="1:17" s="35" customFormat="1" x14ac:dyDescent="0.25">
      <c r="A49" s="30">
        <v>45385</v>
      </c>
      <c r="B49" s="31" t="s">
        <v>86</v>
      </c>
      <c r="C49" s="31" t="s">
        <v>87</v>
      </c>
      <c r="D49" s="31" t="s">
        <v>16</v>
      </c>
      <c r="E49" s="31" t="s">
        <v>608</v>
      </c>
      <c r="F49" s="32">
        <v>11767</v>
      </c>
      <c r="G49" s="31" t="s">
        <v>17</v>
      </c>
      <c r="H49" s="31" t="s">
        <v>90</v>
      </c>
      <c r="I49" s="31">
        <v>600</v>
      </c>
      <c r="J49" s="31">
        <v>676070</v>
      </c>
      <c r="K49" s="31" t="str">
        <f>CONCATENATE(E49,I49,J49)</f>
        <v>30525390086600676070</v>
      </c>
      <c r="L49" s="33">
        <v>3</v>
      </c>
      <c r="M49" s="34">
        <v>0</v>
      </c>
      <c r="N49" s="34">
        <v>0</v>
      </c>
      <c r="O49" s="34">
        <v>140935.67999999999</v>
      </c>
      <c r="P49" s="34">
        <v>0</v>
      </c>
      <c r="Q49" s="28"/>
    </row>
    <row r="50" spans="1:17" s="35" customFormat="1" x14ac:dyDescent="0.25">
      <c r="A50" s="2">
        <v>45385</v>
      </c>
      <c r="B50" s="1" t="s">
        <v>86</v>
      </c>
      <c r="C50" s="1" t="s">
        <v>87</v>
      </c>
      <c r="D50" s="1" t="s">
        <v>16</v>
      </c>
      <c r="E50" s="1" t="s">
        <v>608</v>
      </c>
      <c r="F50" s="3">
        <v>11767</v>
      </c>
      <c r="G50" s="1" t="s">
        <v>17</v>
      </c>
      <c r="H50" s="29" t="s">
        <v>90</v>
      </c>
      <c r="I50" s="1">
        <v>600</v>
      </c>
      <c r="J50" s="1">
        <v>676070</v>
      </c>
      <c r="K50" s="1" t="str">
        <f>CONCATENATE(E50,I50,J50)</f>
        <v>30525390086600676070</v>
      </c>
      <c r="L50" s="4">
        <v>21</v>
      </c>
      <c r="M50" s="5">
        <v>340988.84</v>
      </c>
      <c r="N50" s="5">
        <v>4697855.62</v>
      </c>
      <c r="O50" s="5">
        <v>986549.68</v>
      </c>
      <c r="P50" s="5">
        <v>6267106.71</v>
      </c>
      <c r="Q50" s="28"/>
    </row>
    <row r="51" spans="1:17" s="35" customFormat="1" x14ac:dyDescent="0.25">
      <c r="A51" s="2">
        <v>45385</v>
      </c>
      <c r="B51" s="1" t="s">
        <v>91</v>
      </c>
      <c r="C51" s="1" t="s">
        <v>92</v>
      </c>
      <c r="D51" s="1" t="s">
        <v>16</v>
      </c>
      <c r="E51" s="1" t="s">
        <v>609</v>
      </c>
      <c r="F51" s="3">
        <v>11738</v>
      </c>
      <c r="G51" s="1" t="s">
        <v>17</v>
      </c>
      <c r="H51" s="29" t="s">
        <v>93</v>
      </c>
      <c r="I51" s="1">
        <v>629</v>
      </c>
      <c r="J51" s="1">
        <v>5021230</v>
      </c>
      <c r="K51" s="1" t="str">
        <f>CONCATENATE(E51,I51,J51)</f>
        <v>306634985136295021230</v>
      </c>
      <c r="L51" s="4">
        <v>21</v>
      </c>
      <c r="M51" s="5">
        <v>0</v>
      </c>
      <c r="N51" s="5">
        <v>909.08</v>
      </c>
      <c r="O51" s="5">
        <v>190.92</v>
      </c>
      <c r="P51" s="5">
        <v>1127.27</v>
      </c>
      <c r="Q51" s="28"/>
    </row>
    <row r="52" spans="1:17" s="35" customFormat="1" x14ac:dyDescent="0.25">
      <c r="A52" s="2">
        <v>45385</v>
      </c>
      <c r="B52" s="1" t="s">
        <v>91</v>
      </c>
      <c r="C52" s="1" t="s">
        <v>92</v>
      </c>
      <c r="D52" s="1" t="s">
        <v>16</v>
      </c>
      <c r="E52" s="1" t="s">
        <v>609</v>
      </c>
      <c r="F52" s="3">
        <v>11739</v>
      </c>
      <c r="G52" s="1" t="s">
        <v>17</v>
      </c>
      <c r="H52" s="29" t="s">
        <v>94</v>
      </c>
      <c r="I52" s="1">
        <v>629</v>
      </c>
      <c r="J52" s="1">
        <v>5022495</v>
      </c>
      <c r="K52" s="1" t="str">
        <f>CONCATENATE(E52,I52,J52)</f>
        <v>306634985136295022495</v>
      </c>
      <c r="L52" s="4">
        <v>21</v>
      </c>
      <c r="M52" s="5">
        <v>0</v>
      </c>
      <c r="N52" s="5">
        <v>495.87</v>
      </c>
      <c r="O52" s="5">
        <v>104.13</v>
      </c>
      <c r="P52" s="5">
        <v>600</v>
      </c>
      <c r="Q52" s="28"/>
    </row>
    <row r="53" spans="1:17" s="35" customFormat="1" x14ac:dyDescent="0.25">
      <c r="A53" s="30">
        <v>45385</v>
      </c>
      <c r="B53" s="31" t="s">
        <v>95</v>
      </c>
      <c r="C53" s="31" t="s">
        <v>96</v>
      </c>
      <c r="D53" s="31" t="s">
        <v>16</v>
      </c>
      <c r="E53" s="31" t="s">
        <v>610</v>
      </c>
      <c r="F53" s="32">
        <v>11718</v>
      </c>
      <c r="G53" s="31" t="s">
        <v>17</v>
      </c>
      <c r="H53" s="31" t="s">
        <v>97</v>
      </c>
      <c r="I53" s="31">
        <v>711</v>
      </c>
      <c r="J53" s="31">
        <v>5547334</v>
      </c>
      <c r="K53" s="31" t="str">
        <f>CONCATENATE(E53,I53,J53)</f>
        <v>306772371197115547334</v>
      </c>
      <c r="L53" s="33">
        <v>3</v>
      </c>
      <c r="M53" s="34">
        <v>0</v>
      </c>
      <c r="N53" s="34">
        <v>0</v>
      </c>
      <c r="O53" s="34">
        <v>204.54</v>
      </c>
      <c r="P53" s="34">
        <v>0</v>
      </c>
      <c r="Q53" s="28"/>
    </row>
    <row r="54" spans="1:17" s="35" customFormat="1" x14ac:dyDescent="0.25">
      <c r="A54" s="2">
        <v>45385</v>
      </c>
      <c r="B54" s="1" t="s">
        <v>95</v>
      </c>
      <c r="C54" s="1" t="s">
        <v>96</v>
      </c>
      <c r="D54" s="1" t="s">
        <v>16</v>
      </c>
      <c r="E54" s="1" t="s">
        <v>610</v>
      </c>
      <c r="F54" s="3">
        <v>11718</v>
      </c>
      <c r="G54" s="1" t="s">
        <v>17</v>
      </c>
      <c r="H54" s="29" t="s">
        <v>97</v>
      </c>
      <c r="I54" s="1">
        <v>711</v>
      </c>
      <c r="J54" s="1">
        <v>5547334</v>
      </c>
      <c r="K54" s="1" t="str">
        <f>CONCATENATE(E54,I54,J54)</f>
        <v>306772371197115547334</v>
      </c>
      <c r="L54" s="4">
        <v>21</v>
      </c>
      <c r="M54" s="5">
        <v>0</v>
      </c>
      <c r="N54" s="5">
        <v>6818.1</v>
      </c>
      <c r="O54" s="5">
        <v>1431.9</v>
      </c>
      <c r="P54" s="5">
        <v>8795.44</v>
      </c>
      <c r="Q54" s="28"/>
    </row>
    <row r="55" spans="1:17" s="35" customFormat="1" x14ac:dyDescent="0.25">
      <c r="A55" s="30">
        <v>45385</v>
      </c>
      <c r="B55" s="31" t="s">
        <v>95</v>
      </c>
      <c r="C55" s="31" t="s">
        <v>96</v>
      </c>
      <c r="D55" s="31" t="s">
        <v>16</v>
      </c>
      <c r="E55" s="31" t="s">
        <v>610</v>
      </c>
      <c r="F55" s="32">
        <v>11720</v>
      </c>
      <c r="G55" s="31" t="s">
        <v>17</v>
      </c>
      <c r="H55" s="31" t="s">
        <v>98</v>
      </c>
      <c r="I55" s="31">
        <v>711</v>
      </c>
      <c r="J55" s="31">
        <v>5550256</v>
      </c>
      <c r="K55" s="31" t="str">
        <f>CONCATENATE(E55,I55,J55)</f>
        <v>306772371197115550256</v>
      </c>
      <c r="L55" s="33">
        <v>3</v>
      </c>
      <c r="M55" s="34">
        <v>0</v>
      </c>
      <c r="N55" s="34">
        <v>0</v>
      </c>
      <c r="O55" s="34">
        <v>300</v>
      </c>
      <c r="P55" s="34">
        <v>0</v>
      </c>
      <c r="Q55" s="28"/>
    </row>
    <row r="56" spans="1:17" s="35" customFormat="1" x14ac:dyDescent="0.25">
      <c r="A56" s="2">
        <v>45385</v>
      </c>
      <c r="B56" s="1" t="s">
        <v>95</v>
      </c>
      <c r="C56" s="1" t="s">
        <v>96</v>
      </c>
      <c r="D56" s="1" t="s">
        <v>16</v>
      </c>
      <c r="E56" s="1" t="s">
        <v>610</v>
      </c>
      <c r="F56" s="3">
        <v>11720</v>
      </c>
      <c r="G56" s="1" t="s">
        <v>17</v>
      </c>
      <c r="H56" s="29" t="s">
        <v>98</v>
      </c>
      <c r="I56" s="1">
        <v>711</v>
      </c>
      <c r="J56" s="1">
        <v>5550256</v>
      </c>
      <c r="K56" s="1" t="str">
        <f>CONCATENATE(E56,I56,J56)</f>
        <v>306772371197115550256</v>
      </c>
      <c r="L56" s="4">
        <v>21</v>
      </c>
      <c r="M56" s="5">
        <v>0</v>
      </c>
      <c r="N56" s="5">
        <v>9999.9699999999993</v>
      </c>
      <c r="O56" s="5">
        <v>2100.0300000000002</v>
      </c>
      <c r="P56" s="5">
        <v>12900</v>
      </c>
      <c r="Q56" s="28"/>
    </row>
    <row r="57" spans="1:17" s="35" customFormat="1" x14ac:dyDescent="0.25">
      <c r="A57" s="30">
        <v>45385</v>
      </c>
      <c r="B57" s="31" t="s">
        <v>95</v>
      </c>
      <c r="C57" s="31" t="s">
        <v>96</v>
      </c>
      <c r="D57" s="31" t="s">
        <v>16</v>
      </c>
      <c r="E57" s="31" t="s">
        <v>610</v>
      </c>
      <c r="F57" s="32">
        <v>11719</v>
      </c>
      <c r="G57" s="31" t="s">
        <v>17</v>
      </c>
      <c r="H57" s="31" t="s">
        <v>99</v>
      </c>
      <c r="I57" s="31">
        <v>711</v>
      </c>
      <c r="J57" s="31">
        <v>5552104</v>
      </c>
      <c r="K57" s="31" t="str">
        <f>CONCATENATE(E57,I57,J57)</f>
        <v>306772371197115552104</v>
      </c>
      <c r="L57" s="33">
        <v>3</v>
      </c>
      <c r="M57" s="34">
        <v>0</v>
      </c>
      <c r="N57" s="34">
        <v>0</v>
      </c>
      <c r="O57" s="34">
        <v>800.82</v>
      </c>
      <c r="P57" s="34">
        <v>0</v>
      </c>
      <c r="Q57" s="28"/>
    </row>
    <row r="58" spans="1:17" s="35" customFormat="1" x14ac:dyDescent="0.25">
      <c r="A58" s="2">
        <v>45385</v>
      </c>
      <c r="B58" s="1" t="s">
        <v>95</v>
      </c>
      <c r="C58" s="1" t="s">
        <v>96</v>
      </c>
      <c r="D58" s="1" t="s">
        <v>16</v>
      </c>
      <c r="E58" s="1" t="s">
        <v>610</v>
      </c>
      <c r="F58" s="3">
        <v>11719</v>
      </c>
      <c r="G58" s="1" t="s">
        <v>17</v>
      </c>
      <c r="H58" s="29" t="s">
        <v>99</v>
      </c>
      <c r="I58" s="1">
        <v>711</v>
      </c>
      <c r="J58" s="1">
        <v>5552104</v>
      </c>
      <c r="K58" s="1" t="str">
        <f>CONCATENATE(E58,I58,J58)</f>
        <v>306772371197115552104</v>
      </c>
      <c r="L58" s="4">
        <v>21</v>
      </c>
      <c r="M58" s="5">
        <v>0</v>
      </c>
      <c r="N58" s="5">
        <v>26694.04</v>
      </c>
      <c r="O58" s="5">
        <v>5605.96</v>
      </c>
      <c r="P58" s="5">
        <v>34435.519999999997</v>
      </c>
      <c r="Q58" s="28"/>
    </row>
    <row r="59" spans="1:17" s="35" customFormat="1" x14ac:dyDescent="0.25">
      <c r="A59" s="30">
        <v>45385</v>
      </c>
      <c r="B59" s="31" t="s">
        <v>100</v>
      </c>
      <c r="C59" s="31" t="s">
        <v>101</v>
      </c>
      <c r="D59" s="31" t="s">
        <v>16</v>
      </c>
      <c r="E59" s="31" t="s">
        <v>611</v>
      </c>
      <c r="F59" s="32">
        <v>11186</v>
      </c>
      <c r="G59" s="31" t="s">
        <v>17</v>
      </c>
      <c r="H59" s="31" t="s">
        <v>102</v>
      </c>
      <c r="I59" s="31">
        <v>2009</v>
      </c>
      <c r="J59" s="31">
        <v>36620</v>
      </c>
      <c r="K59" s="31" t="str">
        <f>CONCATENATE(E59,I59,J59)</f>
        <v>30700869918200936620</v>
      </c>
      <c r="L59" s="33">
        <v>3</v>
      </c>
      <c r="M59" s="34">
        <v>0</v>
      </c>
      <c r="N59" s="34">
        <v>0</v>
      </c>
      <c r="O59" s="34">
        <v>316800</v>
      </c>
      <c r="P59" s="34">
        <v>0</v>
      </c>
      <c r="Q59" s="28"/>
    </row>
    <row r="60" spans="1:17" s="35" customFormat="1" x14ac:dyDescent="0.25">
      <c r="A60" s="2">
        <v>45385</v>
      </c>
      <c r="B60" s="1" t="s">
        <v>100</v>
      </c>
      <c r="C60" s="1" t="s">
        <v>101</v>
      </c>
      <c r="D60" s="1" t="s">
        <v>16</v>
      </c>
      <c r="E60" s="1" t="s">
        <v>611</v>
      </c>
      <c r="F60" s="3">
        <v>11186</v>
      </c>
      <c r="G60" s="1" t="s">
        <v>17</v>
      </c>
      <c r="H60" s="29" t="s">
        <v>102</v>
      </c>
      <c r="I60" s="1">
        <v>2009</v>
      </c>
      <c r="J60" s="1">
        <v>36620</v>
      </c>
      <c r="K60" s="1" t="str">
        <f>CONCATENATE(E60,I60,J60)</f>
        <v>30700869918200936620</v>
      </c>
      <c r="L60" s="4">
        <v>21</v>
      </c>
      <c r="M60" s="5">
        <v>0</v>
      </c>
      <c r="N60" s="5">
        <v>10560000</v>
      </c>
      <c r="O60" s="5">
        <v>2217600</v>
      </c>
      <c r="P60" s="5">
        <v>13622400</v>
      </c>
      <c r="Q60" s="28"/>
    </row>
    <row r="61" spans="1:17" s="35" customFormat="1" x14ac:dyDescent="0.25">
      <c r="A61" s="21">
        <v>45385</v>
      </c>
      <c r="B61" s="22" t="s">
        <v>103</v>
      </c>
      <c r="C61" s="22" t="s">
        <v>104</v>
      </c>
      <c r="D61" s="22" t="s">
        <v>28</v>
      </c>
      <c r="E61" s="22" t="s">
        <v>612</v>
      </c>
      <c r="F61" s="23">
        <v>11789</v>
      </c>
      <c r="G61" s="22" t="s">
        <v>17</v>
      </c>
      <c r="H61" s="22" t="s">
        <v>105</v>
      </c>
      <c r="I61" s="22">
        <v>2024</v>
      </c>
      <c r="J61" s="22">
        <v>15239917</v>
      </c>
      <c r="K61" s="22" t="str">
        <f>CONCATENATE(E61,I61,J61)</f>
        <v>33999242109202415239917</v>
      </c>
      <c r="L61" s="24">
        <v>0</v>
      </c>
      <c r="M61" s="25">
        <v>52074.19</v>
      </c>
      <c r="N61" s="25">
        <v>0</v>
      </c>
      <c r="O61" s="25">
        <v>0</v>
      </c>
      <c r="P61" s="25">
        <v>53115.59</v>
      </c>
      <c r="Q61" s="28"/>
    </row>
    <row r="62" spans="1:17" s="35" customFormat="1" x14ac:dyDescent="0.25">
      <c r="A62" s="21">
        <v>45385</v>
      </c>
      <c r="B62" s="22" t="s">
        <v>103</v>
      </c>
      <c r="C62" s="22" t="s">
        <v>104</v>
      </c>
      <c r="D62" s="22" t="s">
        <v>28</v>
      </c>
      <c r="E62" s="22" t="s">
        <v>612</v>
      </c>
      <c r="F62" s="23">
        <v>11788</v>
      </c>
      <c r="G62" s="22" t="s">
        <v>17</v>
      </c>
      <c r="H62" s="22" t="s">
        <v>106</v>
      </c>
      <c r="I62" s="22">
        <v>2024</v>
      </c>
      <c r="J62" s="22">
        <v>15240095</v>
      </c>
      <c r="K62" s="22" t="str">
        <f>CONCATENATE(E62,I62,J62)</f>
        <v>33999242109202415240095</v>
      </c>
      <c r="L62" s="24">
        <v>0</v>
      </c>
      <c r="M62" s="25">
        <v>75873.7</v>
      </c>
      <c r="N62" s="25">
        <v>0</v>
      </c>
      <c r="O62" s="25">
        <v>0</v>
      </c>
      <c r="P62" s="25">
        <v>77391.100000000006</v>
      </c>
      <c r="Q62" s="28"/>
    </row>
    <row r="63" spans="1:17" s="35" customFormat="1" x14ac:dyDescent="0.25">
      <c r="A63" s="30">
        <v>45385</v>
      </c>
      <c r="B63" s="31" t="s">
        <v>107</v>
      </c>
      <c r="C63" s="31" t="s">
        <v>108</v>
      </c>
      <c r="D63" s="31" t="s">
        <v>16</v>
      </c>
      <c r="E63" s="31" t="s">
        <v>613</v>
      </c>
      <c r="F63" s="32">
        <v>11253</v>
      </c>
      <c r="G63" s="31" t="s">
        <v>17</v>
      </c>
      <c r="H63" s="31" t="s">
        <v>109</v>
      </c>
      <c r="I63" s="31">
        <v>8117</v>
      </c>
      <c r="J63" s="31">
        <v>45496</v>
      </c>
      <c r="K63" s="31" t="str">
        <f>CONCATENATE(E63,I63,J63)</f>
        <v>30695542476811745496</v>
      </c>
      <c r="L63" s="33">
        <v>3</v>
      </c>
      <c r="M63" s="34">
        <v>0</v>
      </c>
      <c r="N63" s="34">
        <v>0</v>
      </c>
      <c r="O63" s="34">
        <v>5337.99</v>
      </c>
      <c r="P63" s="34">
        <v>0</v>
      </c>
      <c r="Q63" s="28"/>
    </row>
    <row r="64" spans="1:17" s="35" customFormat="1" x14ac:dyDescent="0.25">
      <c r="A64" s="2">
        <v>45385</v>
      </c>
      <c r="B64" s="1" t="s">
        <v>107</v>
      </c>
      <c r="C64" s="1" t="s">
        <v>108</v>
      </c>
      <c r="D64" s="1" t="s">
        <v>16</v>
      </c>
      <c r="E64" s="1" t="s">
        <v>613</v>
      </c>
      <c r="F64" s="3">
        <v>11253</v>
      </c>
      <c r="G64" s="1" t="s">
        <v>17</v>
      </c>
      <c r="H64" s="29" t="s">
        <v>109</v>
      </c>
      <c r="I64" s="1">
        <v>8117</v>
      </c>
      <c r="J64" s="1">
        <v>45496</v>
      </c>
      <c r="K64" s="1" t="str">
        <f>CONCATENATE(E64,I64,J64)</f>
        <v>30695542476811745496</v>
      </c>
      <c r="L64" s="4">
        <v>21</v>
      </c>
      <c r="M64" s="5">
        <v>16073.62</v>
      </c>
      <c r="N64" s="5">
        <v>177933.08</v>
      </c>
      <c r="O64" s="5">
        <v>37365.949999999997</v>
      </c>
      <c r="P64" s="5">
        <v>245297.61</v>
      </c>
      <c r="Q64" s="28"/>
    </row>
    <row r="65" spans="1:17" s="35" customFormat="1" x14ac:dyDescent="0.25">
      <c r="A65" s="2">
        <v>45385</v>
      </c>
      <c r="B65" s="1" t="s">
        <v>110</v>
      </c>
      <c r="C65" s="1" t="s">
        <v>111</v>
      </c>
      <c r="D65" s="1" t="s">
        <v>112</v>
      </c>
      <c r="E65" s="1" t="s">
        <v>614</v>
      </c>
      <c r="F65" s="3">
        <v>11110</v>
      </c>
      <c r="G65" s="1" t="s">
        <v>17</v>
      </c>
      <c r="H65" s="1" t="s">
        <v>113</v>
      </c>
      <c r="I65" s="1">
        <v>1</v>
      </c>
      <c r="J65" s="1">
        <v>25</v>
      </c>
      <c r="K65" s="1" t="str">
        <f>CONCATENATE(E65,I65,J65)</f>
        <v>20345349600125</v>
      </c>
      <c r="L65" s="4">
        <v>0</v>
      </c>
      <c r="M65" s="5">
        <v>653500</v>
      </c>
      <c r="N65" s="5">
        <v>0</v>
      </c>
      <c r="O65" s="5">
        <v>0</v>
      </c>
      <c r="P65" s="5">
        <v>653500</v>
      </c>
      <c r="Q65" s="28"/>
    </row>
    <row r="66" spans="1:17" s="35" customFormat="1" x14ac:dyDescent="0.25">
      <c r="A66" s="2">
        <v>45385</v>
      </c>
      <c r="B66" s="1" t="s">
        <v>114</v>
      </c>
      <c r="C66" s="1" t="s">
        <v>115</v>
      </c>
      <c r="D66" s="1" t="s">
        <v>112</v>
      </c>
      <c r="E66" s="1" t="s">
        <v>615</v>
      </c>
      <c r="F66" s="3">
        <v>11111</v>
      </c>
      <c r="G66" s="1" t="s">
        <v>17</v>
      </c>
      <c r="H66" s="1" t="s">
        <v>116</v>
      </c>
      <c r="I66" s="1">
        <v>1</v>
      </c>
      <c r="J66" s="1">
        <v>29</v>
      </c>
      <c r="K66" s="1" t="str">
        <f>CONCATENATE(E66,I66,J66)</f>
        <v>27444490204129</v>
      </c>
      <c r="L66" s="4">
        <v>0</v>
      </c>
      <c r="M66" s="5">
        <v>270000</v>
      </c>
      <c r="N66" s="5">
        <v>0</v>
      </c>
      <c r="O66" s="5">
        <v>0</v>
      </c>
      <c r="P66" s="5">
        <v>270000</v>
      </c>
      <c r="Q66" s="28"/>
    </row>
    <row r="67" spans="1:17" s="35" customFormat="1" x14ac:dyDescent="0.25">
      <c r="A67" s="2">
        <v>45385</v>
      </c>
      <c r="B67" s="1" t="s">
        <v>117</v>
      </c>
      <c r="C67" s="1" t="s">
        <v>118</v>
      </c>
      <c r="D67" s="1" t="s">
        <v>112</v>
      </c>
      <c r="E67" s="1" t="s">
        <v>616</v>
      </c>
      <c r="F67" s="3">
        <v>11123</v>
      </c>
      <c r="G67" s="1" t="s">
        <v>17</v>
      </c>
      <c r="H67" s="1" t="s">
        <v>119</v>
      </c>
      <c r="I67" s="1">
        <v>2</v>
      </c>
      <c r="J67" s="1">
        <v>188</v>
      </c>
      <c r="K67" s="1" t="str">
        <f>CONCATENATE(E67,I67,J67)</f>
        <v>203300659832188</v>
      </c>
      <c r="L67" s="4">
        <v>0</v>
      </c>
      <c r="M67" s="5">
        <v>163000</v>
      </c>
      <c r="N67" s="5">
        <v>0</v>
      </c>
      <c r="O67" s="5">
        <v>0</v>
      </c>
      <c r="P67" s="5">
        <v>163000</v>
      </c>
      <c r="Q67" s="28"/>
    </row>
    <row r="68" spans="1:17" s="35" customFormat="1" x14ac:dyDescent="0.25">
      <c r="A68" s="2">
        <v>45385</v>
      </c>
      <c r="B68" s="1" t="s">
        <v>120</v>
      </c>
      <c r="C68" s="1" t="s">
        <v>121</v>
      </c>
      <c r="D68" s="1" t="s">
        <v>112</v>
      </c>
      <c r="E68" s="1" t="s">
        <v>617</v>
      </c>
      <c r="F68" s="3">
        <v>11112</v>
      </c>
      <c r="G68" s="1" t="s">
        <v>17</v>
      </c>
      <c r="H68" s="1" t="s">
        <v>122</v>
      </c>
      <c r="I68" s="1">
        <v>2</v>
      </c>
      <c r="J68" s="1">
        <v>307</v>
      </c>
      <c r="K68" s="1" t="str">
        <f>CONCATENATE(E68,I68,J68)</f>
        <v>272069414192307</v>
      </c>
      <c r="L68" s="4">
        <v>0</v>
      </c>
      <c r="M68" s="5">
        <v>150000</v>
      </c>
      <c r="N68" s="5">
        <v>0</v>
      </c>
      <c r="O68" s="5">
        <v>0</v>
      </c>
      <c r="P68" s="5">
        <v>150000</v>
      </c>
      <c r="Q68" s="28"/>
    </row>
    <row r="69" spans="1:17" s="35" customFormat="1" x14ac:dyDescent="0.25">
      <c r="A69" s="30">
        <v>45386</v>
      </c>
      <c r="B69" s="31" t="s">
        <v>123</v>
      </c>
      <c r="C69" s="31" t="s">
        <v>124</v>
      </c>
      <c r="D69" s="31" t="s">
        <v>16</v>
      </c>
      <c r="E69" s="31" t="s">
        <v>618</v>
      </c>
      <c r="F69" s="32">
        <v>11726</v>
      </c>
      <c r="G69" s="31" t="s">
        <v>17</v>
      </c>
      <c r="H69" s="31" t="s">
        <v>125</v>
      </c>
      <c r="I69" s="31">
        <v>2024</v>
      </c>
      <c r="J69" s="31">
        <v>9432059</v>
      </c>
      <c r="K69" s="31" t="str">
        <f>CONCATENATE(E69,I69,J69)</f>
        <v>3050000845420249432059</v>
      </c>
      <c r="L69" s="33">
        <v>1.5</v>
      </c>
      <c r="M69" s="34">
        <v>0</v>
      </c>
      <c r="N69" s="34">
        <v>0</v>
      </c>
      <c r="O69" s="34">
        <v>8524.27</v>
      </c>
      <c r="P69" s="34">
        <v>0</v>
      </c>
      <c r="Q69" s="28"/>
    </row>
    <row r="70" spans="1:17" s="35" customFormat="1" x14ac:dyDescent="0.25">
      <c r="A70" s="21">
        <v>45386</v>
      </c>
      <c r="B70" s="22" t="s">
        <v>123</v>
      </c>
      <c r="C70" s="22" t="s">
        <v>124</v>
      </c>
      <c r="D70" s="22" t="s">
        <v>16</v>
      </c>
      <c r="E70" s="22" t="s">
        <v>618</v>
      </c>
      <c r="F70" s="23">
        <v>11726</v>
      </c>
      <c r="G70" s="22" t="s">
        <v>17</v>
      </c>
      <c r="H70" s="22" t="s">
        <v>125</v>
      </c>
      <c r="I70" s="22">
        <v>2024</v>
      </c>
      <c r="J70" s="22">
        <v>9432059</v>
      </c>
      <c r="K70" s="22" t="str">
        <f>CONCATENATE(E70,I70,J70)</f>
        <v>3050000845420249432059</v>
      </c>
      <c r="L70" s="24">
        <v>10.5</v>
      </c>
      <c r="M70" s="25">
        <v>1745773.3</v>
      </c>
      <c r="N70" s="25">
        <v>568284.36</v>
      </c>
      <c r="O70" s="25">
        <v>59669.86</v>
      </c>
      <c r="P70" s="25">
        <v>2393617.48</v>
      </c>
      <c r="Q70" s="28"/>
    </row>
    <row r="71" spans="1:17" s="35" customFormat="1" x14ac:dyDescent="0.25">
      <c r="A71" s="2">
        <v>45386</v>
      </c>
      <c r="B71" s="1" t="s">
        <v>126</v>
      </c>
      <c r="C71" s="1" t="s">
        <v>127</v>
      </c>
      <c r="D71" s="1" t="s">
        <v>16</v>
      </c>
      <c r="E71" s="1" t="s">
        <v>619</v>
      </c>
      <c r="F71" s="3">
        <v>11380</v>
      </c>
      <c r="G71" s="1" t="s">
        <v>17</v>
      </c>
      <c r="H71" s="29" t="s">
        <v>128</v>
      </c>
      <c r="I71" s="1">
        <v>1</v>
      </c>
      <c r="J71" s="1">
        <v>2310</v>
      </c>
      <c r="K71" s="1" t="str">
        <f>CONCATENATE(E71,I71,J71)</f>
        <v>3071616110912310</v>
      </c>
      <c r="L71" s="4">
        <v>21</v>
      </c>
      <c r="M71" s="5">
        <v>0</v>
      </c>
      <c r="N71" s="5">
        <v>2297670</v>
      </c>
      <c r="O71" s="5">
        <v>482510.7</v>
      </c>
      <c r="P71" s="5">
        <v>2780180.7</v>
      </c>
      <c r="Q71" s="28"/>
    </row>
    <row r="72" spans="1:17" s="35" customFormat="1" x14ac:dyDescent="0.25">
      <c r="A72" s="2">
        <v>45386</v>
      </c>
      <c r="B72" s="1" t="s">
        <v>129</v>
      </c>
      <c r="C72" s="1" t="s">
        <v>130</v>
      </c>
      <c r="D72" s="1" t="s">
        <v>16</v>
      </c>
      <c r="E72" s="1" t="s">
        <v>620</v>
      </c>
      <c r="F72" s="3">
        <v>11758</v>
      </c>
      <c r="G72" s="1" t="s">
        <v>17</v>
      </c>
      <c r="H72" s="29" t="s">
        <v>131</v>
      </c>
      <c r="I72" s="1">
        <v>3</v>
      </c>
      <c r="J72" s="1">
        <v>8263</v>
      </c>
      <c r="K72" s="1" t="str">
        <f>CONCATENATE(E72,I72,J72)</f>
        <v>3071511385238263</v>
      </c>
      <c r="L72" s="4">
        <v>21</v>
      </c>
      <c r="M72" s="5">
        <v>0</v>
      </c>
      <c r="N72" s="5">
        <v>14297.52</v>
      </c>
      <c r="O72" s="5">
        <v>3002.48</v>
      </c>
      <c r="P72" s="5">
        <v>17300</v>
      </c>
      <c r="Q72" s="28"/>
    </row>
    <row r="73" spans="1:17" s="35" customFormat="1" x14ac:dyDescent="0.25">
      <c r="A73" s="2">
        <v>45386</v>
      </c>
      <c r="B73" s="1" t="s">
        <v>132</v>
      </c>
      <c r="C73" s="1" t="s">
        <v>133</v>
      </c>
      <c r="D73" s="1" t="s">
        <v>16</v>
      </c>
      <c r="E73" s="1" t="s">
        <v>621</v>
      </c>
      <c r="F73" s="3">
        <v>11250</v>
      </c>
      <c r="G73" s="1" t="s">
        <v>17</v>
      </c>
      <c r="H73" s="29" t="s">
        <v>134</v>
      </c>
      <c r="I73" s="1">
        <v>3</v>
      </c>
      <c r="J73" s="1">
        <v>99387</v>
      </c>
      <c r="K73" s="1" t="str">
        <f>CONCATENATE(E73,I73,J73)</f>
        <v>30703957478399387</v>
      </c>
      <c r="L73" s="4">
        <v>21</v>
      </c>
      <c r="M73" s="5">
        <v>0</v>
      </c>
      <c r="N73" s="5">
        <v>77132.23</v>
      </c>
      <c r="O73" s="5">
        <v>16197.77</v>
      </c>
      <c r="P73" s="5">
        <v>94872.639999999999</v>
      </c>
      <c r="Q73" s="28"/>
    </row>
    <row r="74" spans="1:17" s="35" customFormat="1" x14ac:dyDescent="0.25">
      <c r="A74" s="2">
        <v>45386</v>
      </c>
      <c r="B74" s="1" t="s">
        <v>135</v>
      </c>
      <c r="C74" s="1" t="s">
        <v>136</v>
      </c>
      <c r="D74" s="1" t="s">
        <v>16</v>
      </c>
      <c r="E74" s="1" t="s">
        <v>622</v>
      </c>
      <c r="F74" s="3">
        <v>11187</v>
      </c>
      <c r="G74" s="1" t="s">
        <v>17</v>
      </c>
      <c r="H74" s="29" t="s">
        <v>137</v>
      </c>
      <c r="I74" s="1">
        <v>5</v>
      </c>
      <c r="J74" s="1">
        <v>7322</v>
      </c>
      <c r="K74" s="1" t="str">
        <f>CONCATENATE(E74,I74,J74)</f>
        <v>3070961478557322</v>
      </c>
      <c r="L74" s="4">
        <v>21</v>
      </c>
      <c r="M74" s="5">
        <v>0</v>
      </c>
      <c r="N74" s="5">
        <v>158760</v>
      </c>
      <c r="O74" s="5">
        <v>33339.599999999999</v>
      </c>
      <c r="P74" s="5">
        <v>192099.6</v>
      </c>
      <c r="Q74" s="28"/>
    </row>
    <row r="75" spans="1:17" s="35" customFormat="1" x14ac:dyDescent="0.25">
      <c r="A75" s="30">
        <v>45386</v>
      </c>
      <c r="B75" s="31" t="s">
        <v>138</v>
      </c>
      <c r="C75" s="31" t="s">
        <v>139</v>
      </c>
      <c r="D75" s="31" t="s">
        <v>16</v>
      </c>
      <c r="E75" s="31" t="s">
        <v>623</v>
      </c>
      <c r="F75" s="32">
        <v>11474</v>
      </c>
      <c r="G75" s="31" t="s">
        <v>17</v>
      </c>
      <c r="H75" s="31" t="s">
        <v>140</v>
      </c>
      <c r="I75" s="31">
        <v>12</v>
      </c>
      <c r="J75" s="31">
        <v>79583</v>
      </c>
      <c r="K75" s="31" t="str">
        <f>CONCATENATE(E75,I75,J75)</f>
        <v>306976466271279583</v>
      </c>
      <c r="L75" s="33">
        <v>3</v>
      </c>
      <c r="M75" s="34">
        <v>0</v>
      </c>
      <c r="N75" s="34">
        <v>0</v>
      </c>
      <c r="O75" s="34">
        <v>61507.47</v>
      </c>
      <c r="P75" s="34">
        <v>0</v>
      </c>
      <c r="Q75" s="28"/>
    </row>
    <row r="76" spans="1:17" s="35" customFormat="1" x14ac:dyDescent="0.25">
      <c r="A76" s="2">
        <v>45386</v>
      </c>
      <c r="B76" s="1" t="s">
        <v>138</v>
      </c>
      <c r="C76" s="1" t="s">
        <v>139</v>
      </c>
      <c r="D76" s="1" t="s">
        <v>16</v>
      </c>
      <c r="E76" s="1" t="s">
        <v>623</v>
      </c>
      <c r="F76" s="3">
        <v>11474</v>
      </c>
      <c r="G76" s="1" t="s">
        <v>17</v>
      </c>
      <c r="H76" s="29" t="s">
        <v>140</v>
      </c>
      <c r="I76" s="1">
        <v>12</v>
      </c>
      <c r="J76" s="1">
        <v>79583</v>
      </c>
      <c r="K76" s="1" t="str">
        <f>CONCATENATE(E76,I76,J76)</f>
        <v>306976466271279583</v>
      </c>
      <c r="L76" s="4">
        <v>21</v>
      </c>
      <c r="M76" s="5">
        <v>0</v>
      </c>
      <c r="N76" s="5">
        <v>2050248.96</v>
      </c>
      <c r="O76" s="5">
        <v>430552.28</v>
      </c>
      <c r="P76" s="5">
        <v>2542308.71</v>
      </c>
      <c r="Q76" s="28"/>
    </row>
    <row r="77" spans="1:17" s="35" customFormat="1" x14ac:dyDescent="0.25">
      <c r="A77" s="30">
        <v>45386</v>
      </c>
      <c r="B77" s="31" t="s">
        <v>141</v>
      </c>
      <c r="C77" s="31" t="s">
        <v>142</v>
      </c>
      <c r="D77" s="31" t="s">
        <v>16</v>
      </c>
      <c r="E77" s="31" t="s">
        <v>624</v>
      </c>
      <c r="F77" s="32">
        <v>11393</v>
      </c>
      <c r="G77" s="31" t="s">
        <v>17</v>
      </c>
      <c r="H77" s="31" t="s">
        <v>143</v>
      </c>
      <c r="I77" s="31">
        <v>20</v>
      </c>
      <c r="J77" s="31">
        <v>151084</v>
      </c>
      <c r="K77" s="31" t="str">
        <f>CONCATENATE(E77,I77,J77)</f>
        <v>3064661852120151084</v>
      </c>
      <c r="L77" s="33">
        <v>3</v>
      </c>
      <c r="M77" s="34">
        <v>0</v>
      </c>
      <c r="N77" s="34">
        <v>0</v>
      </c>
      <c r="O77" s="34">
        <v>102528.6</v>
      </c>
      <c r="P77" s="34">
        <v>0</v>
      </c>
      <c r="Q77" s="28"/>
    </row>
    <row r="78" spans="1:17" s="35" customFormat="1" x14ac:dyDescent="0.25">
      <c r="A78" s="2">
        <v>45386</v>
      </c>
      <c r="B78" s="1" t="s">
        <v>141</v>
      </c>
      <c r="C78" s="1" t="s">
        <v>142</v>
      </c>
      <c r="D78" s="1" t="s">
        <v>16</v>
      </c>
      <c r="E78" s="1" t="s">
        <v>624</v>
      </c>
      <c r="F78" s="3">
        <v>11393</v>
      </c>
      <c r="G78" s="1" t="s">
        <v>17</v>
      </c>
      <c r="H78" s="29" t="s">
        <v>143</v>
      </c>
      <c r="I78" s="1">
        <v>20</v>
      </c>
      <c r="J78" s="1">
        <v>151084</v>
      </c>
      <c r="K78" s="1" t="str">
        <f>CONCATENATE(E78,I78,J78)</f>
        <v>3064661852120151084</v>
      </c>
      <c r="L78" s="4">
        <v>21</v>
      </c>
      <c r="M78" s="5">
        <v>0</v>
      </c>
      <c r="N78" s="5">
        <v>3417619.97</v>
      </c>
      <c r="O78" s="5">
        <v>717700.19</v>
      </c>
      <c r="P78" s="5">
        <v>4237848.76</v>
      </c>
      <c r="Q78" s="28"/>
    </row>
    <row r="79" spans="1:17" s="35" customFormat="1" x14ac:dyDescent="0.25">
      <c r="A79" s="30">
        <v>45386</v>
      </c>
      <c r="B79" s="31" t="s">
        <v>144</v>
      </c>
      <c r="C79" s="31" t="s">
        <v>145</v>
      </c>
      <c r="D79" s="31" t="s">
        <v>16</v>
      </c>
      <c r="E79" s="31" t="s">
        <v>625</v>
      </c>
      <c r="F79" s="32">
        <v>11327</v>
      </c>
      <c r="G79" s="31" t="s">
        <v>17</v>
      </c>
      <c r="H79" s="31" t="s">
        <v>146</v>
      </c>
      <c r="I79" s="31">
        <v>46</v>
      </c>
      <c r="J79" s="31">
        <v>398640</v>
      </c>
      <c r="K79" s="31" t="str">
        <f>CONCATENATE(E79,I79,J79)</f>
        <v>3053214979346398640</v>
      </c>
      <c r="L79" s="33">
        <v>3</v>
      </c>
      <c r="M79" s="34">
        <v>0</v>
      </c>
      <c r="N79" s="34">
        <v>0</v>
      </c>
      <c r="O79" s="34">
        <v>24044.54</v>
      </c>
      <c r="P79" s="34">
        <v>0</v>
      </c>
      <c r="Q79" s="28"/>
    </row>
    <row r="80" spans="1:17" s="35" customFormat="1" x14ac:dyDescent="0.25">
      <c r="A80" s="2">
        <v>45386</v>
      </c>
      <c r="B80" s="1" t="s">
        <v>144</v>
      </c>
      <c r="C80" s="1" t="s">
        <v>145</v>
      </c>
      <c r="D80" s="1" t="s">
        <v>16</v>
      </c>
      <c r="E80" s="1" t="s">
        <v>625</v>
      </c>
      <c r="F80" s="3">
        <v>11327</v>
      </c>
      <c r="G80" s="1" t="s">
        <v>17</v>
      </c>
      <c r="H80" s="29" t="s">
        <v>146</v>
      </c>
      <c r="I80" s="1">
        <v>46</v>
      </c>
      <c r="J80" s="1">
        <v>398640</v>
      </c>
      <c r="K80" s="1" t="str">
        <f>CONCATENATE(E80,I80,J80)</f>
        <v>3053214979346398640</v>
      </c>
      <c r="L80" s="4">
        <v>21</v>
      </c>
      <c r="M80" s="5">
        <v>0</v>
      </c>
      <c r="N80" s="5">
        <v>801484.68</v>
      </c>
      <c r="O80" s="5">
        <v>168311.78</v>
      </c>
      <c r="P80" s="5">
        <v>1009870.69</v>
      </c>
      <c r="Q80" s="28"/>
    </row>
    <row r="81" spans="1:17" s="35" customFormat="1" x14ac:dyDescent="0.25">
      <c r="A81" s="30">
        <v>45386</v>
      </c>
      <c r="B81" s="31" t="s">
        <v>147</v>
      </c>
      <c r="C81" s="31" t="s">
        <v>148</v>
      </c>
      <c r="D81" s="31" t="s">
        <v>16</v>
      </c>
      <c r="E81" s="31" t="s">
        <v>626</v>
      </c>
      <c r="F81" s="32">
        <v>11381</v>
      </c>
      <c r="G81" s="31" t="s">
        <v>17</v>
      </c>
      <c r="H81" s="31" t="s">
        <v>149</v>
      </c>
      <c r="I81" s="31">
        <v>218</v>
      </c>
      <c r="J81" s="31">
        <v>160366</v>
      </c>
      <c r="K81" s="31" t="str">
        <f>CONCATENATE(E81,I81,J81)</f>
        <v>30501290323218160366</v>
      </c>
      <c r="L81" s="33">
        <v>3</v>
      </c>
      <c r="M81" s="34">
        <v>0</v>
      </c>
      <c r="N81" s="34">
        <v>0</v>
      </c>
      <c r="O81" s="34">
        <v>21977.62</v>
      </c>
      <c r="P81" s="34">
        <v>0</v>
      </c>
      <c r="Q81" s="28"/>
    </row>
    <row r="82" spans="1:17" s="35" customFormat="1" x14ac:dyDescent="0.25">
      <c r="A82" s="2">
        <v>45386</v>
      </c>
      <c r="B82" s="1" t="s">
        <v>147</v>
      </c>
      <c r="C82" s="1" t="s">
        <v>148</v>
      </c>
      <c r="D82" s="1" t="s">
        <v>16</v>
      </c>
      <c r="E82" s="1" t="s">
        <v>626</v>
      </c>
      <c r="F82" s="3">
        <v>11381</v>
      </c>
      <c r="G82" s="1" t="s">
        <v>17</v>
      </c>
      <c r="H82" s="29" t="s">
        <v>149</v>
      </c>
      <c r="I82" s="1">
        <v>218</v>
      </c>
      <c r="J82" s="1">
        <v>160366</v>
      </c>
      <c r="K82" s="1" t="str">
        <f>CONCATENATE(E82,I82,J82)</f>
        <v>30501290323218160366</v>
      </c>
      <c r="L82" s="4">
        <v>21</v>
      </c>
      <c r="M82" s="5">
        <v>0</v>
      </c>
      <c r="N82" s="5">
        <v>732587.2</v>
      </c>
      <c r="O82" s="5">
        <v>153843.31</v>
      </c>
      <c r="P82" s="5">
        <v>945037.49</v>
      </c>
      <c r="Q82" s="28"/>
    </row>
    <row r="83" spans="1:17" s="35" customFormat="1" x14ac:dyDescent="0.25">
      <c r="A83" s="30">
        <v>45386</v>
      </c>
      <c r="B83" s="31" t="s">
        <v>150</v>
      </c>
      <c r="C83" s="31" t="s">
        <v>151</v>
      </c>
      <c r="D83" s="31" t="s">
        <v>16</v>
      </c>
      <c r="E83" s="31" t="s">
        <v>627</v>
      </c>
      <c r="F83" s="32">
        <v>11185</v>
      </c>
      <c r="G83" s="31" t="s">
        <v>17</v>
      </c>
      <c r="H83" s="31" t="s">
        <v>152</v>
      </c>
      <c r="I83" s="31">
        <v>1001</v>
      </c>
      <c r="J83" s="31">
        <v>234087</v>
      </c>
      <c r="K83" s="31" t="str">
        <f>CONCATENATE(E83,I83,J83)</f>
        <v>305866115221001234087</v>
      </c>
      <c r="L83" s="33">
        <v>3</v>
      </c>
      <c r="M83" s="34">
        <v>0</v>
      </c>
      <c r="N83" s="34">
        <v>0</v>
      </c>
      <c r="O83" s="34">
        <v>54886.92</v>
      </c>
      <c r="P83" s="34">
        <v>0</v>
      </c>
      <c r="Q83" s="28"/>
    </row>
    <row r="84" spans="1:17" s="35" customFormat="1" x14ac:dyDescent="0.25">
      <c r="A84" s="2">
        <v>45386</v>
      </c>
      <c r="B84" s="1" t="s">
        <v>150</v>
      </c>
      <c r="C84" s="1" t="s">
        <v>151</v>
      </c>
      <c r="D84" s="1" t="s">
        <v>16</v>
      </c>
      <c r="E84" s="1" t="s">
        <v>627</v>
      </c>
      <c r="F84" s="3">
        <v>11185</v>
      </c>
      <c r="G84" s="1" t="s">
        <v>17</v>
      </c>
      <c r="H84" s="29" t="s">
        <v>152</v>
      </c>
      <c r="I84" s="1">
        <v>1001</v>
      </c>
      <c r="J84" s="1">
        <v>234087</v>
      </c>
      <c r="K84" s="1" t="str">
        <f>CONCATENATE(E84,I84,J84)</f>
        <v>305866115221001234087</v>
      </c>
      <c r="L84" s="4">
        <v>21</v>
      </c>
      <c r="M84" s="5">
        <v>0</v>
      </c>
      <c r="N84" s="5">
        <v>1829564</v>
      </c>
      <c r="O84" s="5">
        <v>384208.44</v>
      </c>
      <c r="P84" s="5">
        <v>2360137.56</v>
      </c>
      <c r="Q84" s="28"/>
    </row>
    <row r="85" spans="1:17" s="35" customFormat="1" x14ac:dyDescent="0.25">
      <c r="A85" s="2">
        <v>45386</v>
      </c>
      <c r="B85" s="1" t="s">
        <v>153</v>
      </c>
      <c r="C85" s="1" t="s">
        <v>154</v>
      </c>
      <c r="D85" s="1" t="s">
        <v>16</v>
      </c>
      <c r="E85" s="1" t="s">
        <v>628</v>
      </c>
      <c r="F85" s="3">
        <v>11724</v>
      </c>
      <c r="G85" s="1" t="s">
        <v>17</v>
      </c>
      <c r="H85" s="29" t="s">
        <v>155</v>
      </c>
      <c r="I85" s="1">
        <v>5011</v>
      </c>
      <c r="J85" s="1">
        <v>594555</v>
      </c>
      <c r="K85" s="1" t="str">
        <f>CONCATENATE(E85,I85,J85)</f>
        <v>305748764745011594555</v>
      </c>
      <c r="L85" s="4">
        <v>21</v>
      </c>
      <c r="M85" s="5">
        <v>752.03</v>
      </c>
      <c r="N85" s="5">
        <v>7519.27</v>
      </c>
      <c r="O85" s="5">
        <v>1579.03</v>
      </c>
      <c r="P85" s="5">
        <v>10075.91</v>
      </c>
      <c r="Q85" s="28"/>
    </row>
    <row r="86" spans="1:17" s="35" customFormat="1" x14ac:dyDescent="0.25">
      <c r="A86" s="2">
        <v>45386</v>
      </c>
      <c r="B86" s="1" t="s">
        <v>153</v>
      </c>
      <c r="C86" s="1" t="s">
        <v>154</v>
      </c>
      <c r="D86" s="1" t="s">
        <v>16</v>
      </c>
      <c r="E86" s="1" t="s">
        <v>628</v>
      </c>
      <c r="F86" s="3">
        <v>11725</v>
      </c>
      <c r="G86" s="1" t="s">
        <v>17</v>
      </c>
      <c r="H86" s="29" t="s">
        <v>156</v>
      </c>
      <c r="I86" s="1">
        <v>5015</v>
      </c>
      <c r="J86" s="1">
        <v>598327</v>
      </c>
      <c r="K86" s="1" t="str">
        <f>CONCATENATE(E86,I86,J86)</f>
        <v>305748764745015598327</v>
      </c>
      <c r="L86" s="4">
        <v>21</v>
      </c>
      <c r="M86" s="5">
        <v>69.510000000000005</v>
      </c>
      <c r="N86" s="5">
        <v>694.98</v>
      </c>
      <c r="O86" s="5">
        <v>145.94999999999999</v>
      </c>
      <c r="P86" s="5">
        <v>910.44</v>
      </c>
      <c r="Q86" s="28"/>
    </row>
    <row r="87" spans="1:17" s="42" customFormat="1" x14ac:dyDescent="0.25">
      <c r="A87" s="37">
        <v>45386</v>
      </c>
      <c r="B87" s="38" t="s">
        <v>107</v>
      </c>
      <c r="C87" s="38" t="s">
        <v>108</v>
      </c>
      <c r="D87" s="38" t="s">
        <v>16</v>
      </c>
      <c r="E87" s="38" t="s">
        <v>613</v>
      </c>
      <c r="F87" s="39">
        <v>11256</v>
      </c>
      <c r="G87" s="38" t="s">
        <v>17</v>
      </c>
      <c r="H87" s="38" t="s">
        <v>157</v>
      </c>
      <c r="I87" s="38">
        <v>5128</v>
      </c>
      <c r="J87" s="38">
        <v>24095</v>
      </c>
      <c r="K87" s="38" t="str">
        <f>CONCATENATE(E87,I87,J87)</f>
        <v>30695542476512824095</v>
      </c>
      <c r="L87" s="40">
        <v>3</v>
      </c>
      <c r="M87" s="41">
        <v>0</v>
      </c>
      <c r="N87" s="41">
        <v>0</v>
      </c>
      <c r="O87" s="41">
        <v>2311.27</v>
      </c>
      <c r="P87" s="41">
        <v>0</v>
      </c>
    </row>
    <row r="88" spans="1:17" s="42" customFormat="1" x14ac:dyDescent="0.25">
      <c r="A88" s="37">
        <v>45386</v>
      </c>
      <c r="B88" s="38" t="s">
        <v>107</v>
      </c>
      <c r="C88" s="38" t="s">
        <v>108</v>
      </c>
      <c r="D88" s="38" t="s">
        <v>16</v>
      </c>
      <c r="E88" s="38" t="s">
        <v>613</v>
      </c>
      <c r="F88" s="39">
        <v>11256</v>
      </c>
      <c r="G88" s="38" t="s">
        <v>17</v>
      </c>
      <c r="H88" s="38" t="s">
        <v>157</v>
      </c>
      <c r="I88" s="38">
        <v>5128</v>
      </c>
      <c r="J88" s="38">
        <v>24095</v>
      </c>
      <c r="K88" s="38" t="str">
        <f>CONCATENATE(E88,I88,J88)</f>
        <v>30695542476512824095</v>
      </c>
      <c r="L88" s="40">
        <v>21</v>
      </c>
      <c r="M88" s="41">
        <v>6777.8</v>
      </c>
      <c r="N88" s="41">
        <v>77042.33</v>
      </c>
      <c r="O88" s="41">
        <v>16178.89</v>
      </c>
      <c r="P88" s="41">
        <v>102310.29</v>
      </c>
    </row>
    <row r="89" spans="1:17" s="35" customFormat="1" x14ac:dyDescent="0.25">
      <c r="A89" s="30">
        <v>45386</v>
      </c>
      <c r="B89" s="31" t="s">
        <v>158</v>
      </c>
      <c r="C89" s="31" t="s">
        <v>159</v>
      </c>
      <c r="D89" s="31" t="s">
        <v>16</v>
      </c>
      <c r="E89" s="31" t="s">
        <v>629</v>
      </c>
      <c r="F89" s="32">
        <v>11193</v>
      </c>
      <c r="G89" s="31" t="s">
        <v>17</v>
      </c>
      <c r="H89" s="31" t="s">
        <v>160</v>
      </c>
      <c r="I89" s="31">
        <v>6004</v>
      </c>
      <c r="J89" s="31">
        <v>3576627</v>
      </c>
      <c r="K89" s="31" t="str">
        <f>CONCATENATE(E89,I89,J89)</f>
        <v>3050111624260043576627</v>
      </c>
      <c r="L89" s="33">
        <v>3</v>
      </c>
      <c r="M89" s="34">
        <v>0</v>
      </c>
      <c r="N89" s="34">
        <v>0</v>
      </c>
      <c r="O89" s="34">
        <v>3707.19</v>
      </c>
      <c r="P89" s="34">
        <v>0</v>
      </c>
      <c r="Q89" s="28"/>
    </row>
    <row r="90" spans="1:17" s="35" customFormat="1" x14ac:dyDescent="0.25">
      <c r="A90" s="2">
        <v>45386</v>
      </c>
      <c r="B90" s="1" t="s">
        <v>158</v>
      </c>
      <c r="C90" s="1" t="s">
        <v>159</v>
      </c>
      <c r="D90" s="1" t="s">
        <v>16</v>
      </c>
      <c r="E90" s="1" t="s">
        <v>629</v>
      </c>
      <c r="F90" s="3">
        <v>11193</v>
      </c>
      <c r="G90" s="1" t="s">
        <v>17</v>
      </c>
      <c r="H90" s="29" t="s">
        <v>160</v>
      </c>
      <c r="I90" s="1">
        <v>6004</v>
      </c>
      <c r="J90" s="1">
        <v>3576627</v>
      </c>
      <c r="K90" s="1" t="str">
        <f>CONCATENATE(E90,I90,J90)</f>
        <v>3050111624260043576627</v>
      </c>
      <c r="L90" s="4">
        <v>21</v>
      </c>
      <c r="M90" s="5">
        <v>0</v>
      </c>
      <c r="N90" s="5">
        <v>123573.13</v>
      </c>
      <c r="O90" s="5">
        <v>25950.36</v>
      </c>
      <c r="P90" s="5">
        <v>155702.14000000001</v>
      </c>
      <c r="Q90" s="28"/>
    </row>
    <row r="91" spans="1:17" s="35" customFormat="1" x14ac:dyDescent="0.25">
      <c r="A91" s="2">
        <v>45386</v>
      </c>
      <c r="B91" s="1" t="s">
        <v>19</v>
      </c>
      <c r="C91" s="1" t="s">
        <v>20</v>
      </c>
      <c r="D91" s="1" t="s">
        <v>16</v>
      </c>
      <c r="E91" s="1" t="s">
        <v>589</v>
      </c>
      <c r="F91" s="3">
        <v>11192</v>
      </c>
      <c r="G91" s="1" t="s">
        <v>17</v>
      </c>
      <c r="H91" s="29" t="s">
        <v>161</v>
      </c>
      <c r="I91" s="1">
        <v>6156</v>
      </c>
      <c r="J91" s="1">
        <v>6686660</v>
      </c>
      <c r="K91" s="1" t="str">
        <f>CONCATENATE(E91,I91,J91)</f>
        <v>3054724233161566686660</v>
      </c>
      <c r="L91" s="4">
        <v>21</v>
      </c>
      <c r="M91" s="5">
        <v>0</v>
      </c>
      <c r="N91" s="5">
        <v>6431.58</v>
      </c>
      <c r="O91" s="5">
        <v>1350.63</v>
      </c>
      <c r="P91" s="5">
        <v>7910.84</v>
      </c>
      <c r="Q91" s="28"/>
    </row>
    <row r="92" spans="1:17" s="35" customFormat="1" x14ac:dyDescent="0.25">
      <c r="A92" s="21">
        <v>45387</v>
      </c>
      <c r="B92" s="22" t="s">
        <v>162</v>
      </c>
      <c r="C92" s="22" t="s">
        <v>163</v>
      </c>
      <c r="D92" s="22" t="s">
        <v>16</v>
      </c>
      <c r="E92" s="22" t="s">
        <v>630</v>
      </c>
      <c r="F92" s="23">
        <v>11378</v>
      </c>
      <c r="G92" s="22" t="s">
        <v>17</v>
      </c>
      <c r="H92" s="22" t="s">
        <v>164</v>
      </c>
      <c r="I92" s="22">
        <v>2024</v>
      </c>
      <c r="J92" s="22">
        <v>5042024</v>
      </c>
      <c r="K92" s="22" t="str">
        <f>CONCATENATE(E92,I92,J92)</f>
        <v>3050000173520245042024</v>
      </c>
      <c r="L92" s="24">
        <v>10.5</v>
      </c>
      <c r="M92" s="25">
        <v>3697.74</v>
      </c>
      <c r="N92" s="25">
        <v>215864.07</v>
      </c>
      <c r="O92" s="25">
        <v>22665.73</v>
      </c>
      <c r="P92" s="25">
        <v>246544.82</v>
      </c>
      <c r="Q92" s="28"/>
    </row>
    <row r="93" spans="1:17" s="35" customFormat="1" x14ac:dyDescent="0.25">
      <c r="A93" s="2">
        <v>45387</v>
      </c>
      <c r="B93" s="1" t="s">
        <v>165</v>
      </c>
      <c r="C93" s="1" t="s">
        <v>166</v>
      </c>
      <c r="D93" s="1" t="s">
        <v>16</v>
      </c>
      <c r="E93" s="1" t="s">
        <v>631</v>
      </c>
      <c r="F93" s="3">
        <v>11314</v>
      </c>
      <c r="G93" s="1" t="s">
        <v>17</v>
      </c>
      <c r="H93" s="29" t="s">
        <v>167</v>
      </c>
      <c r="I93" s="1">
        <v>2</v>
      </c>
      <c r="J93" s="1">
        <v>951</v>
      </c>
      <c r="K93" s="1" t="str">
        <f>CONCATENATE(E93,I93,J93)</f>
        <v>232559462692951</v>
      </c>
      <c r="L93" s="4">
        <v>21</v>
      </c>
      <c r="M93" s="5">
        <v>0</v>
      </c>
      <c r="N93" s="5">
        <v>300000</v>
      </c>
      <c r="O93" s="5">
        <v>63000</v>
      </c>
      <c r="P93" s="5">
        <v>363000</v>
      </c>
      <c r="Q93" s="28"/>
    </row>
    <row r="94" spans="1:17" s="35" customFormat="1" x14ac:dyDescent="0.25">
      <c r="A94" s="2">
        <v>45387</v>
      </c>
      <c r="B94" s="1" t="s">
        <v>165</v>
      </c>
      <c r="C94" s="1" t="s">
        <v>166</v>
      </c>
      <c r="D94" s="1" t="s">
        <v>16</v>
      </c>
      <c r="E94" s="1" t="s">
        <v>631</v>
      </c>
      <c r="F94" s="3">
        <v>11313</v>
      </c>
      <c r="G94" s="1" t="s">
        <v>17</v>
      </c>
      <c r="H94" s="29" t="s">
        <v>168</v>
      </c>
      <c r="I94" s="1">
        <v>2</v>
      </c>
      <c r="J94" s="1">
        <v>952</v>
      </c>
      <c r="K94" s="1" t="str">
        <f>CONCATENATE(E94,I94,J94)</f>
        <v>232559462692952</v>
      </c>
      <c r="L94" s="4">
        <v>21</v>
      </c>
      <c r="M94" s="5">
        <v>0</v>
      </c>
      <c r="N94" s="5">
        <v>180000</v>
      </c>
      <c r="O94" s="5">
        <v>37800</v>
      </c>
      <c r="P94" s="5">
        <v>217800</v>
      </c>
      <c r="Q94" s="28"/>
    </row>
    <row r="95" spans="1:17" s="35" customFormat="1" x14ac:dyDescent="0.25">
      <c r="A95" s="2">
        <v>45387</v>
      </c>
      <c r="B95" s="1" t="s">
        <v>169</v>
      </c>
      <c r="C95" s="1" t="s">
        <v>170</v>
      </c>
      <c r="D95" s="1" t="s">
        <v>16</v>
      </c>
      <c r="E95" s="1" t="s">
        <v>632</v>
      </c>
      <c r="F95" s="3">
        <v>11323</v>
      </c>
      <c r="G95" s="1" t="s">
        <v>17</v>
      </c>
      <c r="H95" s="29" t="s">
        <v>171</v>
      </c>
      <c r="I95" s="1">
        <v>3</v>
      </c>
      <c r="J95" s="1">
        <v>1101</v>
      </c>
      <c r="K95" s="1" t="str">
        <f>CONCATENATE(E95,I95,J95)</f>
        <v>3071192859231101</v>
      </c>
      <c r="L95" s="4">
        <v>10.5</v>
      </c>
      <c r="M95" s="5">
        <v>0</v>
      </c>
      <c r="N95" s="5">
        <v>1752000</v>
      </c>
      <c r="O95" s="5">
        <v>183960</v>
      </c>
      <c r="P95" s="5">
        <v>1935960</v>
      </c>
      <c r="Q95" s="28"/>
    </row>
    <row r="96" spans="1:17" s="35" customFormat="1" x14ac:dyDescent="0.25">
      <c r="A96" s="30">
        <v>45387</v>
      </c>
      <c r="B96" s="31" t="s">
        <v>68</v>
      </c>
      <c r="C96" s="31" t="s">
        <v>69</v>
      </c>
      <c r="D96" s="31" t="s">
        <v>16</v>
      </c>
      <c r="E96" s="31" t="s">
        <v>603</v>
      </c>
      <c r="F96" s="32">
        <v>11794</v>
      </c>
      <c r="G96" s="31" t="s">
        <v>17</v>
      </c>
      <c r="H96" s="31" t="s">
        <v>172</v>
      </c>
      <c r="I96" s="31">
        <v>3</v>
      </c>
      <c r="J96" s="31">
        <v>5146</v>
      </c>
      <c r="K96" s="31" t="str">
        <f>CONCATENATE(E96,I96,J96)</f>
        <v>3070848113735146</v>
      </c>
      <c r="L96" s="33">
        <v>3</v>
      </c>
      <c r="M96" s="34">
        <v>0</v>
      </c>
      <c r="N96" s="34">
        <v>0</v>
      </c>
      <c r="O96" s="34">
        <v>228801.19</v>
      </c>
      <c r="P96" s="34">
        <v>0</v>
      </c>
      <c r="Q96" s="28"/>
    </row>
    <row r="97" spans="1:17" s="35" customFormat="1" x14ac:dyDescent="0.25">
      <c r="A97" s="2">
        <v>45387</v>
      </c>
      <c r="B97" s="1" t="s">
        <v>68</v>
      </c>
      <c r="C97" s="1" t="s">
        <v>69</v>
      </c>
      <c r="D97" s="1" t="s">
        <v>16</v>
      </c>
      <c r="E97" s="1" t="s">
        <v>603</v>
      </c>
      <c r="F97" s="3">
        <v>11794</v>
      </c>
      <c r="G97" s="1" t="s">
        <v>17</v>
      </c>
      <c r="H97" s="29" t="s">
        <v>172</v>
      </c>
      <c r="I97" s="1">
        <v>3</v>
      </c>
      <c r="J97" s="1">
        <v>5146</v>
      </c>
      <c r="K97" s="1" t="str">
        <f>CONCATENATE(E97,I97,J97)</f>
        <v>3070848113735146</v>
      </c>
      <c r="L97" s="4">
        <v>21</v>
      </c>
      <c r="M97" s="5">
        <v>0</v>
      </c>
      <c r="N97" s="5">
        <v>7626706.2000000002</v>
      </c>
      <c r="O97" s="5">
        <v>1601608.3</v>
      </c>
      <c r="P97" s="5">
        <v>9457115.6899999995</v>
      </c>
      <c r="Q97" s="28"/>
    </row>
    <row r="98" spans="1:17" s="42" customFormat="1" x14ac:dyDescent="0.25">
      <c r="A98" s="37">
        <v>45387</v>
      </c>
      <c r="B98" s="38" t="s">
        <v>173</v>
      </c>
      <c r="C98" s="38" t="s">
        <v>174</v>
      </c>
      <c r="D98" s="38" t="s">
        <v>16</v>
      </c>
      <c r="E98" s="38" t="s">
        <v>633</v>
      </c>
      <c r="F98" s="39">
        <v>11149</v>
      </c>
      <c r="G98" s="38" t="s">
        <v>17</v>
      </c>
      <c r="H98" s="38" t="s">
        <v>175</v>
      </c>
      <c r="I98" s="38">
        <v>17</v>
      </c>
      <c r="J98" s="38">
        <v>7677</v>
      </c>
      <c r="K98" s="38" t="str">
        <f>CONCATENATE(E98,I98,J98)</f>
        <v>30645722937177677</v>
      </c>
      <c r="L98" s="40">
        <v>21</v>
      </c>
      <c r="M98" s="41">
        <v>1541.49</v>
      </c>
      <c r="N98" s="41">
        <v>47486.69</v>
      </c>
      <c r="O98" s="41">
        <v>9972.2000000000007</v>
      </c>
      <c r="P98" s="41">
        <v>59000.38</v>
      </c>
    </row>
    <row r="99" spans="1:17" s="35" customFormat="1" x14ac:dyDescent="0.25">
      <c r="A99" s="30">
        <v>45387</v>
      </c>
      <c r="B99" s="31" t="s">
        <v>176</v>
      </c>
      <c r="C99" s="31" t="s">
        <v>177</v>
      </c>
      <c r="D99" s="31" t="s">
        <v>16</v>
      </c>
      <c r="E99" s="31" t="s">
        <v>634</v>
      </c>
      <c r="F99" s="32">
        <v>11324</v>
      </c>
      <c r="G99" s="31" t="s">
        <v>17</v>
      </c>
      <c r="H99" s="31" t="s">
        <v>178</v>
      </c>
      <c r="I99" s="31">
        <v>63</v>
      </c>
      <c r="J99" s="31">
        <v>65226</v>
      </c>
      <c r="K99" s="31" t="str">
        <f>CONCATENATE(E99,I99,J99)</f>
        <v>305038616386365226</v>
      </c>
      <c r="L99" s="33">
        <v>3</v>
      </c>
      <c r="M99" s="34">
        <v>0</v>
      </c>
      <c r="N99" s="34">
        <v>0</v>
      </c>
      <c r="O99" s="34">
        <v>11484.76</v>
      </c>
      <c r="P99" s="34">
        <v>0</v>
      </c>
      <c r="Q99" s="28"/>
    </row>
    <row r="100" spans="1:17" s="35" customFormat="1" x14ac:dyDescent="0.25">
      <c r="A100" s="2">
        <v>45387</v>
      </c>
      <c r="B100" s="1" t="s">
        <v>176</v>
      </c>
      <c r="C100" s="1" t="s">
        <v>177</v>
      </c>
      <c r="D100" s="1" t="s">
        <v>16</v>
      </c>
      <c r="E100" s="1" t="s">
        <v>634</v>
      </c>
      <c r="F100" s="3">
        <v>11324</v>
      </c>
      <c r="G100" s="1" t="s">
        <v>17</v>
      </c>
      <c r="H100" s="29" t="s">
        <v>178</v>
      </c>
      <c r="I100" s="1">
        <v>63</v>
      </c>
      <c r="J100" s="1">
        <v>65226</v>
      </c>
      <c r="K100" s="1" t="str">
        <f>CONCATENATE(E100,I100,J100)</f>
        <v>305038616386365226</v>
      </c>
      <c r="L100" s="4">
        <v>21</v>
      </c>
      <c r="M100" s="5">
        <v>0</v>
      </c>
      <c r="N100" s="5">
        <v>382825.28</v>
      </c>
      <c r="O100" s="5">
        <v>80393.31</v>
      </c>
      <c r="P100" s="5">
        <v>482359.86</v>
      </c>
      <c r="Q100" s="28"/>
    </row>
    <row r="101" spans="1:17" s="35" customFormat="1" x14ac:dyDescent="0.25">
      <c r="A101" s="30">
        <v>45387</v>
      </c>
      <c r="B101" s="31" t="s">
        <v>179</v>
      </c>
      <c r="C101" s="31" t="s">
        <v>180</v>
      </c>
      <c r="D101" s="31" t="s">
        <v>16</v>
      </c>
      <c r="E101" s="31" t="s">
        <v>635</v>
      </c>
      <c r="F101" s="32">
        <v>11329</v>
      </c>
      <c r="G101" s="31" t="s">
        <v>17</v>
      </c>
      <c r="H101" s="31" t="s">
        <v>181</v>
      </c>
      <c r="I101" s="31">
        <v>2002</v>
      </c>
      <c r="J101" s="31">
        <v>282190</v>
      </c>
      <c r="K101" s="31" t="str">
        <f>CONCATENATE(E101,I101,J101)</f>
        <v>305007682622002282190</v>
      </c>
      <c r="L101" s="33">
        <v>3</v>
      </c>
      <c r="M101" s="34">
        <v>0</v>
      </c>
      <c r="N101" s="34">
        <v>0</v>
      </c>
      <c r="O101" s="34">
        <v>249163.17</v>
      </c>
      <c r="P101" s="34">
        <v>0</v>
      </c>
      <c r="Q101" s="28"/>
    </row>
    <row r="102" spans="1:17" s="35" customFormat="1" x14ac:dyDescent="0.25">
      <c r="A102" s="2">
        <v>45387</v>
      </c>
      <c r="B102" s="1" t="s">
        <v>179</v>
      </c>
      <c r="C102" s="1" t="s">
        <v>180</v>
      </c>
      <c r="D102" s="1" t="s">
        <v>16</v>
      </c>
      <c r="E102" s="1" t="s">
        <v>635</v>
      </c>
      <c r="F102" s="3">
        <v>11329</v>
      </c>
      <c r="G102" s="1" t="s">
        <v>17</v>
      </c>
      <c r="H102" s="29" t="s">
        <v>181</v>
      </c>
      <c r="I102" s="1">
        <v>2002</v>
      </c>
      <c r="J102" s="1">
        <v>282190</v>
      </c>
      <c r="K102" s="1" t="str">
        <f>CONCATENATE(E102,I102,J102)</f>
        <v>305007682622002282190</v>
      </c>
      <c r="L102" s="4">
        <v>21</v>
      </c>
      <c r="M102" s="5">
        <v>0</v>
      </c>
      <c r="N102" s="5">
        <v>8305439.1600000001</v>
      </c>
      <c r="O102" s="5">
        <v>1744142.22</v>
      </c>
      <c r="P102" s="5">
        <v>10714016.51</v>
      </c>
      <c r="Q102" s="28"/>
    </row>
    <row r="103" spans="1:17" s="35" customFormat="1" x14ac:dyDescent="0.25">
      <c r="A103" s="30">
        <v>45388</v>
      </c>
      <c r="B103" s="31" t="s">
        <v>182</v>
      </c>
      <c r="C103" s="31" t="s">
        <v>183</v>
      </c>
      <c r="D103" s="31" t="s">
        <v>16</v>
      </c>
      <c r="E103" s="31" t="s">
        <v>636</v>
      </c>
      <c r="F103" s="32">
        <v>11325</v>
      </c>
      <c r="G103" s="31" t="s">
        <v>17</v>
      </c>
      <c r="H103" s="31" t="s">
        <v>184</v>
      </c>
      <c r="I103" s="31">
        <v>43</v>
      </c>
      <c r="J103" s="31">
        <v>290572</v>
      </c>
      <c r="K103" s="31" t="str">
        <f>CONCATENATE(E103,I103,J103)</f>
        <v>3050097982443290572</v>
      </c>
      <c r="L103" s="33">
        <v>3</v>
      </c>
      <c r="M103" s="34">
        <v>0</v>
      </c>
      <c r="N103" s="34">
        <v>0</v>
      </c>
      <c r="O103" s="34">
        <v>13904.77</v>
      </c>
      <c r="P103" s="34">
        <v>0</v>
      </c>
      <c r="Q103" s="28"/>
    </row>
    <row r="104" spans="1:17" s="35" customFormat="1" x14ac:dyDescent="0.25">
      <c r="A104" s="2">
        <v>45388</v>
      </c>
      <c r="B104" s="1" t="s">
        <v>182</v>
      </c>
      <c r="C104" s="1" t="s">
        <v>183</v>
      </c>
      <c r="D104" s="1" t="s">
        <v>16</v>
      </c>
      <c r="E104" s="1" t="s">
        <v>636</v>
      </c>
      <c r="F104" s="3">
        <v>11325</v>
      </c>
      <c r="G104" s="1" t="s">
        <v>17</v>
      </c>
      <c r="H104" s="29" t="s">
        <v>184</v>
      </c>
      <c r="I104" s="1">
        <v>43</v>
      </c>
      <c r="J104" s="1">
        <v>290572</v>
      </c>
      <c r="K104" s="1" t="str">
        <f>CONCATENATE(E104,I104,J104)</f>
        <v>3050097982443290572</v>
      </c>
      <c r="L104" s="4">
        <v>21</v>
      </c>
      <c r="M104" s="5">
        <v>0</v>
      </c>
      <c r="N104" s="5">
        <v>463492.48</v>
      </c>
      <c r="O104" s="5">
        <v>97333.42</v>
      </c>
      <c r="P104" s="5">
        <v>597905.29</v>
      </c>
      <c r="Q104" s="28"/>
    </row>
    <row r="105" spans="1:17" s="35" customFormat="1" x14ac:dyDescent="0.25">
      <c r="A105" s="30">
        <v>45388</v>
      </c>
      <c r="B105" s="31" t="s">
        <v>185</v>
      </c>
      <c r="C105" s="31" t="s">
        <v>186</v>
      </c>
      <c r="D105" s="31" t="s">
        <v>16</v>
      </c>
      <c r="E105" s="31" t="s">
        <v>637</v>
      </c>
      <c r="F105" s="32">
        <v>11328</v>
      </c>
      <c r="G105" s="31" t="s">
        <v>17</v>
      </c>
      <c r="H105" s="31" t="s">
        <v>187</v>
      </c>
      <c r="I105" s="31">
        <v>622</v>
      </c>
      <c r="J105" s="31">
        <v>266229</v>
      </c>
      <c r="K105" s="31" t="str">
        <f>CONCATENATE(E105,I105,J105)</f>
        <v>30682032630622266229</v>
      </c>
      <c r="L105" s="33">
        <v>3</v>
      </c>
      <c r="M105" s="34">
        <v>0</v>
      </c>
      <c r="N105" s="34">
        <v>0</v>
      </c>
      <c r="O105" s="34">
        <v>14415.86</v>
      </c>
      <c r="P105" s="34">
        <v>0</v>
      </c>
      <c r="Q105" s="28"/>
    </row>
    <row r="106" spans="1:17" s="35" customFormat="1" x14ac:dyDescent="0.25">
      <c r="A106" s="2">
        <v>45388</v>
      </c>
      <c r="B106" s="1" t="s">
        <v>185</v>
      </c>
      <c r="C106" s="1" t="s">
        <v>186</v>
      </c>
      <c r="D106" s="1" t="s">
        <v>16</v>
      </c>
      <c r="E106" s="1" t="s">
        <v>637</v>
      </c>
      <c r="F106" s="3">
        <v>11328</v>
      </c>
      <c r="G106" s="1" t="s">
        <v>17</v>
      </c>
      <c r="H106" s="29" t="s">
        <v>187</v>
      </c>
      <c r="I106" s="1">
        <v>622</v>
      </c>
      <c r="J106" s="1">
        <v>266229</v>
      </c>
      <c r="K106" s="1" t="str">
        <f>CONCATENATE(E106,I106,J106)</f>
        <v>30682032630622266229</v>
      </c>
      <c r="L106" s="4">
        <v>21</v>
      </c>
      <c r="M106" s="5">
        <v>0</v>
      </c>
      <c r="N106" s="5">
        <v>480528.58</v>
      </c>
      <c r="O106" s="5">
        <v>100911</v>
      </c>
      <c r="P106" s="5">
        <v>619881.87</v>
      </c>
      <c r="Q106" s="28"/>
    </row>
    <row r="107" spans="1:17" s="35" customFormat="1" x14ac:dyDescent="0.25">
      <c r="A107" s="2">
        <v>45388</v>
      </c>
      <c r="B107" s="1" t="s">
        <v>30</v>
      </c>
      <c r="C107" s="1" t="s">
        <v>31</v>
      </c>
      <c r="D107" s="1" t="s">
        <v>16</v>
      </c>
      <c r="E107" s="1" t="s">
        <v>592</v>
      </c>
      <c r="F107" s="3">
        <v>11775</v>
      </c>
      <c r="G107" s="1" t="s">
        <v>17</v>
      </c>
      <c r="H107" s="29" t="s">
        <v>1078</v>
      </c>
      <c r="I107" s="1">
        <v>7294</v>
      </c>
      <c r="J107" s="1">
        <v>28672</v>
      </c>
      <c r="K107" s="1" t="str">
        <f>CONCATENATE(E107,I107,J107)</f>
        <v>30678774495729428672</v>
      </c>
      <c r="L107" s="4">
        <v>21</v>
      </c>
      <c r="M107" s="5">
        <v>5857.79</v>
      </c>
      <c r="N107" s="5">
        <v>42288.6</v>
      </c>
      <c r="O107" s="5">
        <v>8880.61</v>
      </c>
      <c r="P107" s="5">
        <v>57989.93</v>
      </c>
      <c r="Q107" s="28"/>
    </row>
    <row r="108" spans="1:17" s="35" customFormat="1" x14ac:dyDescent="0.25">
      <c r="A108" s="30">
        <v>45390</v>
      </c>
      <c r="B108" s="31" t="s">
        <v>123</v>
      </c>
      <c r="C108" s="31" t="s">
        <v>124</v>
      </c>
      <c r="D108" s="31" t="s">
        <v>16</v>
      </c>
      <c r="E108" s="31" t="s">
        <v>618</v>
      </c>
      <c r="F108" s="32">
        <v>11731</v>
      </c>
      <c r="G108" s="31" t="s">
        <v>17</v>
      </c>
      <c r="H108" s="31" t="s">
        <v>188</v>
      </c>
      <c r="I108" s="31">
        <v>2024</v>
      </c>
      <c r="J108" s="31">
        <v>937602</v>
      </c>
      <c r="K108" s="31" t="str">
        <f>CONCATENATE(E108,I108,J108)</f>
        <v>305000084542024937602</v>
      </c>
      <c r="L108" s="33">
        <v>1.5</v>
      </c>
      <c r="M108" s="34">
        <v>0</v>
      </c>
      <c r="N108" s="34">
        <v>0</v>
      </c>
      <c r="O108" s="34">
        <v>3674.27</v>
      </c>
      <c r="P108" s="34">
        <v>0</v>
      </c>
      <c r="Q108" s="28"/>
    </row>
    <row r="109" spans="1:17" s="35" customFormat="1" x14ac:dyDescent="0.25">
      <c r="A109" s="21">
        <v>45390</v>
      </c>
      <c r="B109" s="22" t="s">
        <v>123</v>
      </c>
      <c r="C109" s="22" t="s">
        <v>124</v>
      </c>
      <c r="D109" s="22" t="s">
        <v>16</v>
      </c>
      <c r="E109" s="22" t="s">
        <v>618</v>
      </c>
      <c r="F109" s="23">
        <v>11731</v>
      </c>
      <c r="G109" s="22" t="s">
        <v>17</v>
      </c>
      <c r="H109" s="22" t="s">
        <v>188</v>
      </c>
      <c r="I109" s="22">
        <v>2024</v>
      </c>
      <c r="J109" s="22">
        <v>937602</v>
      </c>
      <c r="K109" s="22" t="str">
        <f>CONCATENATE(E109,I109,J109)</f>
        <v>305000084542024937602</v>
      </c>
      <c r="L109" s="24">
        <v>10.5</v>
      </c>
      <c r="M109" s="25">
        <v>1039695.05</v>
      </c>
      <c r="N109" s="25">
        <v>247519.37</v>
      </c>
      <c r="O109" s="25">
        <v>25989.53</v>
      </c>
      <c r="P109" s="25">
        <v>1321828.6100000001</v>
      </c>
      <c r="Q109" s="28"/>
    </row>
    <row r="110" spans="1:17" s="35" customFormat="1" x14ac:dyDescent="0.25">
      <c r="A110" s="30">
        <v>45390</v>
      </c>
      <c r="B110" s="31" t="s">
        <v>123</v>
      </c>
      <c r="C110" s="31" t="s">
        <v>124</v>
      </c>
      <c r="D110" s="31" t="s">
        <v>16</v>
      </c>
      <c r="E110" s="31" t="s">
        <v>618</v>
      </c>
      <c r="F110" s="32">
        <v>11745</v>
      </c>
      <c r="G110" s="31" t="s">
        <v>17</v>
      </c>
      <c r="H110" s="31" t="s">
        <v>189</v>
      </c>
      <c r="I110" s="31">
        <v>2024</v>
      </c>
      <c r="J110" s="31">
        <v>9833844</v>
      </c>
      <c r="K110" s="31" t="str">
        <f>CONCATENATE(E110,I110,J110)</f>
        <v>3050000845420249833844</v>
      </c>
      <c r="L110" s="33">
        <v>1.5</v>
      </c>
      <c r="M110" s="34">
        <v>0</v>
      </c>
      <c r="N110" s="34">
        <v>0</v>
      </c>
      <c r="O110" s="34">
        <v>7658.03</v>
      </c>
      <c r="P110" s="34">
        <v>0</v>
      </c>
      <c r="Q110" s="28"/>
    </row>
    <row r="111" spans="1:17" s="35" customFormat="1" x14ac:dyDescent="0.25">
      <c r="A111" s="21">
        <v>45390</v>
      </c>
      <c r="B111" s="22" t="s">
        <v>123</v>
      </c>
      <c r="C111" s="22" t="s">
        <v>124</v>
      </c>
      <c r="D111" s="22" t="s">
        <v>16</v>
      </c>
      <c r="E111" s="22" t="s">
        <v>618</v>
      </c>
      <c r="F111" s="23">
        <v>11745</v>
      </c>
      <c r="G111" s="22" t="s">
        <v>17</v>
      </c>
      <c r="H111" s="22" t="s">
        <v>189</v>
      </c>
      <c r="I111" s="22">
        <v>2024</v>
      </c>
      <c r="J111" s="22">
        <v>9833844</v>
      </c>
      <c r="K111" s="22" t="str">
        <f>CONCATENATE(E111,I111,J111)</f>
        <v>3050000845420249833844</v>
      </c>
      <c r="L111" s="24">
        <v>10.5</v>
      </c>
      <c r="M111" s="25">
        <v>23794.2</v>
      </c>
      <c r="N111" s="25">
        <v>510943.2</v>
      </c>
      <c r="O111" s="25">
        <v>53649.04</v>
      </c>
      <c r="P111" s="25">
        <v>606263.34</v>
      </c>
      <c r="Q111" s="28"/>
    </row>
    <row r="112" spans="1:17" s="35" customFormat="1" x14ac:dyDescent="0.25">
      <c r="A112" s="2">
        <v>45390</v>
      </c>
      <c r="B112" s="1" t="s">
        <v>190</v>
      </c>
      <c r="C112" s="1" t="s">
        <v>191</v>
      </c>
      <c r="D112" s="1" t="s">
        <v>16</v>
      </c>
      <c r="E112" s="1" t="s">
        <v>638</v>
      </c>
      <c r="F112" s="3">
        <v>11293</v>
      </c>
      <c r="G112" s="1" t="s">
        <v>17</v>
      </c>
      <c r="H112" s="29" t="s">
        <v>192</v>
      </c>
      <c r="I112" s="1">
        <v>1</v>
      </c>
      <c r="J112" s="1">
        <v>773</v>
      </c>
      <c r="K112" s="1" t="str">
        <f>CONCATENATE(E112,I112,J112)</f>
        <v>307150480661773</v>
      </c>
      <c r="L112" s="4">
        <v>21</v>
      </c>
      <c r="M112" s="5">
        <v>0</v>
      </c>
      <c r="N112" s="5">
        <v>4710744.5</v>
      </c>
      <c r="O112" s="5">
        <v>989256.35</v>
      </c>
      <c r="P112" s="5">
        <v>5700000.8499999996</v>
      </c>
      <c r="Q112" s="28"/>
    </row>
    <row r="113" spans="1:17" s="35" customFormat="1" x14ac:dyDescent="0.25">
      <c r="A113" s="2">
        <v>45390</v>
      </c>
      <c r="B113" s="1" t="s">
        <v>193</v>
      </c>
      <c r="C113" s="1" t="s">
        <v>194</v>
      </c>
      <c r="D113" s="1" t="s">
        <v>16</v>
      </c>
      <c r="E113" s="1" t="s">
        <v>639</v>
      </c>
      <c r="F113" s="3">
        <v>11814</v>
      </c>
      <c r="G113" s="1" t="s">
        <v>17</v>
      </c>
      <c r="H113" s="29" t="s">
        <v>195</v>
      </c>
      <c r="I113" s="1">
        <v>2</v>
      </c>
      <c r="J113" s="1">
        <v>36</v>
      </c>
      <c r="K113" s="1" t="str">
        <f>CONCATENATE(E113,I113,J113)</f>
        <v>20200362951236</v>
      </c>
      <c r="L113" s="4">
        <v>21</v>
      </c>
      <c r="M113" s="5">
        <v>0</v>
      </c>
      <c r="N113" s="5">
        <v>185000</v>
      </c>
      <c r="O113" s="5">
        <v>38850</v>
      </c>
      <c r="P113" s="5">
        <v>223850</v>
      </c>
      <c r="Q113" s="28"/>
    </row>
    <row r="114" spans="1:17" s="35" customFormat="1" x14ac:dyDescent="0.25">
      <c r="A114" s="2">
        <v>45390</v>
      </c>
      <c r="B114" s="1" t="s">
        <v>196</v>
      </c>
      <c r="C114" s="1" t="s">
        <v>197</v>
      </c>
      <c r="D114" s="1" t="s">
        <v>16</v>
      </c>
      <c r="E114" s="1" t="s">
        <v>640</v>
      </c>
      <c r="F114" s="3">
        <v>11319</v>
      </c>
      <c r="G114" s="1" t="s">
        <v>17</v>
      </c>
      <c r="H114" s="29" t="s">
        <v>198</v>
      </c>
      <c r="I114" s="1">
        <v>3</v>
      </c>
      <c r="J114" s="1">
        <v>1360</v>
      </c>
      <c r="K114" s="1" t="str">
        <f>CONCATENATE(E114,I114,J114)</f>
        <v>3071474643631360</v>
      </c>
      <c r="L114" s="4">
        <v>21</v>
      </c>
      <c r="M114" s="5">
        <v>0</v>
      </c>
      <c r="N114" s="5">
        <v>2695114.82</v>
      </c>
      <c r="O114" s="5">
        <v>565974.11</v>
      </c>
      <c r="P114" s="5">
        <v>3261088.93</v>
      </c>
      <c r="Q114" s="28"/>
    </row>
    <row r="115" spans="1:17" s="35" customFormat="1" x14ac:dyDescent="0.25">
      <c r="A115" s="2">
        <v>45390</v>
      </c>
      <c r="B115" s="1" t="s">
        <v>199</v>
      </c>
      <c r="C115" s="1" t="s">
        <v>200</v>
      </c>
      <c r="D115" s="1" t="s">
        <v>16</v>
      </c>
      <c r="E115" s="1" t="s">
        <v>641</v>
      </c>
      <c r="F115" s="3">
        <v>11272</v>
      </c>
      <c r="G115" s="1" t="s">
        <v>17</v>
      </c>
      <c r="H115" s="29" t="s">
        <v>201</v>
      </c>
      <c r="I115" s="1">
        <v>3</v>
      </c>
      <c r="J115" s="1">
        <v>19368</v>
      </c>
      <c r="K115" s="1" t="str">
        <f>CONCATENATE(E115,I115,J115)</f>
        <v>30715421557319368</v>
      </c>
      <c r="L115" s="4">
        <v>21</v>
      </c>
      <c r="M115" s="5">
        <v>2495</v>
      </c>
      <c r="N115" s="5">
        <v>97938.02</v>
      </c>
      <c r="O115" s="5">
        <v>20566.98</v>
      </c>
      <c r="P115" s="5">
        <v>121000</v>
      </c>
      <c r="Q115" s="28"/>
    </row>
    <row r="116" spans="1:17" s="35" customFormat="1" x14ac:dyDescent="0.25">
      <c r="A116" s="2">
        <v>45390</v>
      </c>
      <c r="B116" s="1" t="s">
        <v>202</v>
      </c>
      <c r="C116" s="1" t="s">
        <v>203</v>
      </c>
      <c r="D116" s="1" t="s">
        <v>16</v>
      </c>
      <c r="E116" s="1" t="s">
        <v>642</v>
      </c>
      <c r="F116" s="3">
        <v>11388</v>
      </c>
      <c r="G116" s="1" t="s">
        <v>17</v>
      </c>
      <c r="H116" s="29" t="s">
        <v>204</v>
      </c>
      <c r="I116" s="1">
        <v>3</v>
      </c>
      <c r="J116" s="1">
        <v>46892</v>
      </c>
      <c r="K116" s="1" t="str">
        <f>CONCATENATE(E116,I116,J116)</f>
        <v>30711497974346892</v>
      </c>
      <c r="L116" s="4">
        <v>21</v>
      </c>
      <c r="M116" s="5">
        <v>0</v>
      </c>
      <c r="N116" s="5">
        <v>1102391.25</v>
      </c>
      <c r="O116" s="5">
        <v>231502.16</v>
      </c>
      <c r="P116" s="5">
        <v>1333893.4099999999</v>
      </c>
      <c r="Q116" s="28"/>
    </row>
    <row r="117" spans="1:17" s="35" customFormat="1" x14ac:dyDescent="0.25">
      <c r="A117" s="30">
        <v>45390</v>
      </c>
      <c r="B117" s="31" t="s">
        <v>205</v>
      </c>
      <c r="C117" s="31" t="s">
        <v>206</v>
      </c>
      <c r="D117" s="31" t="s">
        <v>16</v>
      </c>
      <c r="E117" s="31" t="s">
        <v>643</v>
      </c>
      <c r="F117" s="32">
        <v>11396</v>
      </c>
      <c r="G117" s="31" t="s">
        <v>17</v>
      </c>
      <c r="H117" s="31" t="s">
        <v>207</v>
      </c>
      <c r="I117" s="31">
        <v>10</v>
      </c>
      <c r="J117" s="31">
        <v>153087</v>
      </c>
      <c r="K117" s="31" t="str">
        <f>CONCATENATE(E117,I117,J117)</f>
        <v>3064221935510153087</v>
      </c>
      <c r="L117" s="33">
        <v>3</v>
      </c>
      <c r="M117" s="34">
        <v>0</v>
      </c>
      <c r="N117" s="34">
        <v>0</v>
      </c>
      <c r="O117" s="34">
        <v>31173.63</v>
      </c>
      <c r="P117" s="34">
        <v>0</v>
      </c>
      <c r="Q117" s="28"/>
    </row>
    <row r="118" spans="1:17" s="35" customFormat="1" x14ac:dyDescent="0.25">
      <c r="A118" s="2">
        <v>45390</v>
      </c>
      <c r="B118" s="1" t="s">
        <v>205</v>
      </c>
      <c r="C118" s="1" t="s">
        <v>206</v>
      </c>
      <c r="D118" s="1" t="s">
        <v>16</v>
      </c>
      <c r="E118" s="1" t="s">
        <v>643</v>
      </c>
      <c r="F118" s="3">
        <v>11396</v>
      </c>
      <c r="G118" s="1" t="s">
        <v>17</v>
      </c>
      <c r="H118" s="29" t="s">
        <v>207</v>
      </c>
      <c r="I118" s="1">
        <v>10</v>
      </c>
      <c r="J118" s="1">
        <v>153087</v>
      </c>
      <c r="K118" s="1" t="str">
        <f>CONCATENATE(E118,I118,J118)</f>
        <v>3064221935510153087</v>
      </c>
      <c r="L118" s="4">
        <v>21</v>
      </c>
      <c r="M118" s="5">
        <v>0</v>
      </c>
      <c r="N118" s="5">
        <v>1039121</v>
      </c>
      <c r="O118" s="5">
        <v>218215.41</v>
      </c>
      <c r="P118" s="5">
        <v>1340466.0900000001</v>
      </c>
      <c r="Q118" s="28"/>
    </row>
    <row r="119" spans="1:17" s="35" customFormat="1" x14ac:dyDescent="0.25">
      <c r="A119" s="2">
        <v>45390</v>
      </c>
      <c r="B119" s="1" t="s">
        <v>208</v>
      </c>
      <c r="C119" s="1" t="s">
        <v>209</v>
      </c>
      <c r="D119" s="1" t="s">
        <v>16</v>
      </c>
      <c r="E119" s="1" t="s">
        <v>644</v>
      </c>
      <c r="F119" s="3">
        <v>11262</v>
      </c>
      <c r="G119" s="1" t="s">
        <v>17</v>
      </c>
      <c r="H119" s="29" t="s">
        <v>210</v>
      </c>
      <c r="I119" s="1">
        <v>18</v>
      </c>
      <c r="J119" s="1">
        <v>9788</v>
      </c>
      <c r="K119" s="1" t="str">
        <f>CONCATENATE(E119,I119,J119)</f>
        <v>30577649827189788</v>
      </c>
      <c r="L119" s="4">
        <v>21</v>
      </c>
      <c r="M119" s="5">
        <v>1963.65</v>
      </c>
      <c r="N119" s="5">
        <v>23170.58</v>
      </c>
      <c r="O119" s="5">
        <v>4865.82</v>
      </c>
      <c r="P119" s="5">
        <v>30502.73</v>
      </c>
      <c r="Q119" s="28"/>
    </row>
    <row r="120" spans="1:17" s="35" customFormat="1" x14ac:dyDescent="0.25">
      <c r="A120" s="30">
        <v>45390</v>
      </c>
      <c r="B120" s="31" t="s">
        <v>80</v>
      </c>
      <c r="C120" s="31" t="s">
        <v>81</v>
      </c>
      <c r="D120" s="31" t="s">
        <v>16</v>
      </c>
      <c r="E120" s="31" t="s">
        <v>607</v>
      </c>
      <c r="F120" s="32">
        <v>11326</v>
      </c>
      <c r="G120" s="31" t="s">
        <v>17</v>
      </c>
      <c r="H120" s="31" t="s">
        <v>211</v>
      </c>
      <c r="I120" s="31">
        <v>115</v>
      </c>
      <c r="J120" s="31">
        <v>140934</v>
      </c>
      <c r="K120" s="31" t="str">
        <f>CONCATENATE(E120,I120,J120)</f>
        <v>30629646708115140934</v>
      </c>
      <c r="L120" s="33">
        <v>3</v>
      </c>
      <c r="M120" s="34">
        <v>0</v>
      </c>
      <c r="N120" s="34">
        <v>0</v>
      </c>
      <c r="O120" s="34">
        <v>61325.19</v>
      </c>
      <c r="P120" s="34">
        <v>0</v>
      </c>
      <c r="Q120" s="28"/>
    </row>
    <row r="121" spans="1:17" s="35" customFormat="1" x14ac:dyDescent="0.25">
      <c r="A121" s="2">
        <v>45390</v>
      </c>
      <c r="B121" s="1" t="s">
        <v>80</v>
      </c>
      <c r="C121" s="1" t="s">
        <v>81</v>
      </c>
      <c r="D121" s="1" t="s">
        <v>16</v>
      </c>
      <c r="E121" s="1" t="s">
        <v>607</v>
      </c>
      <c r="F121" s="3">
        <v>11326</v>
      </c>
      <c r="G121" s="1" t="s">
        <v>17</v>
      </c>
      <c r="H121" s="29" t="s">
        <v>211</v>
      </c>
      <c r="I121" s="1">
        <v>115</v>
      </c>
      <c r="J121" s="1">
        <v>140934</v>
      </c>
      <c r="K121" s="1" t="str">
        <f>CONCATENATE(E121,I121,J121)</f>
        <v>30629646708115140934</v>
      </c>
      <c r="L121" s="4">
        <v>21</v>
      </c>
      <c r="M121" s="5">
        <v>0</v>
      </c>
      <c r="N121" s="5">
        <v>2044172.85</v>
      </c>
      <c r="O121" s="5">
        <v>429276.3</v>
      </c>
      <c r="P121" s="5">
        <v>2636982.9900000002</v>
      </c>
      <c r="Q121" s="28"/>
    </row>
    <row r="122" spans="1:17" s="35" customFormat="1" x14ac:dyDescent="0.25">
      <c r="A122" s="30">
        <v>45390</v>
      </c>
      <c r="B122" s="31" t="s">
        <v>219</v>
      </c>
      <c r="C122" s="31" t="s">
        <v>220</v>
      </c>
      <c r="D122" s="31" t="s">
        <v>16</v>
      </c>
      <c r="E122" s="31" t="s">
        <v>646</v>
      </c>
      <c r="F122" s="32">
        <v>11292</v>
      </c>
      <c r="G122" s="31" t="s">
        <v>21</v>
      </c>
      <c r="H122" s="31" t="s">
        <v>221</v>
      </c>
      <c r="I122" s="31">
        <v>667</v>
      </c>
      <c r="J122" s="31">
        <v>290371</v>
      </c>
      <c r="K122" s="31" t="str">
        <f>CONCATENATE(E122,I122,J122)</f>
        <v>30500858628667290371</v>
      </c>
      <c r="L122" s="33">
        <v>3</v>
      </c>
      <c r="M122" s="34">
        <v>0</v>
      </c>
      <c r="N122" s="34">
        <v>0</v>
      </c>
      <c r="O122" s="34">
        <v>-36000.01</v>
      </c>
      <c r="P122" s="34">
        <v>0</v>
      </c>
      <c r="Q122" s="28"/>
    </row>
    <row r="123" spans="1:17" s="35" customFormat="1" x14ac:dyDescent="0.25">
      <c r="A123" s="2">
        <v>45390</v>
      </c>
      <c r="B123" s="1" t="s">
        <v>219</v>
      </c>
      <c r="C123" s="1" t="s">
        <v>220</v>
      </c>
      <c r="D123" s="1" t="s">
        <v>16</v>
      </c>
      <c r="E123" s="1" t="s">
        <v>646</v>
      </c>
      <c r="F123" s="3">
        <v>11292</v>
      </c>
      <c r="G123" s="1" t="s">
        <v>21</v>
      </c>
      <c r="H123" s="29" t="s">
        <v>221</v>
      </c>
      <c r="I123" s="1">
        <v>667</v>
      </c>
      <c r="J123" s="1">
        <v>290371</v>
      </c>
      <c r="K123" s="1" t="str">
        <f>CONCATENATE(E123,I123,J123)</f>
        <v>30500858628667290371</v>
      </c>
      <c r="L123" s="4">
        <v>21</v>
      </c>
      <c r="M123" s="5">
        <v>0</v>
      </c>
      <c r="N123" s="5">
        <v>-1200000.01</v>
      </c>
      <c r="O123" s="5">
        <v>-251999.99</v>
      </c>
      <c r="P123" s="5">
        <v>-1488000.01</v>
      </c>
      <c r="Q123" s="28"/>
    </row>
    <row r="124" spans="1:17" s="35" customFormat="1" x14ac:dyDescent="0.25">
      <c r="A124" s="2">
        <v>45390</v>
      </c>
      <c r="B124" s="1" t="s">
        <v>212</v>
      </c>
      <c r="C124" s="1" t="s">
        <v>213</v>
      </c>
      <c r="D124" s="1" t="s">
        <v>16</v>
      </c>
      <c r="E124" s="1" t="s">
        <v>645</v>
      </c>
      <c r="F124" s="3">
        <v>11733</v>
      </c>
      <c r="G124" s="1" t="s">
        <v>17</v>
      </c>
      <c r="H124" s="29" t="s">
        <v>214</v>
      </c>
      <c r="I124" s="1">
        <v>700</v>
      </c>
      <c r="J124" s="1">
        <v>1585875</v>
      </c>
      <c r="K124" s="1" t="str">
        <f>CONCATENATE(E124,I124,J124)</f>
        <v>307158048127001585875</v>
      </c>
      <c r="L124" s="4">
        <v>21</v>
      </c>
      <c r="M124" s="5">
        <v>0</v>
      </c>
      <c r="N124" s="5">
        <v>702.48</v>
      </c>
      <c r="O124" s="5">
        <v>147.52000000000001</v>
      </c>
      <c r="P124" s="5">
        <v>850</v>
      </c>
      <c r="Q124" s="28"/>
    </row>
    <row r="125" spans="1:17" s="35" customFormat="1" x14ac:dyDescent="0.25">
      <c r="A125" s="2">
        <v>45390</v>
      </c>
      <c r="B125" s="1" t="s">
        <v>212</v>
      </c>
      <c r="C125" s="1" t="s">
        <v>213</v>
      </c>
      <c r="D125" s="1" t="s">
        <v>16</v>
      </c>
      <c r="E125" s="1" t="s">
        <v>645</v>
      </c>
      <c r="F125" s="3">
        <v>11734</v>
      </c>
      <c r="G125" s="1" t="s">
        <v>17</v>
      </c>
      <c r="H125" s="29" t="s">
        <v>215</v>
      </c>
      <c r="I125" s="1">
        <v>700</v>
      </c>
      <c r="J125" s="1">
        <v>1586173</v>
      </c>
      <c r="K125" s="1" t="str">
        <f>CONCATENATE(E125,I125,J125)</f>
        <v>307158048127001586173</v>
      </c>
      <c r="L125" s="4">
        <v>21</v>
      </c>
      <c r="M125" s="5">
        <v>0</v>
      </c>
      <c r="N125" s="5">
        <v>413.22</v>
      </c>
      <c r="O125" s="5">
        <v>86.78</v>
      </c>
      <c r="P125" s="5">
        <v>500</v>
      </c>
      <c r="Q125" s="28"/>
    </row>
    <row r="126" spans="1:17" s="35" customFormat="1" x14ac:dyDescent="0.25">
      <c r="A126" s="2">
        <v>45390</v>
      </c>
      <c r="B126" s="1" t="s">
        <v>212</v>
      </c>
      <c r="C126" s="1" t="s">
        <v>213</v>
      </c>
      <c r="D126" s="1" t="s">
        <v>16</v>
      </c>
      <c r="E126" s="1" t="s">
        <v>645</v>
      </c>
      <c r="F126" s="3">
        <v>11735</v>
      </c>
      <c r="G126" s="1" t="s">
        <v>17</v>
      </c>
      <c r="H126" s="29" t="s">
        <v>216</v>
      </c>
      <c r="I126" s="1">
        <v>700</v>
      </c>
      <c r="J126" s="1">
        <v>1603414</v>
      </c>
      <c r="K126" s="1" t="str">
        <f>CONCATENATE(E126,I126,J126)</f>
        <v>307158048127001603414</v>
      </c>
      <c r="L126" s="4">
        <v>21</v>
      </c>
      <c r="M126" s="5">
        <v>0</v>
      </c>
      <c r="N126" s="5">
        <v>2107.44</v>
      </c>
      <c r="O126" s="5">
        <v>442.56</v>
      </c>
      <c r="P126" s="5">
        <v>2550</v>
      </c>
      <c r="Q126" s="28"/>
    </row>
    <row r="127" spans="1:17" s="35" customFormat="1" x14ac:dyDescent="0.25">
      <c r="A127" s="30">
        <v>45390</v>
      </c>
      <c r="B127" s="31" t="s">
        <v>123</v>
      </c>
      <c r="C127" s="31" t="s">
        <v>124</v>
      </c>
      <c r="D127" s="31" t="s">
        <v>16</v>
      </c>
      <c r="E127" s="31" t="s">
        <v>618</v>
      </c>
      <c r="F127" s="32">
        <v>11762</v>
      </c>
      <c r="G127" s="31" t="s">
        <v>17</v>
      </c>
      <c r="H127" s="31" t="s">
        <v>217</v>
      </c>
      <c r="I127" s="31">
        <v>2024</v>
      </c>
      <c r="J127" s="31">
        <v>983384</v>
      </c>
      <c r="K127" s="31" t="str">
        <f>CONCATENATE(E127,I127,J127)</f>
        <v>305000084542024983384</v>
      </c>
      <c r="L127" s="33">
        <v>1.5</v>
      </c>
      <c r="M127" s="34">
        <v>0</v>
      </c>
      <c r="N127" s="34">
        <v>0</v>
      </c>
      <c r="O127" s="34">
        <v>502.2</v>
      </c>
      <c r="P127" s="34">
        <v>0</v>
      </c>
      <c r="Q127" s="28"/>
    </row>
    <row r="128" spans="1:17" s="35" customFormat="1" x14ac:dyDescent="0.25">
      <c r="A128" s="21">
        <v>45390</v>
      </c>
      <c r="B128" s="22" t="s">
        <v>123</v>
      </c>
      <c r="C128" s="22" t="s">
        <v>124</v>
      </c>
      <c r="D128" s="22" t="s">
        <v>16</v>
      </c>
      <c r="E128" s="22" t="s">
        <v>618</v>
      </c>
      <c r="F128" s="23">
        <v>11762</v>
      </c>
      <c r="G128" s="22" t="s">
        <v>17</v>
      </c>
      <c r="H128" s="22" t="s">
        <v>217</v>
      </c>
      <c r="I128" s="22">
        <v>2024</v>
      </c>
      <c r="J128" s="22">
        <v>983384</v>
      </c>
      <c r="K128" s="22" t="str">
        <f>CONCATENATE(E128,I128,J128)</f>
        <v>305000084542024983384</v>
      </c>
      <c r="L128" s="24">
        <v>10.5</v>
      </c>
      <c r="M128" s="25">
        <v>6438909.8200000003</v>
      </c>
      <c r="N128" s="25">
        <v>33480.129999999997</v>
      </c>
      <c r="O128" s="25">
        <v>3515.41</v>
      </c>
      <c r="P128" s="25">
        <v>6477077.1600000001</v>
      </c>
      <c r="Q128" s="28"/>
    </row>
    <row r="129" spans="1:17" s="35" customFormat="1" x14ac:dyDescent="0.25">
      <c r="A129" s="2">
        <v>45390</v>
      </c>
      <c r="B129" s="1" t="s">
        <v>110</v>
      </c>
      <c r="C129" s="1" t="s">
        <v>111</v>
      </c>
      <c r="D129" s="1" t="s">
        <v>112</v>
      </c>
      <c r="E129" s="1" t="s">
        <v>614</v>
      </c>
      <c r="F129" s="3">
        <v>11312</v>
      </c>
      <c r="G129" s="1" t="s">
        <v>17</v>
      </c>
      <c r="H129" s="1" t="s">
        <v>218</v>
      </c>
      <c r="I129" s="1">
        <v>1</v>
      </c>
      <c r="J129" s="1">
        <v>26</v>
      </c>
      <c r="K129" s="1" t="str">
        <f>CONCATENATE(E129,I129,J129)</f>
        <v>20345349600126</v>
      </c>
      <c r="L129" s="4">
        <v>0</v>
      </c>
      <c r="M129" s="5">
        <v>510700</v>
      </c>
      <c r="N129" s="5">
        <v>0</v>
      </c>
      <c r="O129" s="5">
        <v>0</v>
      </c>
      <c r="P129" s="5">
        <v>510700</v>
      </c>
      <c r="Q129" s="28"/>
    </row>
    <row r="130" spans="1:17" s="35" customFormat="1" x14ac:dyDescent="0.25">
      <c r="A130" s="30">
        <v>45391</v>
      </c>
      <c r="B130" s="31" t="s">
        <v>68</v>
      </c>
      <c r="C130" s="31" t="s">
        <v>69</v>
      </c>
      <c r="D130" s="31" t="s">
        <v>16</v>
      </c>
      <c r="E130" s="31" t="s">
        <v>603</v>
      </c>
      <c r="F130" s="32">
        <v>11795</v>
      </c>
      <c r="G130" s="31" t="s">
        <v>17</v>
      </c>
      <c r="H130" s="31" t="s">
        <v>222</v>
      </c>
      <c r="I130" s="31">
        <v>3</v>
      </c>
      <c r="J130" s="31">
        <v>5151</v>
      </c>
      <c r="K130" s="31" t="str">
        <f>CONCATENATE(E130,I130,J130)</f>
        <v>3070848113735151</v>
      </c>
      <c r="L130" s="33">
        <v>3</v>
      </c>
      <c r="M130" s="34">
        <v>0</v>
      </c>
      <c r="N130" s="34">
        <v>0</v>
      </c>
      <c r="O130" s="34">
        <v>70867.62</v>
      </c>
      <c r="P130" s="34">
        <v>0</v>
      </c>
      <c r="Q130" s="28"/>
    </row>
    <row r="131" spans="1:17" s="35" customFormat="1" x14ac:dyDescent="0.25">
      <c r="A131" s="2">
        <v>45391</v>
      </c>
      <c r="B131" s="1" t="s">
        <v>68</v>
      </c>
      <c r="C131" s="1" t="s">
        <v>69</v>
      </c>
      <c r="D131" s="1" t="s">
        <v>16</v>
      </c>
      <c r="E131" s="1" t="s">
        <v>603</v>
      </c>
      <c r="F131" s="3">
        <v>11795</v>
      </c>
      <c r="G131" s="1" t="s">
        <v>17</v>
      </c>
      <c r="H131" s="29" t="s">
        <v>222</v>
      </c>
      <c r="I131" s="1">
        <v>3</v>
      </c>
      <c r="J131" s="1">
        <v>5151</v>
      </c>
      <c r="K131" s="1" t="str">
        <f>CONCATENATE(E131,I131,J131)</f>
        <v>3070848113735151</v>
      </c>
      <c r="L131" s="4">
        <v>21</v>
      </c>
      <c r="M131" s="5">
        <v>0</v>
      </c>
      <c r="N131" s="5">
        <v>2362254.13</v>
      </c>
      <c r="O131" s="5">
        <v>496073.37</v>
      </c>
      <c r="P131" s="5">
        <v>2929195.12</v>
      </c>
      <c r="Q131" s="28"/>
    </row>
    <row r="132" spans="1:17" s="35" customFormat="1" x14ac:dyDescent="0.25">
      <c r="A132" s="2">
        <v>45391</v>
      </c>
      <c r="B132" s="1" t="s">
        <v>26</v>
      </c>
      <c r="C132" s="1" t="s">
        <v>27</v>
      </c>
      <c r="D132" s="1" t="s">
        <v>28</v>
      </c>
      <c r="E132" s="1" t="s">
        <v>591</v>
      </c>
      <c r="F132" s="3">
        <v>11487</v>
      </c>
      <c r="G132" s="1" t="s">
        <v>21</v>
      </c>
      <c r="H132" s="1" t="s">
        <v>240</v>
      </c>
      <c r="I132" s="1">
        <v>4</v>
      </c>
      <c r="J132" s="1">
        <v>295</v>
      </c>
      <c r="K132" s="1" t="str">
        <f>CONCATENATE(E132,I132,J132)</f>
        <v>202433486774295</v>
      </c>
      <c r="L132" s="4">
        <v>10.5</v>
      </c>
      <c r="M132" s="5">
        <v>0</v>
      </c>
      <c r="N132" s="5">
        <v>0</v>
      </c>
      <c r="O132" s="5">
        <v>-16881.900000000001</v>
      </c>
      <c r="P132" s="5">
        <v>0</v>
      </c>
      <c r="Q132" s="28"/>
    </row>
    <row r="133" spans="1:17" s="35" customFormat="1" x14ac:dyDescent="0.25">
      <c r="A133" s="2">
        <v>45391</v>
      </c>
      <c r="B133" s="1" t="s">
        <v>26</v>
      </c>
      <c r="C133" s="1" t="s">
        <v>27</v>
      </c>
      <c r="D133" s="1" t="s">
        <v>28</v>
      </c>
      <c r="E133" s="1" t="s">
        <v>591</v>
      </c>
      <c r="F133" s="3">
        <v>11487</v>
      </c>
      <c r="G133" s="1" t="s">
        <v>21</v>
      </c>
      <c r="H133" s="29" t="s">
        <v>240</v>
      </c>
      <c r="I133" s="1">
        <v>4</v>
      </c>
      <c r="J133" s="1">
        <v>295</v>
      </c>
      <c r="K133" s="1" t="str">
        <f>CONCATENATE(E133,I133,J133)</f>
        <v>202433486774295</v>
      </c>
      <c r="L133" s="4">
        <v>21</v>
      </c>
      <c r="M133" s="5">
        <v>0</v>
      </c>
      <c r="N133" s="5">
        <v>-204250</v>
      </c>
      <c r="O133" s="5">
        <v>-9128.7000000000007</v>
      </c>
      <c r="P133" s="5">
        <v>-230260.6</v>
      </c>
      <c r="Q133" s="28"/>
    </row>
    <row r="134" spans="1:17" s="35" customFormat="1" x14ac:dyDescent="0.25">
      <c r="A134" s="2">
        <v>45391</v>
      </c>
      <c r="B134" s="1" t="s">
        <v>26</v>
      </c>
      <c r="C134" s="1" t="s">
        <v>27</v>
      </c>
      <c r="D134" s="1" t="s">
        <v>16</v>
      </c>
      <c r="E134" s="1" t="s">
        <v>591</v>
      </c>
      <c r="F134" s="3">
        <v>11546</v>
      </c>
      <c r="G134" s="1" t="s">
        <v>21</v>
      </c>
      <c r="H134" s="1" t="s">
        <v>241</v>
      </c>
      <c r="I134" s="1">
        <v>4</v>
      </c>
      <c r="J134" s="1">
        <v>296</v>
      </c>
      <c r="K134" s="1" t="str">
        <f>CONCATENATE(E134,I134,J134)</f>
        <v>202433486774296</v>
      </c>
      <c r="L134" s="4">
        <v>10.5</v>
      </c>
      <c r="M134" s="5">
        <v>0</v>
      </c>
      <c r="N134" s="5">
        <v>0</v>
      </c>
      <c r="O134" s="5">
        <v>-3486</v>
      </c>
      <c r="P134" s="5">
        <v>0</v>
      </c>
      <c r="Q134" s="28"/>
    </row>
    <row r="135" spans="1:17" s="35" customFormat="1" x14ac:dyDescent="0.25">
      <c r="A135" s="2">
        <v>45391</v>
      </c>
      <c r="B135" s="1" t="s">
        <v>26</v>
      </c>
      <c r="C135" s="1" t="s">
        <v>27</v>
      </c>
      <c r="D135" s="1" t="s">
        <v>16</v>
      </c>
      <c r="E135" s="1" t="s">
        <v>591</v>
      </c>
      <c r="F135" s="3">
        <v>11546</v>
      </c>
      <c r="G135" s="1" t="s">
        <v>21</v>
      </c>
      <c r="H135" s="29" t="s">
        <v>241</v>
      </c>
      <c r="I135" s="1">
        <v>4</v>
      </c>
      <c r="J135" s="1">
        <v>296</v>
      </c>
      <c r="K135" s="1" t="str">
        <f>CONCATENATE(E135,I135,J135)</f>
        <v>202433486774296</v>
      </c>
      <c r="L135" s="4">
        <v>21</v>
      </c>
      <c r="M135" s="5">
        <v>0</v>
      </c>
      <c r="N135" s="5">
        <v>-43850</v>
      </c>
      <c r="O135" s="5">
        <v>-2236.5</v>
      </c>
      <c r="P135" s="5">
        <v>-49572.5</v>
      </c>
      <c r="Q135" s="28"/>
    </row>
    <row r="136" spans="1:17" s="42" customFormat="1" x14ac:dyDescent="0.25">
      <c r="A136" s="37">
        <v>45391</v>
      </c>
      <c r="B136" s="38" t="s">
        <v>23</v>
      </c>
      <c r="C136" s="38" t="s">
        <v>24</v>
      </c>
      <c r="D136" s="38" t="s">
        <v>16</v>
      </c>
      <c r="E136" s="38" t="s">
        <v>590</v>
      </c>
      <c r="F136" s="39">
        <v>11716</v>
      </c>
      <c r="G136" s="38" t="s">
        <v>17</v>
      </c>
      <c r="H136" s="38" t="s">
        <v>223</v>
      </c>
      <c r="I136" s="38">
        <v>10</v>
      </c>
      <c r="J136" s="38">
        <v>22134</v>
      </c>
      <c r="K136" s="38" t="str">
        <f>CONCATENATE(E136,I136,J136)</f>
        <v>307117580341022134</v>
      </c>
      <c r="L136" s="40">
        <v>10.5</v>
      </c>
      <c r="M136" s="41">
        <v>0</v>
      </c>
      <c r="N136" s="41"/>
      <c r="O136" s="41">
        <v>1440.78</v>
      </c>
      <c r="P136" s="41">
        <v>0</v>
      </c>
    </row>
    <row r="137" spans="1:17" s="42" customFormat="1" x14ac:dyDescent="0.25">
      <c r="A137" s="37">
        <v>45391</v>
      </c>
      <c r="B137" s="38" t="s">
        <v>23</v>
      </c>
      <c r="C137" s="38" t="s">
        <v>24</v>
      </c>
      <c r="D137" s="38" t="s">
        <v>16</v>
      </c>
      <c r="E137" s="38" t="s">
        <v>590</v>
      </c>
      <c r="F137" s="39">
        <v>11716</v>
      </c>
      <c r="G137" s="38" t="s">
        <v>17</v>
      </c>
      <c r="H137" s="38" t="s">
        <v>223</v>
      </c>
      <c r="I137" s="38">
        <v>10</v>
      </c>
      <c r="J137" s="38">
        <v>22134</v>
      </c>
      <c r="K137" s="38" t="str">
        <f>CONCATENATE(E137,I137,J137)</f>
        <v>307117580341022134</v>
      </c>
      <c r="L137" s="40">
        <v>21</v>
      </c>
      <c r="M137" s="41">
        <v>0</v>
      </c>
      <c r="N137" s="41">
        <v>27023.29</v>
      </c>
      <c r="O137" s="41">
        <v>2793.34</v>
      </c>
      <c r="P137" s="41">
        <v>31797.87</v>
      </c>
    </row>
    <row r="138" spans="1:17" s="35" customFormat="1" x14ac:dyDescent="0.25">
      <c r="A138" s="30">
        <v>45391</v>
      </c>
      <c r="B138" s="31" t="s">
        <v>224</v>
      </c>
      <c r="C138" s="31" t="s">
        <v>225</v>
      </c>
      <c r="D138" s="31" t="s">
        <v>16</v>
      </c>
      <c r="E138" s="31" t="s">
        <v>647</v>
      </c>
      <c r="F138" s="32">
        <v>11750</v>
      </c>
      <c r="G138" s="31" t="s">
        <v>17</v>
      </c>
      <c r="H138" s="31" t="s">
        <v>226</v>
      </c>
      <c r="I138" s="31">
        <v>60</v>
      </c>
      <c r="J138" s="31">
        <v>305813</v>
      </c>
      <c r="K138" s="31" t="str">
        <f>CONCATENATE(E138,I138,J138)</f>
        <v>3370725983960305813</v>
      </c>
      <c r="L138" s="33">
        <v>3</v>
      </c>
      <c r="M138" s="34">
        <v>0</v>
      </c>
      <c r="N138" s="34">
        <v>0</v>
      </c>
      <c r="O138" s="34">
        <v>4117.33</v>
      </c>
      <c r="P138" s="34">
        <v>0</v>
      </c>
      <c r="Q138" s="28"/>
    </row>
    <row r="139" spans="1:17" s="35" customFormat="1" x14ac:dyDescent="0.25">
      <c r="A139" s="2">
        <v>45391</v>
      </c>
      <c r="B139" s="1" t="s">
        <v>224</v>
      </c>
      <c r="C139" s="1" t="s">
        <v>225</v>
      </c>
      <c r="D139" s="1" t="s">
        <v>16</v>
      </c>
      <c r="E139" s="1" t="s">
        <v>647</v>
      </c>
      <c r="F139" s="3">
        <v>11750</v>
      </c>
      <c r="G139" s="1" t="s">
        <v>17</v>
      </c>
      <c r="H139" s="29" t="s">
        <v>226</v>
      </c>
      <c r="I139" s="1">
        <v>60</v>
      </c>
      <c r="J139" s="1">
        <v>305813</v>
      </c>
      <c r="K139" s="1" t="str">
        <f>CONCATENATE(E139,I139,J139)</f>
        <v>3370725983960305813</v>
      </c>
      <c r="L139" s="4">
        <v>21</v>
      </c>
      <c r="M139" s="5">
        <v>0</v>
      </c>
      <c r="N139" s="5">
        <v>137244.26999999999</v>
      </c>
      <c r="O139" s="5">
        <v>28821.3</v>
      </c>
      <c r="P139" s="5">
        <v>172927.79</v>
      </c>
      <c r="Q139" s="28"/>
    </row>
    <row r="140" spans="1:17" s="35" customFormat="1" x14ac:dyDescent="0.25">
      <c r="A140" s="30">
        <v>45391</v>
      </c>
      <c r="B140" s="31" t="s">
        <v>147</v>
      </c>
      <c r="C140" s="31" t="s">
        <v>148</v>
      </c>
      <c r="D140" s="31" t="s">
        <v>16</v>
      </c>
      <c r="E140" s="31" t="s">
        <v>626</v>
      </c>
      <c r="F140" s="32">
        <v>11678</v>
      </c>
      <c r="G140" s="31" t="s">
        <v>17</v>
      </c>
      <c r="H140" s="31" t="s">
        <v>227</v>
      </c>
      <c r="I140" s="31">
        <v>218</v>
      </c>
      <c r="J140" s="31">
        <v>160470</v>
      </c>
      <c r="K140" s="31" t="str">
        <f>CONCATENATE(E140,I140,J140)</f>
        <v>30501290323218160470</v>
      </c>
      <c r="L140" s="33">
        <v>3</v>
      </c>
      <c r="M140" s="34">
        <v>0</v>
      </c>
      <c r="N140" s="34">
        <v>0</v>
      </c>
      <c r="O140" s="34">
        <v>69868.36</v>
      </c>
      <c r="P140" s="34">
        <v>0</v>
      </c>
      <c r="Q140" s="28"/>
    </row>
    <row r="141" spans="1:17" s="35" customFormat="1" x14ac:dyDescent="0.25">
      <c r="A141" s="2">
        <v>45391</v>
      </c>
      <c r="B141" s="1" t="s">
        <v>147</v>
      </c>
      <c r="C141" s="1" t="s">
        <v>148</v>
      </c>
      <c r="D141" s="1" t="s">
        <v>16</v>
      </c>
      <c r="E141" s="1" t="s">
        <v>626</v>
      </c>
      <c r="F141" s="3">
        <v>11678</v>
      </c>
      <c r="G141" s="1" t="s">
        <v>17</v>
      </c>
      <c r="H141" s="29" t="s">
        <v>227</v>
      </c>
      <c r="I141" s="1">
        <v>218</v>
      </c>
      <c r="J141" s="1">
        <v>160470</v>
      </c>
      <c r="K141" s="1" t="str">
        <f>CONCATENATE(E141,I141,J141)</f>
        <v>30501290323218160470</v>
      </c>
      <c r="L141" s="4">
        <v>21</v>
      </c>
      <c r="M141" s="5">
        <v>0</v>
      </c>
      <c r="N141" s="5">
        <v>2328945.42</v>
      </c>
      <c r="O141" s="5">
        <v>489078.54</v>
      </c>
      <c r="P141" s="5">
        <v>3004339.59</v>
      </c>
      <c r="Q141" s="28"/>
    </row>
    <row r="142" spans="1:17" s="35" customFormat="1" x14ac:dyDescent="0.25">
      <c r="A142" s="30">
        <v>45391</v>
      </c>
      <c r="B142" s="31" t="s">
        <v>147</v>
      </c>
      <c r="C142" s="31" t="s">
        <v>148</v>
      </c>
      <c r="D142" s="31" t="s">
        <v>16</v>
      </c>
      <c r="E142" s="31" t="s">
        <v>626</v>
      </c>
      <c r="F142" s="32">
        <v>11392</v>
      </c>
      <c r="G142" s="31" t="s">
        <v>17</v>
      </c>
      <c r="H142" s="31" t="s">
        <v>228</v>
      </c>
      <c r="I142" s="31">
        <v>218</v>
      </c>
      <c r="J142" s="31">
        <v>160471</v>
      </c>
      <c r="K142" s="31" t="str">
        <f>CONCATENATE(E142,I142,J142)</f>
        <v>30501290323218160471</v>
      </c>
      <c r="L142" s="33">
        <v>3</v>
      </c>
      <c r="M142" s="34">
        <v>0</v>
      </c>
      <c r="N142" s="34">
        <v>0</v>
      </c>
      <c r="O142" s="34">
        <v>43955.23</v>
      </c>
      <c r="P142" s="34">
        <v>0</v>
      </c>
      <c r="Q142" s="28"/>
    </row>
    <row r="143" spans="1:17" s="35" customFormat="1" x14ac:dyDescent="0.25">
      <c r="A143" s="2">
        <v>45391</v>
      </c>
      <c r="B143" s="1" t="s">
        <v>147</v>
      </c>
      <c r="C143" s="1" t="s">
        <v>148</v>
      </c>
      <c r="D143" s="1" t="s">
        <v>16</v>
      </c>
      <c r="E143" s="1" t="s">
        <v>626</v>
      </c>
      <c r="F143" s="3">
        <v>11392</v>
      </c>
      <c r="G143" s="1" t="s">
        <v>17</v>
      </c>
      <c r="H143" s="29" t="s">
        <v>228</v>
      </c>
      <c r="I143" s="1">
        <v>218</v>
      </c>
      <c r="J143" s="1">
        <v>160471</v>
      </c>
      <c r="K143" s="1" t="str">
        <f>CONCATENATE(E143,I143,J143)</f>
        <v>30501290323218160471</v>
      </c>
      <c r="L143" s="4">
        <v>21</v>
      </c>
      <c r="M143" s="5">
        <v>0</v>
      </c>
      <c r="N143" s="5">
        <v>1465174.41</v>
      </c>
      <c r="O143" s="5">
        <v>307686.63</v>
      </c>
      <c r="P143" s="5">
        <v>1890074.99</v>
      </c>
      <c r="Q143" s="28"/>
    </row>
    <row r="144" spans="1:17" s="35" customFormat="1" x14ac:dyDescent="0.25">
      <c r="A144" s="30">
        <v>45391</v>
      </c>
      <c r="B144" s="31" t="s">
        <v>86</v>
      </c>
      <c r="C144" s="31" t="s">
        <v>87</v>
      </c>
      <c r="D144" s="31" t="s">
        <v>16</v>
      </c>
      <c r="E144" s="31" t="s">
        <v>608</v>
      </c>
      <c r="F144" s="32">
        <v>11477</v>
      </c>
      <c r="G144" s="31" t="s">
        <v>17</v>
      </c>
      <c r="H144" s="31" t="s">
        <v>229</v>
      </c>
      <c r="I144" s="31">
        <v>601</v>
      </c>
      <c r="J144" s="31">
        <v>260452</v>
      </c>
      <c r="K144" s="31" t="str">
        <f>CONCATENATE(E144,I144,J144)</f>
        <v>30525390086601260452</v>
      </c>
      <c r="L144" s="33">
        <v>3</v>
      </c>
      <c r="M144" s="34">
        <v>0</v>
      </c>
      <c r="N144" s="34">
        <v>0</v>
      </c>
      <c r="O144" s="34">
        <v>28593.18</v>
      </c>
      <c r="P144" s="34">
        <v>0</v>
      </c>
      <c r="Q144" s="28"/>
    </row>
    <row r="145" spans="1:17" s="35" customFormat="1" x14ac:dyDescent="0.25">
      <c r="A145" s="2">
        <v>45391</v>
      </c>
      <c r="B145" s="1" t="s">
        <v>86</v>
      </c>
      <c r="C145" s="1" t="s">
        <v>87</v>
      </c>
      <c r="D145" s="1" t="s">
        <v>16</v>
      </c>
      <c r="E145" s="1" t="s">
        <v>608</v>
      </c>
      <c r="F145" s="3">
        <v>11477</v>
      </c>
      <c r="G145" s="1" t="s">
        <v>17</v>
      </c>
      <c r="H145" s="29" t="s">
        <v>229</v>
      </c>
      <c r="I145" s="1">
        <v>601</v>
      </c>
      <c r="J145" s="1">
        <v>260452</v>
      </c>
      <c r="K145" s="1" t="str">
        <f>CONCATENATE(E145,I145,J145)</f>
        <v>30525390086601260452</v>
      </c>
      <c r="L145" s="4">
        <v>21</v>
      </c>
      <c r="M145" s="5">
        <v>0</v>
      </c>
      <c r="N145" s="5">
        <v>953105.79</v>
      </c>
      <c r="O145" s="5">
        <v>200152.23</v>
      </c>
      <c r="P145" s="5">
        <v>1200913.32</v>
      </c>
      <c r="Q145" s="28"/>
    </row>
    <row r="146" spans="1:17" s="35" customFormat="1" x14ac:dyDescent="0.25">
      <c r="A146" s="30">
        <v>45391</v>
      </c>
      <c r="B146" s="31" t="s">
        <v>158</v>
      </c>
      <c r="C146" s="31" t="s">
        <v>159</v>
      </c>
      <c r="D146" s="31" t="s">
        <v>16</v>
      </c>
      <c r="E146" s="31" t="s">
        <v>629</v>
      </c>
      <c r="F146" s="32">
        <v>11331</v>
      </c>
      <c r="G146" s="31" t="s">
        <v>17</v>
      </c>
      <c r="H146" s="31" t="s">
        <v>230</v>
      </c>
      <c r="I146" s="31">
        <v>6004</v>
      </c>
      <c r="J146" s="31">
        <v>3581919</v>
      </c>
      <c r="K146" s="31" t="str">
        <f>CONCATENATE(E146,I146,J146)</f>
        <v>3050111624260043581919</v>
      </c>
      <c r="L146" s="33">
        <v>3</v>
      </c>
      <c r="M146" s="34">
        <v>0</v>
      </c>
      <c r="N146" s="34">
        <v>0</v>
      </c>
      <c r="O146" s="34">
        <v>84206.03</v>
      </c>
      <c r="P146" s="34">
        <v>0</v>
      </c>
      <c r="Q146" s="28"/>
    </row>
    <row r="147" spans="1:17" s="35" customFormat="1" x14ac:dyDescent="0.25">
      <c r="A147" s="2">
        <v>45391</v>
      </c>
      <c r="B147" s="1" t="s">
        <v>158</v>
      </c>
      <c r="C147" s="1" t="s">
        <v>159</v>
      </c>
      <c r="D147" s="1" t="s">
        <v>16</v>
      </c>
      <c r="E147" s="1" t="s">
        <v>629</v>
      </c>
      <c r="F147" s="3">
        <v>11331</v>
      </c>
      <c r="G147" s="1" t="s">
        <v>17</v>
      </c>
      <c r="H147" s="29" t="s">
        <v>230</v>
      </c>
      <c r="I147" s="1">
        <v>6004</v>
      </c>
      <c r="J147" s="1">
        <v>3581919</v>
      </c>
      <c r="K147" s="1" t="str">
        <f>CONCATENATE(E147,I147,J147)</f>
        <v>3050111624260043581919</v>
      </c>
      <c r="L147" s="4">
        <v>21</v>
      </c>
      <c r="M147" s="5">
        <v>0</v>
      </c>
      <c r="N147" s="5">
        <v>2806867.69</v>
      </c>
      <c r="O147" s="5">
        <v>589442.21</v>
      </c>
      <c r="P147" s="5">
        <v>3536653.28</v>
      </c>
      <c r="Q147" s="28"/>
    </row>
    <row r="148" spans="1:17" s="35" customFormat="1" x14ac:dyDescent="0.25">
      <c r="A148" s="30">
        <v>45391</v>
      </c>
      <c r="B148" s="31" t="s">
        <v>19</v>
      </c>
      <c r="C148" s="31" t="s">
        <v>20</v>
      </c>
      <c r="D148" s="31" t="s">
        <v>16</v>
      </c>
      <c r="E148" s="31" t="s">
        <v>589</v>
      </c>
      <c r="F148" s="32">
        <v>11330</v>
      </c>
      <c r="G148" s="31" t="s">
        <v>17</v>
      </c>
      <c r="H148" s="31" t="s">
        <v>231</v>
      </c>
      <c r="I148" s="31">
        <v>6156</v>
      </c>
      <c r="J148" s="31">
        <v>6695476</v>
      </c>
      <c r="K148" s="31" t="str">
        <f>CONCATENATE(E148,I148,J148)</f>
        <v>3054724233161566695476</v>
      </c>
      <c r="L148" s="33">
        <v>3</v>
      </c>
      <c r="M148" s="34">
        <v>0</v>
      </c>
      <c r="N148" s="34">
        <v>0</v>
      </c>
      <c r="O148" s="34">
        <v>10984.96</v>
      </c>
      <c r="P148" s="34">
        <v>0</v>
      </c>
      <c r="Q148" s="28"/>
    </row>
    <row r="149" spans="1:17" s="35" customFormat="1" x14ac:dyDescent="0.25">
      <c r="A149" s="2">
        <v>45391</v>
      </c>
      <c r="B149" s="1" t="s">
        <v>19</v>
      </c>
      <c r="C149" s="1" t="s">
        <v>20</v>
      </c>
      <c r="D149" s="1" t="s">
        <v>16</v>
      </c>
      <c r="E149" s="1" t="s">
        <v>589</v>
      </c>
      <c r="F149" s="3">
        <v>11330</v>
      </c>
      <c r="G149" s="1" t="s">
        <v>17</v>
      </c>
      <c r="H149" s="29" t="s">
        <v>231</v>
      </c>
      <c r="I149" s="1">
        <v>6156</v>
      </c>
      <c r="J149" s="1">
        <v>6695476</v>
      </c>
      <c r="K149" s="1" t="str">
        <f>CONCATENATE(E149,I149,J149)</f>
        <v>3054724233161566695476</v>
      </c>
      <c r="L149" s="4">
        <v>21</v>
      </c>
      <c r="M149" s="5">
        <v>0</v>
      </c>
      <c r="N149" s="5">
        <v>366165.3</v>
      </c>
      <c r="O149" s="5">
        <v>76894.710000000006</v>
      </c>
      <c r="P149" s="5">
        <v>461368.28</v>
      </c>
      <c r="Q149" s="28"/>
    </row>
    <row r="150" spans="1:17" s="35" customFormat="1" x14ac:dyDescent="0.25">
      <c r="A150" s="30">
        <v>45391</v>
      </c>
      <c r="B150" s="31" t="s">
        <v>107</v>
      </c>
      <c r="C150" s="31" t="s">
        <v>108</v>
      </c>
      <c r="D150" s="31" t="s">
        <v>16</v>
      </c>
      <c r="E150" s="31" t="s">
        <v>613</v>
      </c>
      <c r="F150" s="32">
        <v>11333</v>
      </c>
      <c r="G150" s="31" t="s">
        <v>17</v>
      </c>
      <c r="H150" s="31" t="s">
        <v>232</v>
      </c>
      <c r="I150" s="31">
        <v>8117</v>
      </c>
      <c r="J150" s="31">
        <v>46361</v>
      </c>
      <c r="K150" s="31" t="str">
        <f>CONCATENATE(E150,I150,J150)</f>
        <v>30695542476811746361</v>
      </c>
      <c r="L150" s="33">
        <v>3</v>
      </c>
      <c r="M150" s="34">
        <v>0</v>
      </c>
      <c r="N150" s="34">
        <v>0</v>
      </c>
      <c r="O150" s="34">
        <v>3105.97</v>
      </c>
      <c r="P150" s="34">
        <v>0</v>
      </c>
      <c r="Q150" s="28"/>
    </row>
    <row r="151" spans="1:17" s="35" customFormat="1" x14ac:dyDescent="0.25">
      <c r="A151" s="2">
        <v>45391</v>
      </c>
      <c r="B151" s="1" t="s">
        <v>107</v>
      </c>
      <c r="C151" s="1" t="s">
        <v>108</v>
      </c>
      <c r="D151" s="1" t="s">
        <v>16</v>
      </c>
      <c r="E151" s="1" t="s">
        <v>613</v>
      </c>
      <c r="F151" s="3">
        <v>11333</v>
      </c>
      <c r="G151" s="1" t="s">
        <v>17</v>
      </c>
      <c r="H151" s="29" t="s">
        <v>232</v>
      </c>
      <c r="I151" s="1">
        <v>8117</v>
      </c>
      <c r="J151" s="1">
        <v>46361</v>
      </c>
      <c r="K151" s="1" t="str">
        <f>CONCATENATE(E151,I151,J151)</f>
        <v>30695542476811746361</v>
      </c>
      <c r="L151" s="4">
        <v>21</v>
      </c>
      <c r="M151" s="5">
        <v>9326.31</v>
      </c>
      <c r="N151" s="5">
        <v>103532.3</v>
      </c>
      <c r="O151" s="5">
        <v>21741.78</v>
      </c>
      <c r="P151" s="5">
        <v>142708.85</v>
      </c>
      <c r="Q151" s="28"/>
    </row>
    <row r="152" spans="1:17" s="35" customFormat="1" x14ac:dyDescent="0.25">
      <c r="A152" s="30">
        <v>45391</v>
      </c>
      <c r="B152" s="31" t="s">
        <v>123</v>
      </c>
      <c r="C152" s="31" t="s">
        <v>124</v>
      </c>
      <c r="D152" s="31" t="s">
        <v>16</v>
      </c>
      <c r="E152" s="31" t="s">
        <v>618</v>
      </c>
      <c r="F152" s="32">
        <v>11763</v>
      </c>
      <c r="G152" s="31" t="s">
        <v>17</v>
      </c>
      <c r="H152" s="31" t="s">
        <v>233</v>
      </c>
      <c r="I152" s="31">
        <v>20240</v>
      </c>
      <c r="J152" s="31">
        <v>959235</v>
      </c>
      <c r="K152" s="31" t="str">
        <f>CONCATENATE(E152,I152,J152)</f>
        <v>3050000845420240959235</v>
      </c>
      <c r="L152" s="33">
        <v>1.5</v>
      </c>
      <c r="M152" s="34">
        <v>0</v>
      </c>
      <c r="N152" s="34">
        <v>0</v>
      </c>
      <c r="O152" s="34">
        <v>23832.41</v>
      </c>
      <c r="P152" s="34">
        <v>0</v>
      </c>
      <c r="Q152" s="28"/>
    </row>
    <row r="153" spans="1:17" s="35" customFormat="1" x14ac:dyDescent="0.25">
      <c r="A153" s="21">
        <v>45391</v>
      </c>
      <c r="B153" s="22" t="s">
        <v>123</v>
      </c>
      <c r="C153" s="22" t="s">
        <v>124</v>
      </c>
      <c r="D153" s="22" t="s">
        <v>16</v>
      </c>
      <c r="E153" s="22" t="s">
        <v>618</v>
      </c>
      <c r="F153" s="23">
        <v>11763</v>
      </c>
      <c r="G153" s="22" t="s">
        <v>17</v>
      </c>
      <c r="H153" s="22" t="s">
        <v>233</v>
      </c>
      <c r="I153" s="22">
        <v>20240</v>
      </c>
      <c r="J153" s="22">
        <v>959235</v>
      </c>
      <c r="K153" s="22" t="str">
        <f>CONCATENATE(E153,I153,J153)</f>
        <v>3050000845420240959235</v>
      </c>
      <c r="L153" s="24">
        <v>10.5</v>
      </c>
      <c r="M153" s="25">
        <v>21308804.149999999</v>
      </c>
      <c r="N153" s="25">
        <v>1588827.14</v>
      </c>
      <c r="O153" s="25">
        <v>166826.85</v>
      </c>
      <c r="P153" s="25">
        <v>23120067.09</v>
      </c>
      <c r="Q153" s="28"/>
    </row>
    <row r="154" spans="1:17" s="35" customFormat="1" x14ac:dyDescent="0.25">
      <c r="A154" s="2">
        <v>45391</v>
      </c>
      <c r="B154" s="1" t="s">
        <v>234</v>
      </c>
      <c r="C154" s="1" t="s">
        <v>235</v>
      </c>
      <c r="D154" s="1" t="s">
        <v>112</v>
      </c>
      <c r="E154" s="1" t="s">
        <v>648</v>
      </c>
      <c r="F154" s="3">
        <v>11271</v>
      </c>
      <c r="G154" s="1" t="s">
        <v>17</v>
      </c>
      <c r="H154" s="1" t="s">
        <v>236</v>
      </c>
      <c r="I154" s="1">
        <v>1</v>
      </c>
      <c r="J154" s="1">
        <v>213</v>
      </c>
      <c r="K154" s="1" t="str">
        <f>CONCATENATE(E154,I154,J154)</f>
        <v>203447203051213</v>
      </c>
      <c r="L154" s="4">
        <v>0</v>
      </c>
      <c r="M154" s="5">
        <v>120000</v>
      </c>
      <c r="N154" s="5">
        <v>0</v>
      </c>
      <c r="O154" s="5">
        <v>0</v>
      </c>
      <c r="P154" s="5">
        <v>120000</v>
      </c>
      <c r="Q154" s="28"/>
    </row>
    <row r="155" spans="1:17" s="35" customFormat="1" x14ac:dyDescent="0.25">
      <c r="A155" s="2">
        <v>45391</v>
      </c>
      <c r="B155" s="1" t="s">
        <v>237</v>
      </c>
      <c r="C155" s="1" t="s">
        <v>238</v>
      </c>
      <c r="D155" s="1" t="s">
        <v>112</v>
      </c>
      <c r="E155" s="1" t="s">
        <v>649</v>
      </c>
      <c r="F155" s="3">
        <v>11269</v>
      </c>
      <c r="G155" s="1" t="s">
        <v>17</v>
      </c>
      <c r="H155" s="1" t="s">
        <v>239</v>
      </c>
      <c r="I155" s="1">
        <v>3</v>
      </c>
      <c r="J155" s="1">
        <v>5307</v>
      </c>
      <c r="K155" s="1" t="str">
        <f>CONCATENATE(E155,I155,J155)</f>
        <v>2018056301735307</v>
      </c>
      <c r="L155" s="4">
        <v>0</v>
      </c>
      <c r="M155" s="5">
        <v>80000</v>
      </c>
      <c r="N155" s="5">
        <v>0</v>
      </c>
      <c r="O155" s="5">
        <v>0</v>
      </c>
      <c r="P155" s="5">
        <v>80000</v>
      </c>
      <c r="Q155" s="28"/>
    </row>
    <row r="156" spans="1:17" s="35" customFormat="1" x14ac:dyDescent="0.25">
      <c r="A156" s="2">
        <v>45392</v>
      </c>
      <c r="B156" s="1" t="s">
        <v>242</v>
      </c>
      <c r="C156" s="1" t="s">
        <v>243</v>
      </c>
      <c r="D156" s="1" t="s">
        <v>16</v>
      </c>
      <c r="E156" s="1" t="s">
        <v>650</v>
      </c>
      <c r="F156" s="3">
        <v>11390</v>
      </c>
      <c r="G156" s="1" t="s">
        <v>17</v>
      </c>
      <c r="H156" s="29" t="s">
        <v>244</v>
      </c>
      <c r="I156" s="1">
        <v>1</v>
      </c>
      <c r="J156" s="1">
        <v>5391</v>
      </c>
      <c r="K156" s="1" t="str">
        <f>CONCATENATE(E156,I156,J156)</f>
        <v>3071642303015391</v>
      </c>
      <c r="L156" s="4">
        <v>21</v>
      </c>
      <c r="M156" s="5">
        <v>0</v>
      </c>
      <c r="N156" s="5">
        <v>1747267.1</v>
      </c>
      <c r="O156" s="5">
        <v>366926.09</v>
      </c>
      <c r="P156" s="5">
        <v>2114193.19</v>
      </c>
      <c r="Q156" s="28"/>
    </row>
    <row r="157" spans="1:17" s="35" customFormat="1" x14ac:dyDescent="0.25">
      <c r="A157" s="2">
        <v>45392</v>
      </c>
      <c r="B157" s="1" t="s">
        <v>245</v>
      </c>
      <c r="C157" s="1" t="s">
        <v>246</v>
      </c>
      <c r="D157" s="1" t="s">
        <v>16</v>
      </c>
      <c r="E157" s="1" t="s">
        <v>651</v>
      </c>
      <c r="F157" s="3">
        <v>11401</v>
      </c>
      <c r="G157" s="1" t="s">
        <v>17</v>
      </c>
      <c r="H157" s="29" t="s">
        <v>247</v>
      </c>
      <c r="I157" s="1">
        <v>3</v>
      </c>
      <c r="J157" s="1">
        <v>5202</v>
      </c>
      <c r="K157" s="1" t="str">
        <f>CONCATENATE(E157,I157,J157)</f>
        <v>3371419199935202</v>
      </c>
      <c r="L157" s="4">
        <v>21</v>
      </c>
      <c r="M157" s="5">
        <v>0</v>
      </c>
      <c r="N157" s="5">
        <v>53588</v>
      </c>
      <c r="O157" s="5">
        <v>11253.48</v>
      </c>
      <c r="P157" s="5">
        <v>64841.48</v>
      </c>
      <c r="Q157" s="28"/>
    </row>
    <row r="158" spans="1:17" s="35" customFormat="1" x14ac:dyDescent="0.25">
      <c r="A158" s="2">
        <v>45392</v>
      </c>
      <c r="B158" s="1" t="s">
        <v>248</v>
      </c>
      <c r="C158" s="1" t="s">
        <v>249</v>
      </c>
      <c r="D158" s="1" t="s">
        <v>16</v>
      </c>
      <c r="E158" s="1" t="s">
        <v>652</v>
      </c>
      <c r="F158" s="3">
        <v>11317</v>
      </c>
      <c r="G158" s="1" t="s">
        <v>17</v>
      </c>
      <c r="H158" s="29" t="s">
        <v>250</v>
      </c>
      <c r="I158" s="1">
        <v>3</v>
      </c>
      <c r="J158" s="1">
        <v>101457</v>
      </c>
      <c r="K158" s="1" t="str">
        <f>CONCATENATE(E158,I158,J158)</f>
        <v>307102144723101457</v>
      </c>
      <c r="L158" s="4">
        <v>21</v>
      </c>
      <c r="M158" s="5">
        <v>0</v>
      </c>
      <c r="N158" s="5">
        <v>68169.37</v>
      </c>
      <c r="O158" s="5">
        <v>14315.57</v>
      </c>
      <c r="P158" s="5">
        <v>83848.33</v>
      </c>
      <c r="Q158" s="28"/>
    </row>
    <row r="159" spans="1:17" s="35" customFormat="1" x14ac:dyDescent="0.25">
      <c r="A159" s="2">
        <v>45392</v>
      </c>
      <c r="B159" s="1" t="s">
        <v>251</v>
      </c>
      <c r="C159" s="1" t="s">
        <v>252</v>
      </c>
      <c r="D159" s="1" t="s">
        <v>16</v>
      </c>
      <c r="E159" s="1" t="s">
        <v>653</v>
      </c>
      <c r="F159" s="3">
        <v>11287</v>
      </c>
      <c r="G159" s="1" t="s">
        <v>17</v>
      </c>
      <c r="H159" s="29" t="s">
        <v>253</v>
      </c>
      <c r="I159" s="1">
        <v>9</v>
      </c>
      <c r="J159" s="1">
        <v>8260</v>
      </c>
      <c r="K159" s="1" t="str">
        <f>CONCATENATE(E159,I159,J159)</f>
        <v>2021465657598260</v>
      </c>
      <c r="L159" s="4">
        <v>21</v>
      </c>
      <c r="M159" s="5">
        <v>0</v>
      </c>
      <c r="N159" s="5">
        <v>22710.74</v>
      </c>
      <c r="O159" s="5">
        <v>4769.26</v>
      </c>
      <c r="P159" s="5">
        <v>27480</v>
      </c>
      <c r="Q159" s="28"/>
    </row>
    <row r="160" spans="1:17" s="35" customFormat="1" x14ac:dyDescent="0.25">
      <c r="A160" s="30">
        <v>45392</v>
      </c>
      <c r="B160" s="31" t="s">
        <v>254</v>
      </c>
      <c r="C160" s="31" t="s">
        <v>255</v>
      </c>
      <c r="D160" s="31" t="s">
        <v>16</v>
      </c>
      <c r="E160" s="31" t="s">
        <v>654</v>
      </c>
      <c r="F160" s="32">
        <v>11473</v>
      </c>
      <c r="G160" s="31" t="s">
        <v>17</v>
      </c>
      <c r="H160" s="31" t="s">
        <v>256</v>
      </c>
      <c r="I160" s="31">
        <v>18</v>
      </c>
      <c r="J160" s="31">
        <v>5665</v>
      </c>
      <c r="K160" s="31" t="str">
        <f>CONCATENATE(E160,I160,J160)</f>
        <v>30624419193185665</v>
      </c>
      <c r="L160" s="33">
        <v>3</v>
      </c>
      <c r="M160" s="34">
        <v>0</v>
      </c>
      <c r="N160" s="34">
        <v>0</v>
      </c>
      <c r="O160" s="34">
        <v>78804</v>
      </c>
      <c r="P160" s="34">
        <v>0</v>
      </c>
      <c r="Q160" s="28"/>
    </row>
    <row r="161" spans="1:17" s="35" customFormat="1" x14ac:dyDescent="0.25">
      <c r="A161" s="2">
        <v>45392</v>
      </c>
      <c r="B161" s="1" t="s">
        <v>254</v>
      </c>
      <c r="C161" s="1" t="s">
        <v>255</v>
      </c>
      <c r="D161" s="1" t="s">
        <v>16</v>
      </c>
      <c r="E161" s="1" t="s">
        <v>654</v>
      </c>
      <c r="F161" s="3">
        <v>11473</v>
      </c>
      <c r="G161" s="1" t="s">
        <v>17</v>
      </c>
      <c r="H161" s="29" t="s">
        <v>256</v>
      </c>
      <c r="I161" s="1">
        <v>18</v>
      </c>
      <c r="J161" s="1">
        <v>5665</v>
      </c>
      <c r="K161" s="1" t="str">
        <f>CONCATENATE(E161,I161,J161)</f>
        <v>30624419193185665</v>
      </c>
      <c r="L161" s="4">
        <v>21</v>
      </c>
      <c r="M161" s="5">
        <v>0</v>
      </c>
      <c r="N161" s="5">
        <v>2626800</v>
      </c>
      <c r="O161" s="5">
        <v>551628</v>
      </c>
      <c r="P161" s="5">
        <v>3309768</v>
      </c>
      <c r="Q161" s="28"/>
    </row>
    <row r="162" spans="1:17" s="35" customFormat="1" x14ac:dyDescent="0.25">
      <c r="A162" s="2">
        <v>45392</v>
      </c>
      <c r="B162" s="1" t="s">
        <v>224</v>
      </c>
      <c r="C162" s="1" t="s">
        <v>225</v>
      </c>
      <c r="D162" s="1" t="s">
        <v>16</v>
      </c>
      <c r="E162" s="1" t="s">
        <v>647</v>
      </c>
      <c r="F162" s="3">
        <v>11751</v>
      </c>
      <c r="G162" s="1" t="s">
        <v>17</v>
      </c>
      <c r="H162" s="29" t="s">
        <v>257</v>
      </c>
      <c r="I162" s="1">
        <v>60</v>
      </c>
      <c r="J162" s="1">
        <v>306055</v>
      </c>
      <c r="K162" s="1" t="str">
        <f>CONCATENATE(E162,I162,J162)</f>
        <v>3370725983960306055</v>
      </c>
      <c r="L162" s="4">
        <v>21</v>
      </c>
      <c r="M162" s="5">
        <v>0</v>
      </c>
      <c r="N162" s="5">
        <v>22828.81</v>
      </c>
      <c r="O162" s="5">
        <v>4794.05</v>
      </c>
      <c r="P162" s="5">
        <v>28079.439999999999</v>
      </c>
      <c r="Q162" s="28"/>
    </row>
    <row r="163" spans="1:17" s="35" customFormat="1" x14ac:dyDescent="0.25">
      <c r="A163" s="2">
        <v>45392</v>
      </c>
      <c r="B163" s="1" t="s">
        <v>258</v>
      </c>
      <c r="C163" s="1" t="s">
        <v>259</v>
      </c>
      <c r="D163" s="1" t="s">
        <v>112</v>
      </c>
      <c r="E163" s="1" t="s">
        <v>655</v>
      </c>
      <c r="F163" s="3">
        <v>11316</v>
      </c>
      <c r="G163" s="1" t="s">
        <v>17</v>
      </c>
      <c r="H163" s="1" t="s">
        <v>260</v>
      </c>
      <c r="I163" s="1">
        <v>7</v>
      </c>
      <c r="J163" s="1">
        <v>70</v>
      </c>
      <c r="K163" s="1" t="str">
        <f>CONCATENATE(E163,I163,J163)</f>
        <v>27316244918770</v>
      </c>
      <c r="L163" s="4">
        <v>0</v>
      </c>
      <c r="M163" s="5">
        <v>120000</v>
      </c>
      <c r="N163" s="5">
        <v>0</v>
      </c>
      <c r="O163" s="5">
        <v>0</v>
      </c>
      <c r="P163" s="5">
        <v>120000</v>
      </c>
      <c r="Q163" s="28"/>
    </row>
    <row r="164" spans="1:17" s="35" customFormat="1" x14ac:dyDescent="0.25">
      <c r="A164" s="2">
        <v>45393</v>
      </c>
      <c r="B164" s="1" t="s">
        <v>196</v>
      </c>
      <c r="C164" s="1" t="s">
        <v>197</v>
      </c>
      <c r="D164" s="1" t="s">
        <v>16</v>
      </c>
      <c r="E164" s="1" t="s">
        <v>640</v>
      </c>
      <c r="F164" s="3">
        <v>11318</v>
      </c>
      <c r="G164" s="1" t="s">
        <v>17</v>
      </c>
      <c r="H164" s="29" t="s">
        <v>261</v>
      </c>
      <c r="I164" s="1">
        <v>3</v>
      </c>
      <c r="J164" s="1">
        <v>1366</v>
      </c>
      <c r="K164" s="1" t="str">
        <f>CONCATENATE(E164,I164,J164)</f>
        <v>3071474643631366</v>
      </c>
      <c r="L164" s="4">
        <v>21</v>
      </c>
      <c r="M164" s="5">
        <v>0</v>
      </c>
      <c r="N164" s="5">
        <v>20400087.57</v>
      </c>
      <c r="O164" s="5">
        <v>4284018.3899999997</v>
      </c>
      <c r="P164" s="5">
        <v>24684105.960000001</v>
      </c>
      <c r="Q164" s="28"/>
    </row>
    <row r="165" spans="1:17" s="35" customFormat="1" x14ac:dyDescent="0.25">
      <c r="A165" s="30">
        <v>45393</v>
      </c>
      <c r="B165" s="31" t="s">
        <v>269</v>
      </c>
      <c r="C165" s="31" t="s">
        <v>270</v>
      </c>
      <c r="D165" s="31" t="s">
        <v>16</v>
      </c>
      <c r="E165" s="31" t="s">
        <v>657</v>
      </c>
      <c r="F165" s="32">
        <v>11303</v>
      </c>
      <c r="G165" s="31" t="s">
        <v>21</v>
      </c>
      <c r="H165" s="31" t="s">
        <v>271</v>
      </c>
      <c r="I165" s="31">
        <v>6</v>
      </c>
      <c r="J165" s="31">
        <v>2750</v>
      </c>
      <c r="K165" s="31" t="str">
        <f>CONCATENATE(E165,I165,J165)</f>
        <v>3052990227862750</v>
      </c>
      <c r="L165" s="33">
        <v>1.5</v>
      </c>
      <c r="M165" s="34">
        <v>0</v>
      </c>
      <c r="N165" s="34">
        <v>0</v>
      </c>
      <c r="O165" s="34">
        <v>-11076</v>
      </c>
      <c r="P165" s="34">
        <v>0</v>
      </c>
      <c r="Q165" s="28"/>
    </row>
    <row r="166" spans="1:17" s="35" customFormat="1" x14ac:dyDescent="0.25">
      <c r="A166" s="2">
        <v>45393</v>
      </c>
      <c r="B166" s="1" t="s">
        <v>269</v>
      </c>
      <c r="C166" s="1" t="s">
        <v>270</v>
      </c>
      <c r="D166" s="1" t="s">
        <v>16</v>
      </c>
      <c r="E166" s="1" t="s">
        <v>657</v>
      </c>
      <c r="F166" s="3">
        <v>11303</v>
      </c>
      <c r="G166" s="1" t="s">
        <v>21</v>
      </c>
      <c r="H166" s="29" t="s">
        <v>271</v>
      </c>
      <c r="I166" s="1">
        <v>6</v>
      </c>
      <c r="J166" s="1">
        <v>2750</v>
      </c>
      <c r="K166" s="1" t="str">
        <f>CONCATENATE(E166,I166,J166)</f>
        <v>3052990227862750</v>
      </c>
      <c r="L166" s="4">
        <v>10.5</v>
      </c>
      <c r="M166" s="5">
        <v>0</v>
      </c>
      <c r="N166" s="5">
        <v>-738400</v>
      </c>
      <c r="O166" s="5">
        <v>-77532</v>
      </c>
      <c r="P166" s="5">
        <v>-827008</v>
      </c>
      <c r="Q166" s="28"/>
    </row>
    <row r="167" spans="1:17" s="35" customFormat="1" x14ac:dyDescent="0.25">
      <c r="A167" s="30">
        <v>45393</v>
      </c>
      <c r="B167" s="31" t="s">
        <v>144</v>
      </c>
      <c r="C167" s="31" t="s">
        <v>145</v>
      </c>
      <c r="D167" s="31" t="s">
        <v>16</v>
      </c>
      <c r="E167" s="31" t="s">
        <v>625</v>
      </c>
      <c r="F167" s="32">
        <v>11382</v>
      </c>
      <c r="G167" s="31" t="s">
        <v>17</v>
      </c>
      <c r="H167" s="31" t="s">
        <v>262</v>
      </c>
      <c r="I167" s="31">
        <v>46</v>
      </c>
      <c r="J167" s="31">
        <v>399061</v>
      </c>
      <c r="K167" s="31" t="str">
        <f>CONCATENATE(E167,I167,J167)</f>
        <v>3053214979346399061</v>
      </c>
      <c r="L167" s="33">
        <v>3</v>
      </c>
      <c r="M167" s="34">
        <v>0</v>
      </c>
      <c r="N167" s="34">
        <v>0</v>
      </c>
      <c r="O167" s="34">
        <v>64634.400000000001</v>
      </c>
      <c r="P167" s="34">
        <v>0</v>
      </c>
      <c r="Q167" s="28"/>
    </row>
    <row r="168" spans="1:17" s="35" customFormat="1" x14ac:dyDescent="0.25">
      <c r="A168" s="2">
        <v>45393</v>
      </c>
      <c r="B168" s="1" t="s">
        <v>144</v>
      </c>
      <c r="C168" s="1" t="s">
        <v>145</v>
      </c>
      <c r="D168" s="1" t="s">
        <v>16</v>
      </c>
      <c r="E168" s="1" t="s">
        <v>625</v>
      </c>
      <c r="F168" s="3">
        <v>11382</v>
      </c>
      <c r="G168" s="1" t="s">
        <v>17</v>
      </c>
      <c r="H168" s="29" t="s">
        <v>262</v>
      </c>
      <c r="I168" s="1">
        <v>46</v>
      </c>
      <c r="J168" s="1">
        <v>399061</v>
      </c>
      <c r="K168" s="1" t="str">
        <f>CONCATENATE(E168,I168,J168)</f>
        <v>3053214979346399061</v>
      </c>
      <c r="L168" s="4">
        <v>21</v>
      </c>
      <c r="M168" s="5">
        <v>0</v>
      </c>
      <c r="N168" s="5">
        <v>2154480</v>
      </c>
      <c r="O168" s="5">
        <v>452440.8</v>
      </c>
      <c r="P168" s="5">
        <v>2714644.8</v>
      </c>
      <c r="Q168" s="28"/>
    </row>
    <row r="169" spans="1:17" s="35" customFormat="1" x14ac:dyDescent="0.25">
      <c r="A169" s="30">
        <v>45393</v>
      </c>
      <c r="B169" s="31" t="s">
        <v>185</v>
      </c>
      <c r="C169" s="31" t="s">
        <v>186</v>
      </c>
      <c r="D169" s="31" t="s">
        <v>16</v>
      </c>
      <c r="E169" s="31" t="s">
        <v>637</v>
      </c>
      <c r="F169" s="32">
        <v>11402</v>
      </c>
      <c r="G169" s="31" t="s">
        <v>17</v>
      </c>
      <c r="H169" s="31" t="s">
        <v>263</v>
      </c>
      <c r="I169" s="31">
        <v>622</v>
      </c>
      <c r="J169" s="31">
        <v>267869</v>
      </c>
      <c r="K169" s="31" t="str">
        <f>CONCATENATE(E169,I169,J169)</f>
        <v>30682032630622267869</v>
      </c>
      <c r="L169" s="33">
        <v>3</v>
      </c>
      <c r="M169" s="34">
        <v>0</v>
      </c>
      <c r="N169" s="34">
        <v>0</v>
      </c>
      <c r="O169" s="34">
        <v>39888.75</v>
      </c>
      <c r="P169" s="34">
        <v>0</v>
      </c>
      <c r="Q169" s="28"/>
    </row>
    <row r="170" spans="1:17" s="35" customFormat="1" x14ac:dyDescent="0.25">
      <c r="A170" s="2">
        <v>45393</v>
      </c>
      <c r="B170" s="1" t="s">
        <v>185</v>
      </c>
      <c r="C170" s="1" t="s">
        <v>186</v>
      </c>
      <c r="D170" s="1" t="s">
        <v>16</v>
      </c>
      <c r="E170" s="1" t="s">
        <v>637</v>
      </c>
      <c r="F170" s="3">
        <v>11402</v>
      </c>
      <c r="G170" s="1" t="s">
        <v>17</v>
      </c>
      <c r="H170" s="29" t="s">
        <v>263</v>
      </c>
      <c r="I170" s="1">
        <v>622</v>
      </c>
      <c r="J170" s="1">
        <v>267869</v>
      </c>
      <c r="K170" s="1" t="str">
        <f>CONCATENATE(E170,I170,J170)</f>
        <v>30682032630622267869</v>
      </c>
      <c r="L170" s="4">
        <v>21</v>
      </c>
      <c r="M170" s="5">
        <v>0</v>
      </c>
      <c r="N170" s="5">
        <v>1329625.01</v>
      </c>
      <c r="O170" s="5">
        <v>279221.25</v>
      </c>
      <c r="P170" s="5">
        <v>1715216.26</v>
      </c>
      <c r="Q170" s="28"/>
    </row>
    <row r="171" spans="1:17" s="35" customFormat="1" x14ac:dyDescent="0.25">
      <c r="A171" s="30">
        <v>45393</v>
      </c>
      <c r="B171" s="31" t="s">
        <v>158</v>
      </c>
      <c r="C171" s="31" t="s">
        <v>159</v>
      </c>
      <c r="D171" s="31" t="s">
        <v>16</v>
      </c>
      <c r="E171" s="31" t="s">
        <v>629</v>
      </c>
      <c r="F171" s="32">
        <v>11542</v>
      </c>
      <c r="G171" s="31" t="s">
        <v>17</v>
      </c>
      <c r="H171" s="31" t="s">
        <v>264</v>
      </c>
      <c r="I171" s="31">
        <v>6004</v>
      </c>
      <c r="J171" s="31">
        <v>3584955</v>
      </c>
      <c r="K171" s="31" t="str">
        <f>CONCATENATE(E171,I171,J171)</f>
        <v>3050111624260043584955</v>
      </c>
      <c r="L171" s="33">
        <v>3</v>
      </c>
      <c r="M171" s="34">
        <v>0</v>
      </c>
      <c r="N171" s="34">
        <v>0</v>
      </c>
      <c r="O171" s="34">
        <v>3894.44</v>
      </c>
      <c r="P171" s="34">
        <v>0</v>
      </c>
      <c r="Q171" s="28"/>
    </row>
    <row r="172" spans="1:17" s="35" customFormat="1" x14ac:dyDescent="0.25">
      <c r="A172" s="2">
        <v>45393</v>
      </c>
      <c r="B172" s="1" t="s">
        <v>158</v>
      </c>
      <c r="C172" s="1" t="s">
        <v>159</v>
      </c>
      <c r="D172" s="1" t="s">
        <v>16</v>
      </c>
      <c r="E172" s="1" t="s">
        <v>629</v>
      </c>
      <c r="F172" s="3">
        <v>11542</v>
      </c>
      <c r="G172" s="1" t="s">
        <v>17</v>
      </c>
      <c r="H172" s="29" t="s">
        <v>264</v>
      </c>
      <c r="I172" s="1">
        <v>6004</v>
      </c>
      <c r="J172" s="1">
        <v>3584955</v>
      </c>
      <c r="K172" s="1" t="str">
        <f>CONCATENATE(E172,I172,J172)</f>
        <v>3050111624260043584955</v>
      </c>
      <c r="L172" s="4">
        <v>21</v>
      </c>
      <c r="M172" s="5">
        <v>0</v>
      </c>
      <c r="N172" s="5">
        <v>129814.56</v>
      </c>
      <c r="O172" s="5">
        <v>27261.06</v>
      </c>
      <c r="P172" s="5">
        <v>163566.35</v>
      </c>
      <c r="Q172" s="28"/>
    </row>
    <row r="173" spans="1:17" s="35" customFormat="1" x14ac:dyDescent="0.25">
      <c r="A173" s="2">
        <v>45393</v>
      </c>
      <c r="B173" s="1" t="s">
        <v>19</v>
      </c>
      <c r="C173" s="1" t="s">
        <v>20</v>
      </c>
      <c r="D173" s="1" t="s">
        <v>16</v>
      </c>
      <c r="E173" s="1" t="s">
        <v>589</v>
      </c>
      <c r="F173" s="3">
        <v>11547</v>
      </c>
      <c r="G173" s="1" t="s">
        <v>17</v>
      </c>
      <c r="H173" s="29" t="s">
        <v>265</v>
      </c>
      <c r="I173" s="1">
        <v>6156</v>
      </c>
      <c r="J173" s="1">
        <v>6700639</v>
      </c>
      <c r="K173" s="1" t="str">
        <f>CONCATENATE(E173,I173,J173)</f>
        <v>3054724233161566700639</v>
      </c>
      <c r="L173" s="4">
        <v>21</v>
      </c>
      <c r="M173" s="5">
        <v>0</v>
      </c>
      <c r="N173" s="5">
        <v>12863.16</v>
      </c>
      <c r="O173" s="5">
        <v>2701.26</v>
      </c>
      <c r="P173" s="5">
        <v>15821.68</v>
      </c>
      <c r="Q173" s="28"/>
    </row>
    <row r="174" spans="1:17" s="42" customFormat="1" x14ac:dyDescent="0.25">
      <c r="A174" s="37">
        <v>45393</v>
      </c>
      <c r="B174" s="38" t="s">
        <v>266</v>
      </c>
      <c r="C174" s="38" t="s">
        <v>267</v>
      </c>
      <c r="D174" s="38" t="s">
        <v>16</v>
      </c>
      <c r="E174" s="38" t="s">
        <v>656</v>
      </c>
      <c r="F174" s="39">
        <v>11597</v>
      </c>
      <c r="G174" s="38" t="s">
        <v>17</v>
      </c>
      <c r="H174" s="38" t="s">
        <v>268</v>
      </c>
      <c r="I174" s="38">
        <v>7202</v>
      </c>
      <c r="J174" s="38">
        <v>17415202</v>
      </c>
      <c r="K174" s="38" t="str">
        <f>CONCATENATE(E174,I174,J174)</f>
        <v>30639453738720217415202</v>
      </c>
      <c r="L174" s="40">
        <v>3</v>
      </c>
      <c r="M174" s="41">
        <v>0</v>
      </c>
      <c r="N174" s="41">
        <v>0</v>
      </c>
      <c r="O174" s="41">
        <v>1575</v>
      </c>
      <c r="P174" s="41">
        <v>0</v>
      </c>
    </row>
    <row r="175" spans="1:17" s="42" customFormat="1" x14ac:dyDescent="0.25">
      <c r="A175" s="37">
        <v>45393</v>
      </c>
      <c r="B175" s="38" t="s">
        <v>266</v>
      </c>
      <c r="C175" s="38" t="s">
        <v>267</v>
      </c>
      <c r="D175" s="38" t="s">
        <v>16</v>
      </c>
      <c r="E175" s="38" t="s">
        <v>656</v>
      </c>
      <c r="F175" s="39">
        <v>11597</v>
      </c>
      <c r="G175" s="38" t="s">
        <v>17</v>
      </c>
      <c r="H175" s="38" t="s">
        <v>268</v>
      </c>
      <c r="I175" s="38">
        <v>7202</v>
      </c>
      <c r="J175" s="38">
        <v>17415202</v>
      </c>
      <c r="K175" s="38" t="str">
        <f>CONCATENATE(E175,I175,J175)</f>
        <v>30639453738720217415202</v>
      </c>
      <c r="L175" s="40">
        <v>27</v>
      </c>
      <c r="M175" s="41">
        <v>0</v>
      </c>
      <c r="N175" s="41">
        <v>52500</v>
      </c>
      <c r="O175" s="41">
        <v>14175</v>
      </c>
      <c r="P175" s="41">
        <v>69300</v>
      </c>
    </row>
    <row r="176" spans="1:17" s="35" customFormat="1" x14ac:dyDescent="0.25">
      <c r="A176" s="30">
        <v>45394</v>
      </c>
      <c r="B176" s="31" t="s">
        <v>123</v>
      </c>
      <c r="C176" s="31" t="s">
        <v>124</v>
      </c>
      <c r="D176" s="31" t="s">
        <v>16</v>
      </c>
      <c r="E176" s="31" t="s">
        <v>618</v>
      </c>
      <c r="F176" s="32">
        <v>11306</v>
      </c>
      <c r="G176" s="31" t="s">
        <v>17</v>
      </c>
      <c r="H176" s="31" t="s">
        <v>272</v>
      </c>
      <c r="I176" s="31">
        <v>2024</v>
      </c>
      <c r="J176" s="31">
        <v>90027901</v>
      </c>
      <c r="K176" s="31" t="str">
        <f>CONCATENATE(E176,I176,J176)</f>
        <v>30500008454202490027901</v>
      </c>
      <c r="L176" s="33">
        <v>1.5</v>
      </c>
      <c r="M176" s="34">
        <v>0</v>
      </c>
      <c r="N176" s="34">
        <v>0</v>
      </c>
      <c r="O176" s="34">
        <v>2950.27</v>
      </c>
      <c r="P176" s="34">
        <v>0</v>
      </c>
      <c r="Q176" s="28"/>
    </row>
    <row r="177" spans="1:17" s="35" customFormat="1" x14ac:dyDescent="0.25">
      <c r="A177" s="21">
        <v>45394</v>
      </c>
      <c r="B177" s="22" t="s">
        <v>123</v>
      </c>
      <c r="C177" s="22" t="s">
        <v>124</v>
      </c>
      <c r="D177" s="22" t="s">
        <v>16</v>
      </c>
      <c r="E177" s="22" t="s">
        <v>618</v>
      </c>
      <c r="F177" s="23">
        <v>11306</v>
      </c>
      <c r="G177" s="22" t="s">
        <v>17</v>
      </c>
      <c r="H177" s="22" t="s">
        <v>272</v>
      </c>
      <c r="I177" s="22">
        <v>2024</v>
      </c>
      <c r="J177" s="22">
        <v>90027901</v>
      </c>
      <c r="K177" s="22" t="str">
        <f>CONCATENATE(E177,I177,J177)</f>
        <v>30500008454202490027901</v>
      </c>
      <c r="L177" s="24">
        <v>10.5</v>
      </c>
      <c r="M177" s="25">
        <v>4703.5</v>
      </c>
      <c r="N177" s="25">
        <v>196684.88</v>
      </c>
      <c r="O177" s="25">
        <v>20651.91</v>
      </c>
      <c r="P177" s="25">
        <v>228924.26</v>
      </c>
      <c r="Q177" s="28"/>
    </row>
    <row r="178" spans="1:17" s="35" customFormat="1" x14ac:dyDescent="0.25">
      <c r="A178" s="30">
        <v>45394</v>
      </c>
      <c r="B178" s="31" t="s">
        <v>123</v>
      </c>
      <c r="C178" s="31" t="s">
        <v>124</v>
      </c>
      <c r="D178" s="31" t="s">
        <v>16</v>
      </c>
      <c r="E178" s="31" t="s">
        <v>618</v>
      </c>
      <c r="F178" s="32">
        <v>11307</v>
      </c>
      <c r="G178" s="31" t="s">
        <v>17</v>
      </c>
      <c r="H178" s="31" t="s">
        <v>273</v>
      </c>
      <c r="I178" s="31">
        <v>2024</v>
      </c>
      <c r="J178" s="31">
        <v>90028301</v>
      </c>
      <c r="K178" s="31" t="str">
        <f>CONCATENATE(E178,I178,J178)</f>
        <v>30500008454202490028301</v>
      </c>
      <c r="L178" s="33">
        <v>1.5</v>
      </c>
      <c r="M178" s="34">
        <v>0</v>
      </c>
      <c r="N178" s="34">
        <v>0</v>
      </c>
      <c r="O178" s="34">
        <v>2950.27</v>
      </c>
      <c r="P178" s="34">
        <v>0</v>
      </c>
      <c r="Q178" s="28"/>
    </row>
    <row r="179" spans="1:17" s="35" customFormat="1" x14ac:dyDescent="0.25">
      <c r="A179" s="21">
        <v>45394</v>
      </c>
      <c r="B179" s="22" t="s">
        <v>123</v>
      </c>
      <c r="C179" s="22" t="s">
        <v>124</v>
      </c>
      <c r="D179" s="22" t="s">
        <v>16</v>
      </c>
      <c r="E179" s="22" t="s">
        <v>618</v>
      </c>
      <c r="F179" s="23">
        <v>11307</v>
      </c>
      <c r="G179" s="22" t="s">
        <v>17</v>
      </c>
      <c r="H179" s="22" t="s">
        <v>273</v>
      </c>
      <c r="I179" s="22">
        <v>2024</v>
      </c>
      <c r="J179" s="22">
        <v>90028301</v>
      </c>
      <c r="K179" s="22" t="str">
        <f>CONCATENATE(E179,I179,J179)</f>
        <v>30500008454202490028301</v>
      </c>
      <c r="L179" s="24">
        <v>10.5</v>
      </c>
      <c r="M179" s="25">
        <v>4703.5</v>
      </c>
      <c r="N179" s="25">
        <v>196684.88</v>
      </c>
      <c r="O179" s="25">
        <v>20651.91</v>
      </c>
      <c r="P179" s="25">
        <v>228924.26</v>
      </c>
      <c r="Q179" s="28"/>
    </row>
    <row r="180" spans="1:17" s="35" customFormat="1" x14ac:dyDescent="0.25">
      <c r="A180" s="2">
        <v>45394</v>
      </c>
      <c r="B180" s="1" t="s">
        <v>274</v>
      </c>
      <c r="C180" s="1" t="s">
        <v>275</v>
      </c>
      <c r="D180" s="1" t="s">
        <v>16</v>
      </c>
      <c r="E180" s="1" t="s">
        <v>658</v>
      </c>
      <c r="F180" s="3">
        <v>11315</v>
      </c>
      <c r="G180" s="1" t="s">
        <v>17</v>
      </c>
      <c r="H180" s="29" t="s">
        <v>276</v>
      </c>
      <c r="I180" s="1">
        <v>2</v>
      </c>
      <c r="J180" s="1">
        <v>2522</v>
      </c>
      <c r="K180" s="1" t="str">
        <f>CONCATENATE(E180,I180,J180)</f>
        <v>2018057502322522</v>
      </c>
      <c r="L180" s="4">
        <v>21</v>
      </c>
      <c r="M180" s="5">
        <v>0</v>
      </c>
      <c r="N180" s="5">
        <v>68900</v>
      </c>
      <c r="O180" s="5">
        <v>14469</v>
      </c>
      <c r="P180" s="5">
        <v>83369</v>
      </c>
      <c r="Q180" s="28"/>
    </row>
    <row r="181" spans="1:17" s="35" customFormat="1" x14ac:dyDescent="0.25">
      <c r="A181" s="2">
        <v>45394</v>
      </c>
      <c r="B181" s="1" t="s">
        <v>277</v>
      </c>
      <c r="C181" s="1" t="s">
        <v>278</v>
      </c>
      <c r="D181" s="1" t="s">
        <v>16</v>
      </c>
      <c r="E181" s="1" t="s">
        <v>659</v>
      </c>
      <c r="F181" s="3">
        <v>11476</v>
      </c>
      <c r="G181" s="1" t="s">
        <v>17</v>
      </c>
      <c r="H181" s="29" t="s">
        <v>279</v>
      </c>
      <c r="I181" s="1">
        <v>5</v>
      </c>
      <c r="J181" s="1">
        <v>604</v>
      </c>
      <c r="K181" s="1" t="str">
        <f>CONCATENATE(E181,I181,J181)</f>
        <v>307132398085604</v>
      </c>
      <c r="L181" s="4">
        <v>21</v>
      </c>
      <c r="M181" s="5">
        <v>0</v>
      </c>
      <c r="N181" s="5">
        <v>7596288</v>
      </c>
      <c r="O181" s="5">
        <v>1595220.48</v>
      </c>
      <c r="P181" s="5">
        <v>9191508.4800000004</v>
      </c>
      <c r="Q181" s="28"/>
    </row>
    <row r="182" spans="1:17" s="35" customFormat="1" x14ac:dyDescent="0.25">
      <c r="A182" s="30">
        <v>45394</v>
      </c>
      <c r="B182" s="31" t="s">
        <v>280</v>
      </c>
      <c r="C182" s="31" t="s">
        <v>281</v>
      </c>
      <c r="D182" s="31" t="s">
        <v>16</v>
      </c>
      <c r="E182" s="31" t="s">
        <v>660</v>
      </c>
      <c r="F182" s="32">
        <v>11384</v>
      </c>
      <c r="G182" s="31" t="s">
        <v>17</v>
      </c>
      <c r="H182" s="31" t="s">
        <v>282</v>
      </c>
      <c r="I182" s="31">
        <v>9</v>
      </c>
      <c r="J182" s="31">
        <v>16543</v>
      </c>
      <c r="K182" s="31" t="str">
        <f>CONCATENATE(E182,I182,J182)</f>
        <v>30525346389916543</v>
      </c>
      <c r="L182" s="33">
        <v>3</v>
      </c>
      <c r="M182" s="34">
        <v>0</v>
      </c>
      <c r="N182" s="34">
        <v>0</v>
      </c>
      <c r="O182" s="34">
        <v>85770.85</v>
      </c>
      <c r="P182" s="34">
        <v>0</v>
      </c>
      <c r="Q182" s="28"/>
    </row>
    <row r="183" spans="1:17" s="35" customFormat="1" x14ac:dyDescent="0.25">
      <c r="A183" s="2">
        <v>45394</v>
      </c>
      <c r="B183" s="1" t="s">
        <v>280</v>
      </c>
      <c r="C183" s="1" t="s">
        <v>281</v>
      </c>
      <c r="D183" s="1" t="s">
        <v>16</v>
      </c>
      <c r="E183" s="1" t="s">
        <v>660</v>
      </c>
      <c r="F183" s="3">
        <v>11384</v>
      </c>
      <c r="G183" s="1" t="s">
        <v>17</v>
      </c>
      <c r="H183" s="29" t="s">
        <v>282</v>
      </c>
      <c r="I183" s="1">
        <v>9</v>
      </c>
      <c r="J183" s="1">
        <v>16543</v>
      </c>
      <c r="K183" s="1" t="str">
        <f>CONCATENATE(E183,I183,J183)</f>
        <v>30525346389916543</v>
      </c>
      <c r="L183" s="4">
        <v>21</v>
      </c>
      <c r="M183" s="5">
        <v>0</v>
      </c>
      <c r="N183" s="5">
        <v>2859028.22</v>
      </c>
      <c r="O183" s="5">
        <v>600395.93000000005</v>
      </c>
      <c r="P183" s="5">
        <v>3602375.56</v>
      </c>
      <c r="Q183" s="28"/>
    </row>
    <row r="184" spans="1:17" s="42" customFormat="1" x14ac:dyDescent="0.25">
      <c r="A184" s="37">
        <v>45394</v>
      </c>
      <c r="B184" s="38" t="s">
        <v>283</v>
      </c>
      <c r="C184" s="38" t="s">
        <v>284</v>
      </c>
      <c r="D184" s="38" t="s">
        <v>16</v>
      </c>
      <c r="E184" s="38" t="s">
        <v>661</v>
      </c>
      <c r="F184" s="39">
        <v>11759</v>
      </c>
      <c r="G184" s="38" t="s">
        <v>17</v>
      </c>
      <c r="H184" s="38" t="s">
        <v>285</v>
      </c>
      <c r="I184" s="38">
        <v>10</v>
      </c>
      <c r="J184" s="38">
        <v>75878</v>
      </c>
      <c r="K184" s="38" t="str">
        <f>CONCATENATE(E184,I184,J184)</f>
        <v>307091141031075878</v>
      </c>
      <c r="L184" s="40">
        <v>21</v>
      </c>
      <c r="M184" s="41">
        <v>1268.71</v>
      </c>
      <c r="N184" s="41">
        <v>10521.75</v>
      </c>
      <c r="O184" s="41">
        <v>2209.5700000000002</v>
      </c>
      <c r="P184" s="41">
        <v>14000.03</v>
      </c>
    </row>
    <row r="185" spans="1:17" s="35" customFormat="1" x14ac:dyDescent="0.25">
      <c r="A185" s="30">
        <v>45394</v>
      </c>
      <c r="B185" s="31" t="s">
        <v>144</v>
      </c>
      <c r="C185" s="31" t="s">
        <v>145</v>
      </c>
      <c r="D185" s="31" t="s">
        <v>16</v>
      </c>
      <c r="E185" s="31" t="s">
        <v>625</v>
      </c>
      <c r="F185" s="32">
        <v>11383</v>
      </c>
      <c r="G185" s="31" t="s">
        <v>17</v>
      </c>
      <c r="H185" s="31" t="s">
        <v>286</v>
      </c>
      <c r="I185" s="31">
        <v>46</v>
      </c>
      <c r="J185" s="31">
        <v>399093</v>
      </c>
      <c r="K185" s="31" t="str">
        <f>CONCATENATE(E185,I185,J185)</f>
        <v>3053214979346399093</v>
      </c>
      <c r="L185" s="33">
        <v>3</v>
      </c>
      <c r="M185" s="34">
        <v>0</v>
      </c>
      <c r="N185" s="34">
        <v>0</v>
      </c>
      <c r="O185" s="34">
        <v>8710.48</v>
      </c>
      <c r="P185" s="34">
        <v>0</v>
      </c>
      <c r="Q185" s="28"/>
    </row>
    <row r="186" spans="1:17" s="35" customFormat="1" x14ac:dyDescent="0.25">
      <c r="A186" s="2">
        <v>45394</v>
      </c>
      <c r="B186" s="1" t="s">
        <v>144</v>
      </c>
      <c r="C186" s="1" t="s">
        <v>145</v>
      </c>
      <c r="D186" s="1" t="s">
        <v>16</v>
      </c>
      <c r="E186" s="1" t="s">
        <v>625</v>
      </c>
      <c r="F186" s="3">
        <v>11383</v>
      </c>
      <c r="G186" s="1" t="s">
        <v>17</v>
      </c>
      <c r="H186" s="29" t="s">
        <v>286</v>
      </c>
      <c r="I186" s="1">
        <v>46</v>
      </c>
      <c r="J186" s="1">
        <v>399093</v>
      </c>
      <c r="K186" s="1" t="str">
        <f>CONCATENATE(E186,I186,J186)</f>
        <v>3053214979346399093</v>
      </c>
      <c r="L186" s="4">
        <v>21</v>
      </c>
      <c r="M186" s="5">
        <v>0</v>
      </c>
      <c r="N186" s="5">
        <v>290349.36</v>
      </c>
      <c r="O186" s="5">
        <v>60973.37</v>
      </c>
      <c r="P186" s="5">
        <v>365840.2</v>
      </c>
      <c r="Q186" s="28"/>
    </row>
    <row r="187" spans="1:17" s="35" customFormat="1" x14ac:dyDescent="0.25">
      <c r="A187" s="30">
        <v>45394</v>
      </c>
      <c r="B187" s="31" t="s">
        <v>176</v>
      </c>
      <c r="C187" s="31" t="s">
        <v>177</v>
      </c>
      <c r="D187" s="31" t="s">
        <v>16</v>
      </c>
      <c r="E187" s="31" t="s">
        <v>634</v>
      </c>
      <c r="F187" s="32">
        <v>11398</v>
      </c>
      <c r="G187" s="31" t="s">
        <v>17</v>
      </c>
      <c r="H187" s="31" t="s">
        <v>287</v>
      </c>
      <c r="I187" s="31">
        <v>63</v>
      </c>
      <c r="J187" s="31">
        <v>65337</v>
      </c>
      <c r="K187" s="31" t="str">
        <f>CONCATENATE(E187,I187,J187)</f>
        <v>305038616386365337</v>
      </c>
      <c r="L187" s="33">
        <v>3</v>
      </c>
      <c r="M187" s="34">
        <v>0</v>
      </c>
      <c r="N187" s="34">
        <v>0</v>
      </c>
      <c r="O187" s="34">
        <v>12635.97</v>
      </c>
      <c r="P187" s="34">
        <v>0</v>
      </c>
      <c r="Q187" s="28"/>
    </row>
    <row r="188" spans="1:17" s="35" customFormat="1" x14ac:dyDescent="0.25">
      <c r="A188" s="2">
        <v>45394</v>
      </c>
      <c r="B188" s="1" t="s">
        <v>176</v>
      </c>
      <c r="C188" s="1" t="s">
        <v>177</v>
      </c>
      <c r="D188" s="1" t="s">
        <v>16</v>
      </c>
      <c r="E188" s="1" t="s">
        <v>634</v>
      </c>
      <c r="F188" s="3">
        <v>11398</v>
      </c>
      <c r="G188" s="1" t="s">
        <v>17</v>
      </c>
      <c r="H188" s="29" t="s">
        <v>287</v>
      </c>
      <c r="I188" s="1">
        <v>63</v>
      </c>
      <c r="J188" s="1">
        <v>65337</v>
      </c>
      <c r="K188" s="1" t="str">
        <f>CONCATENATE(E188,I188,J188)</f>
        <v>305038616386365337</v>
      </c>
      <c r="L188" s="4">
        <v>21</v>
      </c>
      <c r="M188" s="5">
        <v>0</v>
      </c>
      <c r="N188" s="5">
        <v>421199.16</v>
      </c>
      <c r="O188" s="5">
        <v>88451.83</v>
      </c>
      <c r="P188" s="5">
        <v>530710.94999999995</v>
      </c>
      <c r="Q188" s="28"/>
    </row>
    <row r="189" spans="1:17" s="35" customFormat="1" x14ac:dyDescent="0.25">
      <c r="A189" s="30">
        <v>45394</v>
      </c>
      <c r="B189" s="31" t="s">
        <v>176</v>
      </c>
      <c r="C189" s="31" t="s">
        <v>177</v>
      </c>
      <c r="D189" s="31" t="s">
        <v>16</v>
      </c>
      <c r="E189" s="31" t="s">
        <v>634</v>
      </c>
      <c r="F189" s="32">
        <v>11399</v>
      </c>
      <c r="G189" s="31" t="s">
        <v>17</v>
      </c>
      <c r="H189" s="31" t="s">
        <v>288</v>
      </c>
      <c r="I189" s="31">
        <v>63</v>
      </c>
      <c r="J189" s="31">
        <v>65342</v>
      </c>
      <c r="K189" s="31" t="str">
        <f>CONCATENATE(E189,I189,J189)</f>
        <v>305038616386365342</v>
      </c>
      <c r="L189" s="33">
        <v>3</v>
      </c>
      <c r="M189" s="34">
        <v>0</v>
      </c>
      <c r="N189" s="34">
        <v>0</v>
      </c>
      <c r="O189" s="34">
        <v>5822.09</v>
      </c>
      <c r="P189" s="34">
        <v>0</v>
      </c>
      <c r="Q189" s="28"/>
    </row>
    <row r="190" spans="1:17" s="35" customFormat="1" x14ac:dyDescent="0.25">
      <c r="A190" s="2">
        <v>45394</v>
      </c>
      <c r="B190" s="1" t="s">
        <v>176</v>
      </c>
      <c r="C190" s="1" t="s">
        <v>177</v>
      </c>
      <c r="D190" s="1" t="s">
        <v>16</v>
      </c>
      <c r="E190" s="1" t="s">
        <v>634</v>
      </c>
      <c r="F190" s="3">
        <v>11399</v>
      </c>
      <c r="G190" s="1" t="s">
        <v>17</v>
      </c>
      <c r="H190" s="29" t="s">
        <v>288</v>
      </c>
      <c r="I190" s="1">
        <v>63</v>
      </c>
      <c r="J190" s="1">
        <v>65342</v>
      </c>
      <c r="K190" s="1" t="str">
        <f>CONCATENATE(E190,I190,J190)</f>
        <v>305038616386365342</v>
      </c>
      <c r="L190" s="4">
        <v>21</v>
      </c>
      <c r="M190" s="5">
        <v>0</v>
      </c>
      <c r="N190" s="5">
        <v>194069.83</v>
      </c>
      <c r="O190" s="5">
        <v>40754.67</v>
      </c>
      <c r="P190" s="5">
        <v>244527.99</v>
      </c>
      <c r="Q190" s="28"/>
    </row>
    <row r="191" spans="1:17" s="35" customFormat="1" x14ac:dyDescent="0.25">
      <c r="A191" s="2">
        <v>45394</v>
      </c>
      <c r="B191" s="1" t="s">
        <v>289</v>
      </c>
      <c r="C191" s="1" t="s">
        <v>290</v>
      </c>
      <c r="D191" s="1" t="s">
        <v>16</v>
      </c>
      <c r="E191" s="1" t="s">
        <v>662</v>
      </c>
      <c r="F191" s="3">
        <v>11387</v>
      </c>
      <c r="G191" s="1" t="s">
        <v>17</v>
      </c>
      <c r="H191" s="29" t="s">
        <v>291</v>
      </c>
      <c r="I191" s="1">
        <v>539</v>
      </c>
      <c r="J191" s="1">
        <v>39999</v>
      </c>
      <c r="K191" s="1" t="str">
        <f>CONCATENATE(E191,I191,J191)</f>
        <v>3066319759953939999</v>
      </c>
      <c r="L191" s="4">
        <v>21</v>
      </c>
      <c r="M191" s="5">
        <v>0</v>
      </c>
      <c r="N191" s="5">
        <v>664576.76</v>
      </c>
      <c r="O191" s="5">
        <v>139561.12</v>
      </c>
      <c r="P191" s="5">
        <v>817429.41</v>
      </c>
      <c r="Q191" s="28"/>
    </row>
    <row r="192" spans="1:17" s="35" customFormat="1" x14ac:dyDescent="0.25">
      <c r="A192" s="2">
        <v>45394</v>
      </c>
      <c r="B192" s="1" t="s">
        <v>292</v>
      </c>
      <c r="C192" s="1" t="s">
        <v>293</v>
      </c>
      <c r="D192" s="1" t="s">
        <v>16</v>
      </c>
      <c r="E192" s="1" t="s">
        <v>663</v>
      </c>
      <c r="F192" s="3">
        <v>11389</v>
      </c>
      <c r="G192" s="1" t="s">
        <v>17</v>
      </c>
      <c r="H192" s="29" t="s">
        <v>294</v>
      </c>
      <c r="I192" s="1">
        <v>1001</v>
      </c>
      <c r="J192" s="1">
        <v>2744</v>
      </c>
      <c r="K192" s="1" t="str">
        <f>CONCATENATE(E192,I192,J192)</f>
        <v>3050343016510012744</v>
      </c>
      <c r="L192" s="4">
        <v>21</v>
      </c>
      <c r="M192" s="5">
        <v>0</v>
      </c>
      <c r="N192" s="5">
        <v>1070244</v>
      </c>
      <c r="O192" s="5">
        <v>224751.24</v>
      </c>
      <c r="P192" s="5">
        <v>1294995.24</v>
      </c>
      <c r="Q192" s="28"/>
    </row>
    <row r="193" spans="1:17" s="35" customFormat="1" x14ac:dyDescent="0.25">
      <c r="A193" s="30">
        <v>45394</v>
      </c>
      <c r="B193" s="31" t="s">
        <v>179</v>
      </c>
      <c r="C193" s="31" t="s">
        <v>180</v>
      </c>
      <c r="D193" s="31" t="s">
        <v>16</v>
      </c>
      <c r="E193" s="31" t="s">
        <v>635</v>
      </c>
      <c r="F193" s="32">
        <v>11385</v>
      </c>
      <c r="G193" s="31" t="s">
        <v>17</v>
      </c>
      <c r="H193" s="31" t="s">
        <v>295</v>
      </c>
      <c r="I193" s="31">
        <v>2002</v>
      </c>
      <c r="J193" s="31">
        <v>282972</v>
      </c>
      <c r="K193" s="31" t="str">
        <f>CONCATENATE(E193,I193,J193)</f>
        <v>305007682622002282972</v>
      </c>
      <c r="L193" s="33">
        <v>3</v>
      </c>
      <c r="M193" s="34">
        <v>0</v>
      </c>
      <c r="N193" s="34">
        <v>0</v>
      </c>
      <c r="O193" s="34">
        <v>152746.45000000001</v>
      </c>
      <c r="P193" s="34">
        <v>0</v>
      </c>
      <c r="Q193" s="28"/>
    </row>
    <row r="194" spans="1:17" s="35" customFormat="1" x14ac:dyDescent="0.25">
      <c r="A194" s="2">
        <v>45394</v>
      </c>
      <c r="B194" s="1" t="s">
        <v>179</v>
      </c>
      <c r="C194" s="1" t="s">
        <v>180</v>
      </c>
      <c r="D194" s="1" t="s">
        <v>16</v>
      </c>
      <c r="E194" s="1" t="s">
        <v>635</v>
      </c>
      <c r="F194" s="3">
        <v>11385</v>
      </c>
      <c r="G194" s="1" t="s">
        <v>17</v>
      </c>
      <c r="H194" s="29" t="s">
        <v>295</v>
      </c>
      <c r="I194" s="1">
        <v>2002</v>
      </c>
      <c r="J194" s="1">
        <v>282972</v>
      </c>
      <c r="K194" s="1" t="str">
        <f>CONCATENATE(E194,I194,J194)</f>
        <v>305007682622002282972</v>
      </c>
      <c r="L194" s="4">
        <v>21</v>
      </c>
      <c r="M194" s="5">
        <v>0</v>
      </c>
      <c r="N194" s="5">
        <v>5091548.28</v>
      </c>
      <c r="O194" s="5">
        <v>1069225.1299999999</v>
      </c>
      <c r="P194" s="5">
        <v>6568097.2800000003</v>
      </c>
      <c r="Q194" s="28"/>
    </row>
    <row r="195" spans="1:17" s="35" customFormat="1" x14ac:dyDescent="0.25">
      <c r="A195" s="30">
        <v>45394</v>
      </c>
      <c r="B195" s="31" t="s">
        <v>158</v>
      </c>
      <c r="C195" s="31" t="s">
        <v>159</v>
      </c>
      <c r="D195" s="31" t="s">
        <v>16</v>
      </c>
      <c r="E195" s="31" t="s">
        <v>629</v>
      </c>
      <c r="F195" s="32">
        <v>11798</v>
      </c>
      <c r="G195" s="31" t="s">
        <v>21</v>
      </c>
      <c r="H195" s="31" t="s">
        <v>300</v>
      </c>
      <c r="I195" s="31">
        <v>6004</v>
      </c>
      <c r="J195" s="31">
        <v>1735658</v>
      </c>
      <c r="K195" s="31" t="str">
        <f>CONCATENATE(E195,I195,J195)</f>
        <v>3050111624260041735658</v>
      </c>
      <c r="L195" s="33">
        <v>3</v>
      </c>
      <c r="M195" s="34">
        <v>0</v>
      </c>
      <c r="N195" s="34">
        <v>0</v>
      </c>
      <c r="O195" s="34">
        <v>-1266.24</v>
      </c>
      <c r="P195" s="34">
        <v>0</v>
      </c>
      <c r="Q195" s="28"/>
    </row>
    <row r="196" spans="1:17" s="35" customFormat="1" x14ac:dyDescent="0.25">
      <c r="A196" s="2">
        <v>45394</v>
      </c>
      <c r="B196" s="1" t="s">
        <v>158</v>
      </c>
      <c r="C196" s="1" t="s">
        <v>159</v>
      </c>
      <c r="D196" s="1" t="s">
        <v>16</v>
      </c>
      <c r="E196" s="1" t="s">
        <v>629</v>
      </c>
      <c r="F196" s="3">
        <v>11798</v>
      </c>
      <c r="G196" s="1" t="s">
        <v>21</v>
      </c>
      <c r="H196" s="29" t="s">
        <v>300</v>
      </c>
      <c r="I196" s="1">
        <v>6004</v>
      </c>
      <c r="J196" s="1">
        <v>1735658</v>
      </c>
      <c r="K196" s="1" t="str">
        <f>CONCATENATE(E196,I196,J196)</f>
        <v>3050111624260041735658</v>
      </c>
      <c r="L196" s="4">
        <v>21</v>
      </c>
      <c r="M196" s="5">
        <v>0</v>
      </c>
      <c r="N196" s="5">
        <v>-42208.14</v>
      </c>
      <c r="O196" s="5">
        <v>-8863.7099999999991</v>
      </c>
      <c r="P196" s="5">
        <v>-52338.09</v>
      </c>
      <c r="Q196" s="28"/>
    </row>
    <row r="197" spans="1:17" s="35" customFormat="1" x14ac:dyDescent="0.25">
      <c r="A197" s="30">
        <v>45394</v>
      </c>
      <c r="B197" s="31" t="s">
        <v>19</v>
      </c>
      <c r="C197" s="31" t="s">
        <v>20</v>
      </c>
      <c r="D197" s="31" t="s">
        <v>16</v>
      </c>
      <c r="E197" s="31" t="s">
        <v>589</v>
      </c>
      <c r="F197" s="32">
        <v>11548</v>
      </c>
      <c r="G197" s="31" t="s">
        <v>17</v>
      </c>
      <c r="H197" s="31" t="s">
        <v>296</v>
      </c>
      <c r="I197" s="31">
        <v>6156</v>
      </c>
      <c r="J197" s="31">
        <v>6703431</v>
      </c>
      <c r="K197" s="31" t="str">
        <f>CONCATENATE(E197,I197,J197)</f>
        <v>3054724233161566703431</v>
      </c>
      <c r="L197" s="33">
        <v>3</v>
      </c>
      <c r="M197" s="34">
        <v>0</v>
      </c>
      <c r="N197" s="34">
        <v>0</v>
      </c>
      <c r="O197" s="34">
        <v>22790</v>
      </c>
      <c r="P197" s="34">
        <v>0</v>
      </c>
      <c r="Q197" s="28"/>
    </row>
    <row r="198" spans="1:17" s="35" customFormat="1" x14ac:dyDescent="0.25">
      <c r="A198" s="2">
        <v>45394</v>
      </c>
      <c r="B198" s="1" t="s">
        <v>19</v>
      </c>
      <c r="C198" s="1" t="s">
        <v>20</v>
      </c>
      <c r="D198" s="1" t="s">
        <v>16</v>
      </c>
      <c r="E198" s="1" t="s">
        <v>589</v>
      </c>
      <c r="F198" s="3">
        <v>11548</v>
      </c>
      <c r="G198" s="1" t="s">
        <v>17</v>
      </c>
      <c r="H198" s="29" t="s">
        <v>296</v>
      </c>
      <c r="I198" s="1">
        <v>6156</v>
      </c>
      <c r="J198" s="1">
        <v>6703431</v>
      </c>
      <c r="K198" s="1" t="str">
        <f>CONCATENATE(E198,I198,J198)</f>
        <v>3054724233161566703431</v>
      </c>
      <c r="L198" s="4">
        <v>21</v>
      </c>
      <c r="M198" s="5">
        <v>0</v>
      </c>
      <c r="N198" s="5">
        <v>759666.78</v>
      </c>
      <c r="O198" s="5">
        <v>159530.01999999999</v>
      </c>
      <c r="P198" s="5">
        <v>957180.14</v>
      </c>
      <c r="Q198" s="28"/>
    </row>
    <row r="199" spans="1:17" s="35" customFormat="1" x14ac:dyDescent="0.25">
      <c r="A199" s="2">
        <v>45394</v>
      </c>
      <c r="B199" s="1" t="s">
        <v>297</v>
      </c>
      <c r="C199" s="1" t="s">
        <v>298</v>
      </c>
      <c r="D199" s="1" t="s">
        <v>112</v>
      </c>
      <c r="E199" s="1" t="s">
        <v>664</v>
      </c>
      <c r="F199" s="3">
        <v>11320</v>
      </c>
      <c r="G199" s="1" t="s">
        <v>17</v>
      </c>
      <c r="H199" s="1" t="s">
        <v>299</v>
      </c>
      <c r="I199" s="1">
        <v>1</v>
      </c>
      <c r="J199" s="1">
        <v>108</v>
      </c>
      <c r="K199" s="1" t="str">
        <f>CONCATENATE(E199,I199,J199)</f>
        <v>272488122281108</v>
      </c>
      <c r="L199" s="4">
        <v>0</v>
      </c>
      <c r="M199" s="5">
        <v>35000</v>
      </c>
      <c r="N199" s="5">
        <v>0</v>
      </c>
      <c r="O199" s="5">
        <v>0</v>
      </c>
      <c r="P199" s="5">
        <v>35000</v>
      </c>
      <c r="Q199" s="28"/>
    </row>
    <row r="200" spans="1:17" x14ac:dyDescent="0.25">
      <c r="A200" s="2">
        <v>45395</v>
      </c>
      <c r="B200" s="1" t="s">
        <v>301</v>
      </c>
      <c r="C200" s="1" t="s">
        <v>302</v>
      </c>
      <c r="D200" s="1" t="s">
        <v>16</v>
      </c>
      <c r="E200" s="1" t="s">
        <v>665</v>
      </c>
      <c r="F200" s="3">
        <v>11475</v>
      </c>
      <c r="G200" s="1" t="s">
        <v>17</v>
      </c>
      <c r="H200" s="29" t="s">
        <v>303</v>
      </c>
      <c r="I200" s="1">
        <v>1</v>
      </c>
      <c r="J200" s="1">
        <v>400</v>
      </c>
      <c r="K200" s="1" t="str">
        <f>CONCATENATE(E200,I200,J200)</f>
        <v>307177421211400</v>
      </c>
      <c r="L200" s="4">
        <v>21</v>
      </c>
      <c r="M200" s="5">
        <v>0</v>
      </c>
      <c r="N200" s="5">
        <v>11880000</v>
      </c>
      <c r="O200" s="5">
        <v>2494800</v>
      </c>
      <c r="P200" s="5">
        <v>14374800</v>
      </c>
    </row>
    <row r="201" spans="1:17" x14ac:dyDescent="0.25">
      <c r="A201" s="30">
        <v>45395</v>
      </c>
      <c r="B201" s="31" t="s">
        <v>182</v>
      </c>
      <c r="C201" s="31" t="s">
        <v>183</v>
      </c>
      <c r="D201" s="31" t="s">
        <v>16</v>
      </c>
      <c r="E201" s="31" t="s">
        <v>636</v>
      </c>
      <c r="F201" s="32">
        <v>11386</v>
      </c>
      <c r="G201" s="31" t="s">
        <v>17</v>
      </c>
      <c r="H201" s="31" t="s">
        <v>304</v>
      </c>
      <c r="I201" s="31">
        <v>43</v>
      </c>
      <c r="J201" s="31">
        <v>291418</v>
      </c>
      <c r="K201" s="31" t="str">
        <f>CONCATENATE(E201,I201,J201)</f>
        <v>3050097982443291418</v>
      </c>
      <c r="L201" s="33">
        <v>3</v>
      </c>
      <c r="M201" s="34">
        <v>0</v>
      </c>
      <c r="N201" s="34">
        <v>0</v>
      </c>
      <c r="O201" s="34">
        <v>73252.350000000006</v>
      </c>
      <c r="P201" s="34">
        <v>0</v>
      </c>
    </row>
    <row r="202" spans="1:17" x14ac:dyDescent="0.25">
      <c r="A202" s="2">
        <v>45395</v>
      </c>
      <c r="B202" s="1" t="s">
        <v>182</v>
      </c>
      <c r="C202" s="1" t="s">
        <v>183</v>
      </c>
      <c r="D202" s="1" t="s">
        <v>16</v>
      </c>
      <c r="E202" s="1" t="s">
        <v>636</v>
      </c>
      <c r="F202" s="3">
        <v>11386</v>
      </c>
      <c r="G202" s="1" t="s">
        <v>17</v>
      </c>
      <c r="H202" s="29" t="s">
        <v>304</v>
      </c>
      <c r="I202" s="1">
        <v>43</v>
      </c>
      <c r="J202" s="1">
        <v>291418</v>
      </c>
      <c r="K202" s="1" t="str">
        <f>CONCATENATE(E202,I202,J202)</f>
        <v>3050097982443291418</v>
      </c>
      <c r="L202" s="4">
        <v>21</v>
      </c>
      <c r="M202" s="5">
        <v>0</v>
      </c>
      <c r="N202" s="5">
        <v>2441745</v>
      </c>
      <c r="O202" s="5">
        <v>512766.45</v>
      </c>
      <c r="P202" s="5">
        <v>3149851.05</v>
      </c>
    </row>
    <row r="203" spans="1:17" x14ac:dyDescent="0.25">
      <c r="A203" s="2">
        <v>45395</v>
      </c>
      <c r="B203" s="1" t="s">
        <v>305</v>
      </c>
      <c r="C203" s="1" t="s">
        <v>306</v>
      </c>
      <c r="D203" s="1" t="s">
        <v>16</v>
      </c>
      <c r="E203" s="1" t="s">
        <v>666</v>
      </c>
      <c r="F203" s="3">
        <v>11520</v>
      </c>
      <c r="G203" s="1" t="s">
        <v>17</v>
      </c>
      <c r="H203" s="29" t="s">
        <v>307</v>
      </c>
      <c r="I203" s="1">
        <v>161</v>
      </c>
      <c r="J203" s="1">
        <v>195270</v>
      </c>
      <c r="K203" s="1" t="str">
        <f>CONCATENATE(E203,I203,J203)</f>
        <v>30566108352161195270</v>
      </c>
      <c r="L203" s="4">
        <v>21</v>
      </c>
      <c r="M203" s="5">
        <v>0</v>
      </c>
      <c r="N203" s="5">
        <v>2079175.53</v>
      </c>
      <c r="O203" s="5">
        <v>436626.86</v>
      </c>
      <c r="P203" s="5">
        <v>2619761.17</v>
      </c>
    </row>
    <row r="204" spans="1:17" x14ac:dyDescent="0.25">
      <c r="A204" s="2">
        <v>45395</v>
      </c>
      <c r="B204" s="1" t="s">
        <v>30</v>
      </c>
      <c r="C204" s="1" t="s">
        <v>31</v>
      </c>
      <c r="D204" s="1" t="s">
        <v>16</v>
      </c>
      <c r="E204" s="1" t="s">
        <v>592</v>
      </c>
      <c r="F204" s="3">
        <v>11773</v>
      </c>
      <c r="G204" s="1" t="s">
        <v>17</v>
      </c>
      <c r="H204" s="29" t="s">
        <v>308</v>
      </c>
      <c r="I204" s="1">
        <v>7298</v>
      </c>
      <c r="J204" s="1">
        <v>29663</v>
      </c>
      <c r="K204" s="1" t="str">
        <f>CONCATENATE(E204,I204,J204)</f>
        <v>30678774495729829663</v>
      </c>
      <c r="L204" s="4">
        <v>21</v>
      </c>
      <c r="M204" s="5">
        <v>6369.22</v>
      </c>
      <c r="N204" s="5">
        <v>45980.79</v>
      </c>
      <c r="O204" s="5">
        <v>9655.9699999999993</v>
      </c>
      <c r="P204" s="5">
        <v>63052.98</v>
      </c>
    </row>
    <row r="205" spans="1:17" s="42" customFormat="1" x14ac:dyDescent="0.25">
      <c r="A205" s="37">
        <v>45396</v>
      </c>
      <c r="B205" s="38" t="s">
        <v>23</v>
      </c>
      <c r="C205" s="38" t="s">
        <v>24</v>
      </c>
      <c r="D205" s="38" t="s">
        <v>16</v>
      </c>
      <c r="E205" s="38" t="s">
        <v>590</v>
      </c>
      <c r="F205" s="39">
        <v>11717</v>
      </c>
      <c r="G205" s="38" t="s">
        <v>17</v>
      </c>
      <c r="H205" s="38" t="s">
        <v>309</v>
      </c>
      <c r="I205" s="38">
        <v>10</v>
      </c>
      <c r="J205" s="38">
        <v>22303</v>
      </c>
      <c r="K205" s="38" t="str">
        <f>CONCATENATE(E205,I205,J205)</f>
        <v>307117580341022303</v>
      </c>
      <c r="L205" s="40">
        <v>10.5</v>
      </c>
      <c r="M205" s="41">
        <v>0</v>
      </c>
      <c r="N205" s="41"/>
      <c r="O205" s="41">
        <v>4154.25</v>
      </c>
      <c r="P205" s="41">
        <v>0</v>
      </c>
    </row>
    <row r="206" spans="1:17" s="42" customFormat="1" x14ac:dyDescent="0.25">
      <c r="A206" s="37">
        <v>45396</v>
      </c>
      <c r="B206" s="38" t="s">
        <v>23</v>
      </c>
      <c r="C206" s="38" t="s">
        <v>24</v>
      </c>
      <c r="D206" s="38" t="s">
        <v>16</v>
      </c>
      <c r="E206" s="38" t="s">
        <v>590</v>
      </c>
      <c r="F206" s="39">
        <v>11717</v>
      </c>
      <c r="G206" s="38" t="s">
        <v>17</v>
      </c>
      <c r="H206" s="38" t="s">
        <v>309</v>
      </c>
      <c r="I206" s="38">
        <v>10</v>
      </c>
      <c r="J206" s="38">
        <v>22303</v>
      </c>
      <c r="K206" s="38" t="str">
        <f>CONCATENATE(E206,I206,J206)</f>
        <v>307117580341022303</v>
      </c>
      <c r="L206" s="40">
        <v>21</v>
      </c>
      <c r="M206" s="41">
        <v>0</v>
      </c>
      <c r="N206" s="41">
        <v>42797.7</v>
      </c>
      <c r="O206" s="41">
        <v>679.01</v>
      </c>
      <c r="P206" s="41">
        <v>48486.91</v>
      </c>
    </row>
    <row r="207" spans="1:17" x14ac:dyDescent="0.25">
      <c r="A207" s="30">
        <v>45396</v>
      </c>
      <c r="B207" s="31" t="s">
        <v>310</v>
      </c>
      <c r="C207" s="31" t="s">
        <v>311</v>
      </c>
      <c r="D207" s="31" t="s">
        <v>16</v>
      </c>
      <c r="E207" s="31" t="s">
        <v>667</v>
      </c>
      <c r="F207" s="32">
        <v>11776</v>
      </c>
      <c r="G207" s="31" t="s">
        <v>17</v>
      </c>
      <c r="H207" s="31" t="s">
        <v>312</v>
      </c>
      <c r="I207" s="31">
        <v>8263</v>
      </c>
      <c r="J207" s="31">
        <v>9869</v>
      </c>
      <c r="K207" s="31" t="str">
        <f>CONCATENATE(E207,I207,J207)</f>
        <v>3059036076382639869</v>
      </c>
      <c r="L207" s="33">
        <v>1.5</v>
      </c>
      <c r="M207" s="34">
        <v>0</v>
      </c>
      <c r="N207" s="34">
        <v>0</v>
      </c>
      <c r="O207" s="34">
        <v>481.43</v>
      </c>
      <c r="P207" s="34">
        <v>0</v>
      </c>
    </row>
    <row r="208" spans="1:17" x14ac:dyDescent="0.25">
      <c r="A208" s="30">
        <v>45396</v>
      </c>
      <c r="B208" s="31" t="s">
        <v>310</v>
      </c>
      <c r="C208" s="31" t="s">
        <v>311</v>
      </c>
      <c r="D208" s="31" t="s">
        <v>16</v>
      </c>
      <c r="E208" s="31" t="s">
        <v>667</v>
      </c>
      <c r="F208" s="32">
        <v>11776</v>
      </c>
      <c r="G208" s="31" t="s">
        <v>17</v>
      </c>
      <c r="H208" s="31" t="s">
        <v>312</v>
      </c>
      <c r="I208" s="31">
        <v>8263</v>
      </c>
      <c r="J208" s="31">
        <v>9869</v>
      </c>
      <c r="K208" s="31" t="str">
        <f>CONCATENATE(E208,I208,J208)</f>
        <v>3059036076382639869</v>
      </c>
      <c r="L208" s="33">
        <v>3</v>
      </c>
      <c r="M208" s="34">
        <v>0</v>
      </c>
      <c r="N208" s="34">
        <v>0</v>
      </c>
      <c r="O208" s="34">
        <v>779.75</v>
      </c>
      <c r="P208" s="34">
        <v>0</v>
      </c>
    </row>
    <row r="209" spans="1:17" x14ac:dyDescent="0.25">
      <c r="A209" s="2">
        <v>45396</v>
      </c>
      <c r="B209" s="1" t="s">
        <v>310</v>
      </c>
      <c r="C209" s="1" t="s">
        <v>311</v>
      </c>
      <c r="D209" s="1" t="s">
        <v>16</v>
      </c>
      <c r="E209" s="1" t="s">
        <v>667</v>
      </c>
      <c r="F209" s="3">
        <v>11776</v>
      </c>
      <c r="G209" s="1" t="s">
        <v>17</v>
      </c>
      <c r="H209" s="1" t="s">
        <v>312</v>
      </c>
      <c r="I209" s="1">
        <v>8263</v>
      </c>
      <c r="J209" s="1">
        <v>9869</v>
      </c>
      <c r="K209" s="1" t="str">
        <f>CONCATENATE(E209,I209,J209)</f>
        <v>3059036076382639869</v>
      </c>
      <c r="L209" s="4">
        <v>10.5</v>
      </c>
      <c r="M209" s="5">
        <v>0</v>
      </c>
      <c r="N209" s="5">
        <v>0</v>
      </c>
      <c r="O209" s="5">
        <v>3369.98</v>
      </c>
      <c r="P209" s="5">
        <v>0</v>
      </c>
    </row>
    <row r="210" spans="1:17" x14ac:dyDescent="0.25">
      <c r="A210" s="2">
        <v>45396</v>
      </c>
      <c r="B210" s="1" t="s">
        <v>310</v>
      </c>
      <c r="C210" s="1" t="s">
        <v>311</v>
      </c>
      <c r="D210" s="1" t="s">
        <v>16</v>
      </c>
      <c r="E210" s="1" t="s">
        <v>667</v>
      </c>
      <c r="F210" s="3">
        <v>11776</v>
      </c>
      <c r="G210" s="1" t="s">
        <v>17</v>
      </c>
      <c r="H210" s="29" t="s">
        <v>312</v>
      </c>
      <c r="I210" s="1">
        <v>8263</v>
      </c>
      <c r="J210" s="1">
        <v>9869</v>
      </c>
      <c r="K210" s="1" t="str">
        <f>CONCATENATE(E210,I210,J210)</f>
        <v>3059036076382639869</v>
      </c>
      <c r="L210" s="4">
        <v>21</v>
      </c>
      <c r="M210" s="5">
        <v>0</v>
      </c>
      <c r="N210" s="5">
        <v>58086.76</v>
      </c>
      <c r="O210" s="5">
        <v>5458.26</v>
      </c>
      <c r="P210" s="5">
        <v>71080.52</v>
      </c>
    </row>
    <row r="211" spans="1:17" s="42" customFormat="1" x14ac:dyDescent="0.25">
      <c r="A211" s="37">
        <v>45397</v>
      </c>
      <c r="B211" s="38" t="s">
        <v>313</v>
      </c>
      <c r="C211" s="38" t="s">
        <v>314</v>
      </c>
      <c r="D211" s="38" t="s">
        <v>16</v>
      </c>
      <c r="E211" s="38" t="s">
        <v>668</v>
      </c>
      <c r="F211" s="39">
        <v>11646</v>
      </c>
      <c r="G211" s="38" t="s">
        <v>17</v>
      </c>
      <c r="H211" s="38" t="s">
        <v>315</v>
      </c>
      <c r="I211" s="38">
        <v>2024</v>
      </c>
      <c r="J211" s="38">
        <v>10746314</v>
      </c>
      <c r="K211" s="38" t="str">
        <f>CONCATENATE(E211,I211,J211)</f>
        <v>30592717340202410746314</v>
      </c>
      <c r="L211" s="40">
        <v>21</v>
      </c>
      <c r="M211" s="41">
        <v>4913.0200000000004</v>
      </c>
      <c r="N211" s="41">
        <v>73670.5</v>
      </c>
      <c r="O211" s="41">
        <v>15470.81</v>
      </c>
      <c r="P211" s="41">
        <v>97737.85</v>
      </c>
    </row>
    <row r="212" spans="1:17" s="42" customFormat="1" x14ac:dyDescent="0.25">
      <c r="A212" s="37">
        <v>45397</v>
      </c>
      <c r="B212" s="38" t="s">
        <v>313</v>
      </c>
      <c r="C212" s="38" t="s">
        <v>314</v>
      </c>
      <c r="D212" s="38" t="s">
        <v>16</v>
      </c>
      <c r="E212" s="38" t="s">
        <v>668</v>
      </c>
      <c r="F212" s="39">
        <v>11644</v>
      </c>
      <c r="G212" s="38" t="s">
        <v>17</v>
      </c>
      <c r="H212" s="38" t="s">
        <v>316</v>
      </c>
      <c r="I212" s="38">
        <v>2024</v>
      </c>
      <c r="J212" s="38">
        <v>10746413</v>
      </c>
      <c r="K212" s="38" t="str">
        <f>CONCATENATE(E212,I212,J212)</f>
        <v>30592717340202410746413</v>
      </c>
      <c r="L212" s="40">
        <v>21</v>
      </c>
      <c r="M212" s="41">
        <v>4913.0200000000004</v>
      </c>
      <c r="N212" s="41">
        <v>73670.5</v>
      </c>
      <c r="O212" s="41">
        <v>15470.81</v>
      </c>
      <c r="P212" s="41">
        <v>97737.85</v>
      </c>
    </row>
    <row r="213" spans="1:17" s="42" customFormat="1" x14ac:dyDescent="0.25">
      <c r="A213" s="37">
        <v>45397</v>
      </c>
      <c r="B213" s="38" t="s">
        <v>313</v>
      </c>
      <c r="C213" s="38" t="s">
        <v>314</v>
      </c>
      <c r="D213" s="38" t="s">
        <v>16</v>
      </c>
      <c r="E213" s="38" t="s">
        <v>668</v>
      </c>
      <c r="F213" s="39">
        <v>11645</v>
      </c>
      <c r="G213" s="38" t="s">
        <v>17</v>
      </c>
      <c r="H213" s="38" t="s">
        <v>317</v>
      </c>
      <c r="I213" s="38">
        <v>2024</v>
      </c>
      <c r="J213" s="38">
        <v>10746513</v>
      </c>
      <c r="K213" s="38" t="str">
        <f>CONCATENATE(E213,I213,J213)</f>
        <v>30592717340202410746513</v>
      </c>
      <c r="L213" s="40">
        <v>21</v>
      </c>
      <c r="M213" s="41">
        <v>4913.0200000000004</v>
      </c>
      <c r="N213" s="41">
        <v>73670.5</v>
      </c>
      <c r="O213" s="41">
        <v>15470.81</v>
      </c>
      <c r="P213" s="41">
        <v>97737.85</v>
      </c>
    </row>
    <row r="214" spans="1:17" s="42" customFormat="1" x14ac:dyDescent="0.25">
      <c r="A214" s="37">
        <v>45397</v>
      </c>
      <c r="B214" s="38" t="s">
        <v>313</v>
      </c>
      <c r="C214" s="38" t="s">
        <v>314</v>
      </c>
      <c r="D214" s="38" t="s">
        <v>16</v>
      </c>
      <c r="E214" s="38" t="s">
        <v>668</v>
      </c>
      <c r="F214" s="39">
        <v>11642</v>
      </c>
      <c r="G214" s="38" t="s">
        <v>17</v>
      </c>
      <c r="H214" s="38" t="s">
        <v>318</v>
      </c>
      <c r="I214" s="38">
        <v>2024</v>
      </c>
      <c r="J214" s="38">
        <v>60044311</v>
      </c>
      <c r="K214" s="38" t="str">
        <f>CONCATENATE(E214,I214,J214)</f>
        <v>30592717340202460044311</v>
      </c>
      <c r="L214" s="40">
        <v>21</v>
      </c>
      <c r="M214" s="41">
        <v>4427.6499999999996</v>
      </c>
      <c r="N214" s="41">
        <v>55325.74</v>
      </c>
      <c r="O214" s="41">
        <v>11618.41</v>
      </c>
      <c r="P214" s="41">
        <v>74138.080000000002</v>
      </c>
    </row>
    <row r="215" spans="1:17" s="26" customFormat="1" x14ac:dyDescent="0.25">
      <c r="A215" s="30">
        <v>45397</v>
      </c>
      <c r="B215" s="31" t="s">
        <v>123</v>
      </c>
      <c r="C215" s="31" t="s">
        <v>124</v>
      </c>
      <c r="D215" s="31" t="s">
        <v>16</v>
      </c>
      <c r="E215" s="31" t="s">
        <v>618</v>
      </c>
      <c r="F215" s="32">
        <v>11406</v>
      </c>
      <c r="G215" s="31" t="s">
        <v>17</v>
      </c>
      <c r="H215" s="31" t="s">
        <v>319</v>
      </c>
      <c r="I215" s="31">
        <v>2024</v>
      </c>
      <c r="J215" s="31">
        <v>80005601</v>
      </c>
      <c r="K215" s="31" t="str">
        <f>CONCATENATE(E215,I215,J215)</f>
        <v>30500008454202480005601</v>
      </c>
      <c r="L215" s="33">
        <v>1.5</v>
      </c>
      <c r="M215" s="34">
        <v>0</v>
      </c>
      <c r="N215" s="34">
        <v>0</v>
      </c>
      <c r="O215" s="34">
        <v>21257.07</v>
      </c>
      <c r="P215" s="34">
        <v>0</v>
      </c>
      <c r="Q215" s="28"/>
    </row>
    <row r="216" spans="1:17" s="26" customFormat="1" x14ac:dyDescent="0.25">
      <c r="A216" s="21">
        <v>45397</v>
      </c>
      <c r="B216" s="22" t="s">
        <v>123</v>
      </c>
      <c r="C216" s="22" t="s">
        <v>124</v>
      </c>
      <c r="D216" s="22" t="s">
        <v>16</v>
      </c>
      <c r="E216" s="22" t="s">
        <v>618</v>
      </c>
      <c r="F216" s="23">
        <v>11406</v>
      </c>
      <c r="G216" s="22" t="s">
        <v>17</v>
      </c>
      <c r="H216" s="22" t="s">
        <v>319</v>
      </c>
      <c r="I216" s="22">
        <v>2024</v>
      </c>
      <c r="J216" s="22">
        <v>80005601</v>
      </c>
      <c r="K216" s="22" t="str">
        <f>CONCATENATE(E216,I216,J216)</f>
        <v>30500008454202480005601</v>
      </c>
      <c r="L216" s="24">
        <v>10.5</v>
      </c>
      <c r="M216" s="25">
        <v>33889.21</v>
      </c>
      <c r="N216" s="25">
        <v>1417132.89</v>
      </c>
      <c r="O216" s="25">
        <v>148798.95000000001</v>
      </c>
      <c r="P216" s="25">
        <v>1649420.77</v>
      </c>
      <c r="Q216" s="28"/>
    </row>
    <row r="217" spans="1:17" x14ac:dyDescent="0.25">
      <c r="A217" s="2">
        <v>45397</v>
      </c>
      <c r="B217" s="1" t="s">
        <v>190</v>
      </c>
      <c r="C217" s="1" t="s">
        <v>191</v>
      </c>
      <c r="D217" s="1" t="s">
        <v>16</v>
      </c>
      <c r="E217" s="1" t="s">
        <v>638</v>
      </c>
      <c r="F217" s="3">
        <v>11362</v>
      </c>
      <c r="G217" s="1" t="s">
        <v>17</v>
      </c>
      <c r="H217" s="29" t="s">
        <v>320</v>
      </c>
      <c r="I217" s="1">
        <v>1</v>
      </c>
      <c r="J217" s="1">
        <v>774</v>
      </c>
      <c r="K217" s="1" t="str">
        <f>CONCATENATE(E217,I217,J217)</f>
        <v>307150480661774</v>
      </c>
      <c r="L217" s="4">
        <v>21</v>
      </c>
      <c r="M217" s="5">
        <v>0</v>
      </c>
      <c r="N217" s="5">
        <v>5181819.5</v>
      </c>
      <c r="O217" s="5">
        <v>1088182.1000000001</v>
      </c>
      <c r="P217" s="5">
        <v>6270001.5999999996</v>
      </c>
    </row>
    <row r="218" spans="1:17" x14ac:dyDescent="0.25">
      <c r="A218" s="2">
        <v>45397</v>
      </c>
      <c r="B218" s="1" t="s">
        <v>202</v>
      </c>
      <c r="C218" s="1" t="s">
        <v>203</v>
      </c>
      <c r="D218" s="1" t="s">
        <v>16</v>
      </c>
      <c r="E218" s="1" t="s">
        <v>642</v>
      </c>
      <c r="F218" s="3">
        <v>11417</v>
      </c>
      <c r="G218" s="1" t="s">
        <v>17</v>
      </c>
      <c r="H218" s="29" t="s">
        <v>321</v>
      </c>
      <c r="I218" s="1">
        <v>3</v>
      </c>
      <c r="J218" s="1">
        <v>47376</v>
      </c>
      <c r="K218" s="1" t="str">
        <f>CONCATENATE(E218,I218,J218)</f>
        <v>30711497974347376</v>
      </c>
      <c r="L218" s="4">
        <v>21</v>
      </c>
      <c r="M218" s="5">
        <v>0</v>
      </c>
      <c r="N218" s="5">
        <v>453580</v>
      </c>
      <c r="O218" s="5">
        <v>95251.8</v>
      </c>
      <c r="P218" s="5">
        <v>548831.80000000005</v>
      </c>
    </row>
    <row r="219" spans="1:17" x14ac:dyDescent="0.25">
      <c r="A219" s="2">
        <v>45397</v>
      </c>
      <c r="B219" s="1" t="s">
        <v>205</v>
      </c>
      <c r="C219" s="1" t="s">
        <v>206</v>
      </c>
      <c r="D219" s="1" t="s">
        <v>16</v>
      </c>
      <c r="E219" s="1" t="s">
        <v>643</v>
      </c>
      <c r="F219" s="3">
        <v>11486</v>
      </c>
      <c r="G219" s="1" t="s">
        <v>21</v>
      </c>
      <c r="H219" s="29" t="s">
        <v>323</v>
      </c>
      <c r="I219" s="1">
        <v>10</v>
      </c>
      <c r="J219" s="1">
        <v>52566</v>
      </c>
      <c r="K219" s="1" t="str">
        <f>CONCATENATE(E219,I219,J219)</f>
        <v>306422193551052566</v>
      </c>
      <c r="L219" s="4">
        <v>21</v>
      </c>
      <c r="M219" s="5">
        <v>0</v>
      </c>
      <c r="N219" s="5">
        <v>-2233540</v>
      </c>
      <c r="O219" s="5">
        <v>-469043.4</v>
      </c>
      <c r="P219" s="5">
        <v>-2702583.4</v>
      </c>
    </row>
    <row r="220" spans="1:17" x14ac:dyDescent="0.25">
      <c r="A220" s="2">
        <v>45397</v>
      </c>
      <c r="B220" s="1" t="s">
        <v>237</v>
      </c>
      <c r="C220" s="1" t="s">
        <v>238</v>
      </c>
      <c r="D220" s="1" t="s">
        <v>112</v>
      </c>
      <c r="E220" s="1" t="s">
        <v>649</v>
      </c>
      <c r="F220" s="3">
        <v>11374</v>
      </c>
      <c r="G220" s="1" t="s">
        <v>17</v>
      </c>
      <c r="H220" s="1" t="s">
        <v>322</v>
      </c>
      <c r="I220" s="1">
        <v>3</v>
      </c>
      <c r="J220" s="1">
        <v>5314</v>
      </c>
      <c r="K220" s="1" t="str">
        <f>CONCATENATE(E220,I220,J220)</f>
        <v>2018056301735314</v>
      </c>
      <c r="L220" s="4">
        <v>0</v>
      </c>
      <c r="M220" s="5">
        <v>190000</v>
      </c>
      <c r="N220" s="5">
        <v>0</v>
      </c>
      <c r="O220" s="5">
        <v>0</v>
      </c>
      <c r="P220" s="5">
        <v>190000</v>
      </c>
    </row>
    <row r="221" spans="1:17" s="26" customFormat="1" x14ac:dyDescent="0.25">
      <c r="A221" s="30">
        <v>45398</v>
      </c>
      <c r="B221" s="31" t="s">
        <v>123</v>
      </c>
      <c r="C221" s="31" t="s">
        <v>124</v>
      </c>
      <c r="D221" s="31" t="s">
        <v>16</v>
      </c>
      <c r="E221" s="31" t="s">
        <v>618</v>
      </c>
      <c r="F221" s="32">
        <v>11403</v>
      </c>
      <c r="G221" s="31" t="s">
        <v>17</v>
      </c>
      <c r="H221" s="31" t="s">
        <v>324</v>
      </c>
      <c r="I221" s="31">
        <v>2024</v>
      </c>
      <c r="J221" s="31">
        <v>90023201</v>
      </c>
      <c r="K221" s="31" t="str">
        <f>CONCATENATE(E221,I221,J221)</f>
        <v>30500008454202490023201</v>
      </c>
      <c r="L221" s="33">
        <v>1.5</v>
      </c>
      <c r="M221" s="34">
        <v>0</v>
      </c>
      <c r="N221" s="34">
        <v>0</v>
      </c>
      <c r="O221" s="34">
        <v>31670.99</v>
      </c>
      <c r="P221" s="34">
        <v>0</v>
      </c>
      <c r="Q221" s="28"/>
    </row>
    <row r="222" spans="1:17" s="26" customFormat="1" x14ac:dyDescent="0.25">
      <c r="A222" s="21">
        <v>45398</v>
      </c>
      <c r="B222" s="22" t="s">
        <v>123</v>
      </c>
      <c r="C222" s="22" t="s">
        <v>124</v>
      </c>
      <c r="D222" s="22" t="s">
        <v>16</v>
      </c>
      <c r="E222" s="22" t="s">
        <v>618</v>
      </c>
      <c r="F222" s="23">
        <v>11403</v>
      </c>
      <c r="G222" s="22" t="s">
        <v>17</v>
      </c>
      <c r="H222" s="22" t="s">
        <v>324</v>
      </c>
      <c r="I222" s="22">
        <v>2024</v>
      </c>
      <c r="J222" s="22">
        <v>90023201</v>
      </c>
      <c r="K222" s="22" t="str">
        <f>CONCATENATE(E222,I222,J222)</f>
        <v>30500008454202490023201</v>
      </c>
      <c r="L222" s="24">
        <v>10.5</v>
      </c>
      <c r="M222" s="25">
        <v>53999.98</v>
      </c>
      <c r="N222" s="25">
        <v>2111398.9300000002</v>
      </c>
      <c r="O222" s="25">
        <v>221696.87</v>
      </c>
      <c r="P222" s="25">
        <v>2460994.75</v>
      </c>
      <c r="Q222" s="28"/>
    </row>
    <row r="223" spans="1:17" s="26" customFormat="1" x14ac:dyDescent="0.25">
      <c r="A223" s="30">
        <v>45398</v>
      </c>
      <c r="B223" s="31" t="s">
        <v>123</v>
      </c>
      <c r="C223" s="31" t="s">
        <v>124</v>
      </c>
      <c r="D223" s="31" t="s">
        <v>16</v>
      </c>
      <c r="E223" s="31" t="s">
        <v>618</v>
      </c>
      <c r="F223" s="32">
        <v>11404</v>
      </c>
      <c r="G223" s="31" t="s">
        <v>17</v>
      </c>
      <c r="H223" s="31" t="s">
        <v>325</v>
      </c>
      <c r="I223" s="31">
        <v>2024</v>
      </c>
      <c r="J223" s="31">
        <v>90024501</v>
      </c>
      <c r="K223" s="31" t="str">
        <f>CONCATENATE(E223,I223,J223)</f>
        <v>30500008454202490024501</v>
      </c>
      <c r="L223" s="33">
        <v>1.5</v>
      </c>
      <c r="M223" s="34">
        <v>0</v>
      </c>
      <c r="N223" s="34">
        <v>0</v>
      </c>
      <c r="O223" s="34">
        <v>22447.57</v>
      </c>
      <c r="P223" s="34">
        <v>0</v>
      </c>
      <c r="Q223" s="28"/>
    </row>
    <row r="224" spans="1:17" s="26" customFormat="1" x14ac:dyDescent="0.25">
      <c r="A224" s="21">
        <v>45398</v>
      </c>
      <c r="B224" s="22" t="s">
        <v>123</v>
      </c>
      <c r="C224" s="22" t="s">
        <v>124</v>
      </c>
      <c r="D224" s="22" t="s">
        <v>16</v>
      </c>
      <c r="E224" s="22" t="s">
        <v>618</v>
      </c>
      <c r="F224" s="23">
        <v>11404</v>
      </c>
      <c r="G224" s="22" t="s">
        <v>17</v>
      </c>
      <c r="H224" s="22" t="s">
        <v>325</v>
      </c>
      <c r="I224" s="22">
        <v>2024</v>
      </c>
      <c r="J224" s="22">
        <v>90024501</v>
      </c>
      <c r="K224" s="22" t="str">
        <f>CONCATENATE(E224,I224,J224)</f>
        <v>30500008454202490024501</v>
      </c>
      <c r="L224" s="24">
        <v>10.5</v>
      </c>
      <c r="M224" s="25">
        <v>38518.370000000003</v>
      </c>
      <c r="N224" s="25">
        <v>1506068.71</v>
      </c>
      <c r="O224" s="25">
        <v>158137.21</v>
      </c>
      <c r="P224" s="25">
        <v>1755101.96</v>
      </c>
      <c r="Q224" s="28"/>
    </row>
    <row r="225" spans="1:17" s="26" customFormat="1" x14ac:dyDescent="0.25">
      <c r="A225" s="21">
        <v>45398</v>
      </c>
      <c r="B225" s="22" t="s">
        <v>123</v>
      </c>
      <c r="C225" s="22" t="s">
        <v>124</v>
      </c>
      <c r="D225" s="22" t="s">
        <v>16</v>
      </c>
      <c r="E225" s="22" t="s">
        <v>618</v>
      </c>
      <c r="F225" s="23">
        <v>11405</v>
      </c>
      <c r="G225" s="22" t="s">
        <v>17</v>
      </c>
      <c r="H225" s="22" t="s">
        <v>326</v>
      </c>
      <c r="I225" s="22">
        <v>2024</v>
      </c>
      <c r="J225" s="22">
        <v>90028302</v>
      </c>
      <c r="K225" s="22" t="str">
        <f>CONCATENATE(E225,I225,J225)</f>
        <v>30500008454202490028302</v>
      </c>
      <c r="L225" s="24">
        <v>10.5</v>
      </c>
      <c r="M225" s="25">
        <v>28.35</v>
      </c>
      <c r="N225" s="25">
        <v>1185.8399999999999</v>
      </c>
      <c r="O225" s="25">
        <v>124.51</v>
      </c>
      <c r="P225" s="25">
        <v>1338.7</v>
      </c>
      <c r="Q225" s="28"/>
    </row>
    <row r="226" spans="1:17" x14ac:dyDescent="0.25">
      <c r="A226" s="2">
        <v>45398</v>
      </c>
      <c r="B226" s="1" t="s">
        <v>327</v>
      </c>
      <c r="C226" s="1" t="s">
        <v>328</v>
      </c>
      <c r="D226" s="1" t="s">
        <v>16</v>
      </c>
      <c r="E226" s="1" t="s">
        <v>669</v>
      </c>
      <c r="F226" s="3">
        <v>11391</v>
      </c>
      <c r="G226" s="1" t="s">
        <v>17</v>
      </c>
      <c r="H226" s="29" t="s">
        <v>329</v>
      </c>
      <c r="I226" s="1">
        <v>1</v>
      </c>
      <c r="J226" s="1">
        <v>441</v>
      </c>
      <c r="K226" s="1" t="str">
        <f>CONCATENATE(E226,I226,J226)</f>
        <v>337177102291441</v>
      </c>
      <c r="L226" s="4">
        <v>21</v>
      </c>
      <c r="M226" s="5">
        <v>0</v>
      </c>
      <c r="N226" s="5">
        <v>9000000</v>
      </c>
      <c r="O226" s="5">
        <v>1890000</v>
      </c>
      <c r="P226" s="5">
        <v>10890000</v>
      </c>
    </row>
    <row r="227" spans="1:17" x14ac:dyDescent="0.25">
      <c r="A227" s="2">
        <v>45398</v>
      </c>
      <c r="B227" s="1" t="s">
        <v>330</v>
      </c>
      <c r="C227" s="1" t="s">
        <v>331</v>
      </c>
      <c r="D227" s="1" t="s">
        <v>16</v>
      </c>
      <c r="E227" s="1" t="s">
        <v>670</v>
      </c>
      <c r="F227" s="3">
        <v>11424</v>
      </c>
      <c r="G227" s="1" t="s">
        <v>17</v>
      </c>
      <c r="H227" s="29" t="s">
        <v>332</v>
      </c>
      <c r="I227" s="1">
        <v>1</v>
      </c>
      <c r="J227" s="1">
        <v>5759</v>
      </c>
      <c r="K227" s="1" t="str">
        <f>CONCATENATE(E227,I227,J227)</f>
        <v>2018411111015759</v>
      </c>
      <c r="L227" s="4">
        <v>21</v>
      </c>
      <c r="M227" s="5">
        <v>0</v>
      </c>
      <c r="N227" s="5">
        <v>160330.59</v>
      </c>
      <c r="O227" s="5">
        <v>33669.43</v>
      </c>
      <c r="P227" s="5">
        <v>194000.02</v>
      </c>
    </row>
    <row r="228" spans="1:17" x14ac:dyDescent="0.25">
      <c r="A228" s="2">
        <v>45398</v>
      </c>
      <c r="B228" s="1" t="s">
        <v>333</v>
      </c>
      <c r="C228" s="1" t="s">
        <v>334</v>
      </c>
      <c r="D228" s="1" t="s">
        <v>16</v>
      </c>
      <c r="E228" s="1" t="s">
        <v>671</v>
      </c>
      <c r="F228" s="3">
        <v>11411</v>
      </c>
      <c r="G228" s="1" t="s">
        <v>17</v>
      </c>
      <c r="H228" s="29" t="s">
        <v>335</v>
      </c>
      <c r="I228" s="1">
        <v>2</v>
      </c>
      <c r="J228" s="1">
        <v>16373</v>
      </c>
      <c r="K228" s="1" t="str">
        <f>CONCATENATE(E228,I228,J228)</f>
        <v>30708904534216373</v>
      </c>
      <c r="L228" s="4">
        <v>21</v>
      </c>
      <c r="M228" s="5">
        <v>0</v>
      </c>
      <c r="N228" s="5">
        <v>510264</v>
      </c>
      <c r="O228" s="5">
        <v>107155.44</v>
      </c>
      <c r="P228" s="5">
        <v>617419.43999999994</v>
      </c>
    </row>
    <row r="229" spans="1:17" x14ac:dyDescent="0.25">
      <c r="A229" s="2">
        <v>45398</v>
      </c>
      <c r="B229" s="1" t="s">
        <v>336</v>
      </c>
      <c r="C229" s="1" t="s">
        <v>337</v>
      </c>
      <c r="D229" s="1" t="s">
        <v>16</v>
      </c>
      <c r="E229" s="1" t="s">
        <v>672</v>
      </c>
      <c r="F229" s="3">
        <v>11472</v>
      </c>
      <c r="G229" s="1" t="s">
        <v>17</v>
      </c>
      <c r="H229" s="29" t="s">
        <v>338</v>
      </c>
      <c r="I229" s="1">
        <v>2</v>
      </c>
      <c r="J229" s="1">
        <v>19970</v>
      </c>
      <c r="K229" s="1" t="str">
        <f>CONCATENATE(E229,I229,J229)</f>
        <v>30714786667219970</v>
      </c>
      <c r="L229" s="4">
        <v>21</v>
      </c>
      <c r="M229" s="5">
        <v>0</v>
      </c>
      <c r="N229" s="5">
        <v>3704130</v>
      </c>
      <c r="O229" s="5">
        <v>777867.3</v>
      </c>
      <c r="P229" s="5">
        <v>4556079.9000000004</v>
      </c>
    </row>
    <row r="230" spans="1:17" x14ac:dyDescent="0.25">
      <c r="A230" s="2">
        <v>45398</v>
      </c>
      <c r="B230" s="1" t="s">
        <v>196</v>
      </c>
      <c r="C230" s="1" t="s">
        <v>197</v>
      </c>
      <c r="D230" s="1" t="s">
        <v>16</v>
      </c>
      <c r="E230" s="1" t="s">
        <v>640</v>
      </c>
      <c r="F230" s="3">
        <v>11423</v>
      </c>
      <c r="G230" s="1" t="s">
        <v>17</v>
      </c>
      <c r="H230" s="29" t="s">
        <v>341</v>
      </c>
      <c r="I230" s="1">
        <v>3</v>
      </c>
      <c r="J230" s="1">
        <v>1371</v>
      </c>
      <c r="K230" s="1" t="str">
        <f>CONCATENATE(E230,I230,J230)</f>
        <v>3071474643631371</v>
      </c>
      <c r="L230" s="4">
        <v>21</v>
      </c>
      <c r="M230" s="5">
        <v>0</v>
      </c>
      <c r="N230" s="5">
        <v>458291.74</v>
      </c>
      <c r="O230" s="5">
        <v>96241.27</v>
      </c>
      <c r="P230" s="5">
        <v>554533.01</v>
      </c>
    </row>
    <row r="231" spans="1:17" x14ac:dyDescent="0.25">
      <c r="A231" s="30">
        <v>45398</v>
      </c>
      <c r="B231" s="31" t="s">
        <v>68</v>
      </c>
      <c r="C231" s="31" t="s">
        <v>69</v>
      </c>
      <c r="D231" s="31" t="s">
        <v>16</v>
      </c>
      <c r="E231" s="31" t="s">
        <v>603</v>
      </c>
      <c r="F231" s="32">
        <v>11796</v>
      </c>
      <c r="G231" s="31" t="s">
        <v>17</v>
      </c>
      <c r="H231" s="31" t="s">
        <v>342</v>
      </c>
      <c r="I231" s="31">
        <v>3</v>
      </c>
      <c r="J231" s="31">
        <v>5156</v>
      </c>
      <c r="K231" s="31" t="str">
        <f>CONCATENATE(E231,I231,J231)</f>
        <v>3070848113735156</v>
      </c>
      <c r="L231" s="33">
        <v>3</v>
      </c>
      <c r="M231" s="34">
        <v>0</v>
      </c>
      <c r="N231" s="34">
        <v>0</v>
      </c>
      <c r="O231" s="34">
        <v>85041.15</v>
      </c>
      <c r="P231" s="34">
        <v>0</v>
      </c>
    </row>
    <row r="232" spans="1:17" x14ac:dyDescent="0.25">
      <c r="A232" s="2">
        <v>45398</v>
      </c>
      <c r="B232" s="1" t="s">
        <v>68</v>
      </c>
      <c r="C232" s="1" t="s">
        <v>69</v>
      </c>
      <c r="D232" s="1" t="s">
        <v>16</v>
      </c>
      <c r="E232" s="1" t="s">
        <v>603</v>
      </c>
      <c r="F232" s="3">
        <v>11796</v>
      </c>
      <c r="G232" s="1" t="s">
        <v>17</v>
      </c>
      <c r="H232" s="29" t="s">
        <v>342</v>
      </c>
      <c r="I232" s="1">
        <v>3</v>
      </c>
      <c r="J232" s="1">
        <v>5156</v>
      </c>
      <c r="K232" s="1" t="str">
        <f>CONCATENATE(E232,I232,J232)</f>
        <v>3070848113735156</v>
      </c>
      <c r="L232" s="4">
        <v>21</v>
      </c>
      <c r="M232" s="5">
        <v>0</v>
      </c>
      <c r="N232" s="5">
        <v>2834704.96</v>
      </c>
      <c r="O232" s="5">
        <v>595288.04</v>
      </c>
      <c r="P232" s="5">
        <v>3515034.15</v>
      </c>
    </row>
    <row r="233" spans="1:17" x14ac:dyDescent="0.25">
      <c r="A233" s="2">
        <v>45398</v>
      </c>
      <c r="B233" s="1" t="s">
        <v>245</v>
      </c>
      <c r="C233" s="1" t="s">
        <v>246</v>
      </c>
      <c r="D233" s="1" t="s">
        <v>16</v>
      </c>
      <c r="E233" s="1" t="s">
        <v>651</v>
      </c>
      <c r="F233" s="3">
        <v>11400</v>
      </c>
      <c r="G233" s="1" t="s">
        <v>17</v>
      </c>
      <c r="H233" s="29" t="s">
        <v>343</v>
      </c>
      <c r="I233" s="1">
        <v>3</v>
      </c>
      <c r="J233" s="1">
        <v>5209</v>
      </c>
      <c r="K233" s="1" t="str">
        <f>CONCATENATE(E233,I233,J233)</f>
        <v>3371419199935209</v>
      </c>
      <c r="L233" s="4">
        <v>21</v>
      </c>
      <c r="M233" s="5">
        <v>0</v>
      </c>
      <c r="N233" s="5">
        <v>535880</v>
      </c>
      <c r="O233" s="5">
        <v>112534.8</v>
      </c>
      <c r="P233" s="5">
        <v>648414.80000000005</v>
      </c>
    </row>
    <row r="234" spans="1:17" x14ac:dyDescent="0.25">
      <c r="A234" s="2">
        <v>45398</v>
      </c>
      <c r="B234" s="1" t="s">
        <v>344</v>
      </c>
      <c r="C234" s="1" t="s">
        <v>345</v>
      </c>
      <c r="D234" s="1" t="s">
        <v>16</v>
      </c>
      <c r="E234" s="1" t="s">
        <v>674</v>
      </c>
      <c r="F234" s="3">
        <v>11800</v>
      </c>
      <c r="G234" s="1" t="s">
        <v>17</v>
      </c>
      <c r="H234" s="29" t="s">
        <v>346</v>
      </c>
      <c r="I234" s="1">
        <v>3</v>
      </c>
      <c r="J234" s="1">
        <v>5982</v>
      </c>
      <c r="K234" s="1" t="str">
        <f>CONCATENATE(E234,I234,J234)</f>
        <v>2012659129335982</v>
      </c>
      <c r="L234" s="4">
        <v>21</v>
      </c>
      <c r="M234" s="5">
        <v>0</v>
      </c>
      <c r="N234" s="5">
        <v>67851.23</v>
      </c>
      <c r="O234" s="5">
        <v>14248.76</v>
      </c>
      <c r="P234" s="5">
        <v>82099.990000000005</v>
      </c>
    </row>
    <row r="235" spans="1:17" x14ac:dyDescent="0.25">
      <c r="A235" s="2">
        <v>45398</v>
      </c>
      <c r="B235" s="1" t="s">
        <v>26</v>
      </c>
      <c r="C235" s="1" t="s">
        <v>27</v>
      </c>
      <c r="D235" s="1" t="s">
        <v>16</v>
      </c>
      <c r="E235" s="1" t="s">
        <v>591</v>
      </c>
      <c r="F235" s="3">
        <v>11706</v>
      </c>
      <c r="G235" s="1" t="s">
        <v>17</v>
      </c>
      <c r="H235" s="1" t="s">
        <v>347</v>
      </c>
      <c r="I235" s="1">
        <v>4</v>
      </c>
      <c r="J235" s="1">
        <v>1408</v>
      </c>
      <c r="K235" s="1" t="str">
        <f>CONCATENATE(E235,I235,J235)</f>
        <v>2024334867741408</v>
      </c>
      <c r="L235" s="4">
        <v>10.5</v>
      </c>
      <c r="M235" s="5">
        <v>0</v>
      </c>
      <c r="N235" s="5">
        <v>0</v>
      </c>
      <c r="O235" s="5">
        <v>8662.5</v>
      </c>
      <c r="P235" s="5">
        <v>0</v>
      </c>
    </row>
    <row r="236" spans="1:17" x14ac:dyDescent="0.25">
      <c r="A236" s="2">
        <v>45398</v>
      </c>
      <c r="B236" s="1" t="s">
        <v>26</v>
      </c>
      <c r="C236" s="1" t="s">
        <v>27</v>
      </c>
      <c r="D236" s="1" t="s">
        <v>16</v>
      </c>
      <c r="E236" s="1" t="s">
        <v>591</v>
      </c>
      <c r="F236" s="3">
        <v>11706</v>
      </c>
      <c r="G236" s="1" t="s">
        <v>17</v>
      </c>
      <c r="H236" s="29" t="s">
        <v>347</v>
      </c>
      <c r="I236" s="1">
        <v>4</v>
      </c>
      <c r="J236" s="1">
        <v>1408</v>
      </c>
      <c r="K236" s="1" t="str">
        <f>CONCATENATE(E236,I236,J236)</f>
        <v>2024334867741408</v>
      </c>
      <c r="L236" s="4">
        <v>21</v>
      </c>
      <c r="M236" s="5">
        <v>0</v>
      </c>
      <c r="N236" s="5">
        <v>150000</v>
      </c>
      <c r="O236" s="5">
        <v>14175</v>
      </c>
      <c r="P236" s="5">
        <v>172837.5</v>
      </c>
    </row>
    <row r="237" spans="1:17" x14ac:dyDescent="0.25">
      <c r="A237" s="2">
        <v>45398</v>
      </c>
      <c r="B237" s="1" t="s">
        <v>26</v>
      </c>
      <c r="C237" s="1" t="s">
        <v>27</v>
      </c>
      <c r="D237" s="1" t="s">
        <v>28</v>
      </c>
      <c r="E237" s="1" t="s">
        <v>591</v>
      </c>
      <c r="F237" s="3">
        <v>11415</v>
      </c>
      <c r="G237" s="1" t="s">
        <v>17</v>
      </c>
      <c r="H237" s="1" t="s">
        <v>348</v>
      </c>
      <c r="I237" s="1">
        <v>4</v>
      </c>
      <c r="J237" s="1">
        <v>1409</v>
      </c>
      <c r="K237" s="1" t="str">
        <f>CONCATENATE(E237,I237,J237)</f>
        <v>2024334867741409</v>
      </c>
      <c r="L237" s="4">
        <v>10.5</v>
      </c>
      <c r="M237" s="5">
        <v>0</v>
      </c>
      <c r="N237" s="5">
        <v>0</v>
      </c>
      <c r="O237" s="5">
        <v>109935</v>
      </c>
      <c r="P237" s="5">
        <v>0</v>
      </c>
    </row>
    <row r="238" spans="1:17" x14ac:dyDescent="0.25">
      <c r="A238" s="2">
        <v>45398</v>
      </c>
      <c r="B238" s="1" t="s">
        <v>26</v>
      </c>
      <c r="C238" s="1" t="s">
        <v>27</v>
      </c>
      <c r="D238" s="1" t="s">
        <v>28</v>
      </c>
      <c r="E238" s="1" t="s">
        <v>591</v>
      </c>
      <c r="F238" s="3">
        <v>11415</v>
      </c>
      <c r="G238" s="1" t="s">
        <v>17</v>
      </c>
      <c r="H238" s="29" t="s">
        <v>348</v>
      </c>
      <c r="I238" s="1">
        <v>4</v>
      </c>
      <c r="J238" s="1">
        <v>1409</v>
      </c>
      <c r="K238" s="1" t="str">
        <f>CONCATENATE(E238,I238,J238)</f>
        <v>2024334867741409</v>
      </c>
      <c r="L238" s="4">
        <v>21</v>
      </c>
      <c r="M238" s="5">
        <v>0</v>
      </c>
      <c r="N238" s="5">
        <v>1431000</v>
      </c>
      <c r="O238" s="5">
        <v>80640</v>
      </c>
      <c r="P238" s="5">
        <v>1621575</v>
      </c>
    </row>
    <row r="239" spans="1:17" x14ac:dyDescent="0.25">
      <c r="A239" s="2">
        <v>45398</v>
      </c>
      <c r="B239" s="1" t="s">
        <v>349</v>
      </c>
      <c r="C239" s="1" t="s">
        <v>350</v>
      </c>
      <c r="D239" s="1" t="s">
        <v>16</v>
      </c>
      <c r="E239" s="1" t="s">
        <v>675</v>
      </c>
      <c r="F239" s="3">
        <v>11426</v>
      </c>
      <c r="G239" s="1" t="s">
        <v>17</v>
      </c>
      <c r="H239" s="29" t="s">
        <v>351</v>
      </c>
      <c r="I239" s="1">
        <v>4</v>
      </c>
      <c r="J239" s="1">
        <v>21031</v>
      </c>
      <c r="K239" s="1" t="str">
        <f>CONCATENATE(E239,I239,J239)</f>
        <v>30707225609421031</v>
      </c>
      <c r="L239" s="4">
        <v>21</v>
      </c>
      <c r="M239" s="5">
        <v>0</v>
      </c>
      <c r="N239" s="5">
        <v>702000</v>
      </c>
      <c r="O239" s="5">
        <v>147420</v>
      </c>
      <c r="P239" s="5">
        <v>884520</v>
      </c>
    </row>
    <row r="240" spans="1:17" x14ac:dyDescent="0.25">
      <c r="A240" s="2">
        <v>45398</v>
      </c>
      <c r="B240" s="1" t="s">
        <v>135</v>
      </c>
      <c r="C240" s="1" t="s">
        <v>136</v>
      </c>
      <c r="D240" s="1" t="s">
        <v>16</v>
      </c>
      <c r="E240" s="1" t="s">
        <v>622</v>
      </c>
      <c r="F240" s="3">
        <v>11410</v>
      </c>
      <c r="G240" s="1" t="s">
        <v>17</v>
      </c>
      <c r="H240" s="29" t="s">
        <v>352</v>
      </c>
      <c r="I240" s="1">
        <v>5</v>
      </c>
      <c r="J240" s="1">
        <v>7337</v>
      </c>
      <c r="K240" s="1" t="str">
        <f>CONCATENATE(E240,I240,J240)</f>
        <v>3070961478557337</v>
      </c>
      <c r="L240" s="4">
        <v>21</v>
      </c>
      <c r="M240" s="5">
        <v>0</v>
      </c>
      <c r="N240" s="5">
        <v>158760</v>
      </c>
      <c r="O240" s="5">
        <v>33339.599999999999</v>
      </c>
      <c r="P240" s="5">
        <v>192099.6</v>
      </c>
    </row>
    <row r="241" spans="1:16" x14ac:dyDescent="0.25">
      <c r="A241" s="2">
        <v>45398</v>
      </c>
      <c r="B241" s="1" t="s">
        <v>353</v>
      </c>
      <c r="C241" s="1" t="s">
        <v>354</v>
      </c>
      <c r="D241" s="1" t="s">
        <v>16</v>
      </c>
      <c r="E241" s="1" t="s">
        <v>676</v>
      </c>
      <c r="F241" s="3">
        <v>11372</v>
      </c>
      <c r="G241" s="1" t="s">
        <v>17</v>
      </c>
      <c r="H241" s="29" t="s">
        <v>355</v>
      </c>
      <c r="I241" s="1">
        <v>8</v>
      </c>
      <c r="J241" s="1">
        <v>78166</v>
      </c>
      <c r="K241" s="1" t="str">
        <f>CONCATENATE(E241,I241,J241)</f>
        <v>30586172308878166</v>
      </c>
      <c r="L241" s="4">
        <v>21</v>
      </c>
      <c r="M241" s="5">
        <v>0</v>
      </c>
      <c r="N241" s="5">
        <v>63990</v>
      </c>
      <c r="O241" s="5">
        <v>13437.9</v>
      </c>
      <c r="P241" s="5">
        <v>77427.899999999994</v>
      </c>
    </row>
    <row r="242" spans="1:16" x14ac:dyDescent="0.25">
      <c r="A242" s="30">
        <v>45398</v>
      </c>
      <c r="B242" s="31" t="s">
        <v>339</v>
      </c>
      <c r="C242" s="31" t="s">
        <v>340</v>
      </c>
      <c r="D242" s="31" t="s">
        <v>16</v>
      </c>
      <c r="E242" s="31" t="s">
        <v>673</v>
      </c>
      <c r="F242" s="32">
        <v>11771</v>
      </c>
      <c r="G242" s="31" t="s">
        <v>17</v>
      </c>
      <c r="H242" s="31" t="s">
        <v>1077</v>
      </c>
      <c r="I242" s="31">
        <v>10</v>
      </c>
      <c r="J242" s="31">
        <v>44112</v>
      </c>
      <c r="K242" s="31" t="str">
        <f>CONCATENATE(E242,I242,J242)</f>
        <v>305529105121044112</v>
      </c>
      <c r="L242" s="33">
        <v>3</v>
      </c>
      <c r="M242" s="34">
        <v>0</v>
      </c>
      <c r="N242" s="34">
        <v>0</v>
      </c>
      <c r="O242" s="34">
        <v>399600</v>
      </c>
      <c r="P242" s="34">
        <v>0</v>
      </c>
    </row>
    <row r="243" spans="1:16" x14ac:dyDescent="0.25">
      <c r="A243" s="2">
        <v>45398</v>
      </c>
      <c r="B243" s="1" t="s">
        <v>339</v>
      </c>
      <c r="C243" s="1" t="s">
        <v>340</v>
      </c>
      <c r="D243" s="1" t="s">
        <v>16</v>
      </c>
      <c r="E243" s="1" t="s">
        <v>673</v>
      </c>
      <c r="F243" s="3">
        <v>11771</v>
      </c>
      <c r="G243" s="1" t="s">
        <v>17</v>
      </c>
      <c r="H243" s="29" t="s">
        <v>1077</v>
      </c>
      <c r="I243" s="1">
        <v>10</v>
      </c>
      <c r="J243" s="1">
        <v>44112</v>
      </c>
      <c r="K243" s="1" t="str">
        <f>CONCATENATE(E243,I243,J243)</f>
        <v>305529105121044112</v>
      </c>
      <c r="L243" s="4">
        <v>21</v>
      </c>
      <c r="M243" s="5">
        <v>0</v>
      </c>
      <c r="N243" s="5">
        <v>13320000</v>
      </c>
      <c r="O243" s="5">
        <v>2797200</v>
      </c>
      <c r="P243" s="5">
        <v>16783200</v>
      </c>
    </row>
    <row r="244" spans="1:16" x14ac:dyDescent="0.25">
      <c r="A244" s="30">
        <v>45398</v>
      </c>
      <c r="B244" s="31" t="s">
        <v>356</v>
      </c>
      <c r="C244" s="31" t="s">
        <v>357</v>
      </c>
      <c r="D244" s="31" t="s">
        <v>16</v>
      </c>
      <c r="E244" s="31" t="s">
        <v>677</v>
      </c>
      <c r="F244" s="32">
        <v>11413</v>
      </c>
      <c r="G244" s="31" t="s">
        <v>17</v>
      </c>
      <c r="H244" s="31" t="s">
        <v>358</v>
      </c>
      <c r="I244" s="31">
        <v>100</v>
      </c>
      <c r="J244" s="31">
        <v>292572</v>
      </c>
      <c r="K244" s="31" t="str">
        <f>CONCATENATE(E244,I244,J244)</f>
        <v>30534040713100292572</v>
      </c>
      <c r="L244" s="33">
        <v>1.5</v>
      </c>
      <c r="M244" s="34">
        <v>0</v>
      </c>
      <c r="N244" s="34">
        <v>0</v>
      </c>
      <c r="O244" s="34">
        <v>27000</v>
      </c>
      <c r="P244" s="34">
        <v>0</v>
      </c>
    </row>
    <row r="245" spans="1:16" x14ac:dyDescent="0.25">
      <c r="A245" s="2">
        <v>45398</v>
      </c>
      <c r="B245" s="1" t="s">
        <v>356</v>
      </c>
      <c r="C245" s="1" t="s">
        <v>357</v>
      </c>
      <c r="D245" s="1" t="s">
        <v>16</v>
      </c>
      <c r="E245" s="1" t="s">
        <v>677</v>
      </c>
      <c r="F245" s="3">
        <v>11413</v>
      </c>
      <c r="G245" s="1" t="s">
        <v>17</v>
      </c>
      <c r="H245" s="29" t="s">
        <v>358</v>
      </c>
      <c r="I245" s="1">
        <v>100</v>
      </c>
      <c r="J245" s="1">
        <v>292572</v>
      </c>
      <c r="K245" s="1" t="str">
        <f>CONCATENATE(E245,I245,J245)</f>
        <v>30534040713100292572</v>
      </c>
      <c r="L245" s="4">
        <v>10.5</v>
      </c>
      <c r="M245" s="5">
        <v>0</v>
      </c>
      <c r="N245" s="5">
        <v>1800000</v>
      </c>
      <c r="O245" s="5">
        <v>189000</v>
      </c>
      <c r="P245" s="5">
        <v>2106000</v>
      </c>
    </row>
    <row r="246" spans="1:16" x14ac:dyDescent="0.25">
      <c r="A246" s="30">
        <v>45398</v>
      </c>
      <c r="B246" s="31" t="s">
        <v>356</v>
      </c>
      <c r="C246" s="31" t="s">
        <v>357</v>
      </c>
      <c r="D246" s="31" t="s">
        <v>16</v>
      </c>
      <c r="E246" s="31" t="s">
        <v>677</v>
      </c>
      <c r="F246" s="32">
        <v>11414</v>
      </c>
      <c r="G246" s="31" t="s">
        <v>17</v>
      </c>
      <c r="H246" s="31" t="s">
        <v>359</v>
      </c>
      <c r="I246" s="31">
        <v>100</v>
      </c>
      <c r="J246" s="31">
        <v>292574</v>
      </c>
      <c r="K246" s="31" t="str">
        <f>CONCATENATE(E246,I246,J246)</f>
        <v>30534040713100292574</v>
      </c>
      <c r="L246" s="33">
        <v>1.5</v>
      </c>
      <c r="M246" s="34">
        <v>0</v>
      </c>
      <c r="N246" s="34">
        <v>0</v>
      </c>
      <c r="O246" s="34">
        <v>13500</v>
      </c>
      <c r="P246" s="34">
        <v>0</v>
      </c>
    </row>
    <row r="247" spans="1:16" x14ac:dyDescent="0.25">
      <c r="A247" s="2">
        <v>45398</v>
      </c>
      <c r="B247" s="1" t="s">
        <v>356</v>
      </c>
      <c r="C247" s="1" t="s">
        <v>357</v>
      </c>
      <c r="D247" s="1" t="s">
        <v>16</v>
      </c>
      <c r="E247" s="1" t="s">
        <v>677</v>
      </c>
      <c r="F247" s="3">
        <v>11414</v>
      </c>
      <c r="G247" s="1" t="s">
        <v>17</v>
      </c>
      <c r="H247" s="29" t="s">
        <v>359</v>
      </c>
      <c r="I247" s="1">
        <v>100</v>
      </c>
      <c r="J247" s="1">
        <v>292574</v>
      </c>
      <c r="K247" s="1" t="str">
        <f>CONCATENATE(E247,I247,J247)</f>
        <v>30534040713100292574</v>
      </c>
      <c r="L247" s="4">
        <v>21</v>
      </c>
      <c r="M247" s="5">
        <v>0</v>
      </c>
      <c r="N247" s="5">
        <v>900000</v>
      </c>
      <c r="O247" s="5">
        <v>94500</v>
      </c>
      <c r="P247" s="5">
        <v>1053000</v>
      </c>
    </row>
    <row r="248" spans="1:16" x14ac:dyDescent="0.25">
      <c r="A248" s="2">
        <v>45398</v>
      </c>
      <c r="B248" s="1" t="s">
        <v>360</v>
      </c>
      <c r="C248" s="1" t="s">
        <v>361</v>
      </c>
      <c r="D248" s="1" t="s">
        <v>16</v>
      </c>
      <c r="E248" s="1" t="s">
        <v>678</v>
      </c>
      <c r="F248" s="3">
        <v>11409</v>
      </c>
      <c r="G248" s="1" t="s">
        <v>17</v>
      </c>
      <c r="H248" s="29" t="s">
        <v>362</v>
      </c>
      <c r="I248" s="1">
        <v>102</v>
      </c>
      <c r="J248" s="1">
        <v>72319</v>
      </c>
      <c r="K248" s="1" t="str">
        <f>CONCATENATE(E248,I248,J248)</f>
        <v>3052225035610272319</v>
      </c>
      <c r="L248" s="4">
        <v>21</v>
      </c>
      <c r="M248" s="5">
        <v>0</v>
      </c>
      <c r="N248" s="5">
        <v>217847.4</v>
      </c>
      <c r="O248" s="5">
        <v>45747.95</v>
      </c>
      <c r="P248" s="5">
        <v>267952.3</v>
      </c>
    </row>
    <row r="249" spans="1:16" x14ac:dyDescent="0.25">
      <c r="A249" s="30">
        <v>45398</v>
      </c>
      <c r="B249" s="31" t="s">
        <v>179</v>
      </c>
      <c r="C249" s="31" t="s">
        <v>180</v>
      </c>
      <c r="D249" s="31" t="s">
        <v>16</v>
      </c>
      <c r="E249" s="31" t="s">
        <v>635</v>
      </c>
      <c r="F249" s="32">
        <v>11408</v>
      </c>
      <c r="G249" s="31" t="s">
        <v>17</v>
      </c>
      <c r="H249" s="31" t="s">
        <v>363</v>
      </c>
      <c r="I249" s="31">
        <v>2002</v>
      </c>
      <c r="J249" s="31">
        <v>283347</v>
      </c>
      <c r="K249" s="31" t="str">
        <f>CONCATENATE(E249,I249,J249)</f>
        <v>305007682622002283347</v>
      </c>
      <c r="L249" s="33">
        <v>3</v>
      </c>
      <c r="M249" s="34">
        <v>0</v>
      </c>
      <c r="N249" s="34">
        <v>0</v>
      </c>
      <c r="O249" s="34">
        <v>17992.32</v>
      </c>
      <c r="P249" s="34">
        <v>0</v>
      </c>
    </row>
    <row r="250" spans="1:16" x14ac:dyDescent="0.25">
      <c r="A250" s="2">
        <v>45398</v>
      </c>
      <c r="B250" s="1" t="s">
        <v>179</v>
      </c>
      <c r="C250" s="1" t="s">
        <v>180</v>
      </c>
      <c r="D250" s="1" t="s">
        <v>16</v>
      </c>
      <c r="E250" s="1" t="s">
        <v>635</v>
      </c>
      <c r="F250" s="3">
        <v>11408</v>
      </c>
      <c r="G250" s="1" t="s">
        <v>17</v>
      </c>
      <c r="H250" s="29" t="s">
        <v>363</v>
      </c>
      <c r="I250" s="1">
        <v>2002</v>
      </c>
      <c r="J250" s="1">
        <v>283347</v>
      </c>
      <c r="K250" s="1" t="str">
        <f>CONCATENATE(E250,I250,J250)</f>
        <v>305007682622002283347</v>
      </c>
      <c r="L250" s="4">
        <v>21</v>
      </c>
      <c r="M250" s="5">
        <v>0</v>
      </c>
      <c r="N250" s="5">
        <v>599744.1</v>
      </c>
      <c r="O250" s="5">
        <v>125946.26</v>
      </c>
      <c r="P250" s="5">
        <v>773669.88</v>
      </c>
    </row>
    <row r="251" spans="1:16" s="42" customFormat="1" x14ac:dyDescent="0.25">
      <c r="A251" s="37">
        <v>45398</v>
      </c>
      <c r="B251" s="38" t="s">
        <v>107</v>
      </c>
      <c r="C251" s="38" t="s">
        <v>108</v>
      </c>
      <c r="D251" s="38" t="s">
        <v>16</v>
      </c>
      <c r="E251" s="38" t="s">
        <v>613</v>
      </c>
      <c r="F251" s="39">
        <v>11376</v>
      </c>
      <c r="G251" s="38" t="s">
        <v>17</v>
      </c>
      <c r="H251" s="38" t="s">
        <v>364</v>
      </c>
      <c r="I251" s="38">
        <v>5360</v>
      </c>
      <c r="J251" s="38">
        <v>1113</v>
      </c>
      <c r="K251" s="38" t="str">
        <f>CONCATENATE(E251,I251,J251)</f>
        <v>3069554247653601113</v>
      </c>
      <c r="L251" s="40">
        <v>3</v>
      </c>
      <c r="M251" s="41">
        <v>0</v>
      </c>
      <c r="N251" s="41">
        <v>0</v>
      </c>
      <c r="O251" s="41">
        <v>3237.4</v>
      </c>
      <c r="P251" s="41">
        <v>0</v>
      </c>
    </row>
    <row r="252" spans="1:16" s="42" customFormat="1" x14ac:dyDescent="0.25">
      <c r="A252" s="37">
        <v>45398</v>
      </c>
      <c r="B252" s="38" t="s">
        <v>107</v>
      </c>
      <c r="C252" s="38" t="s">
        <v>108</v>
      </c>
      <c r="D252" s="38" t="s">
        <v>16</v>
      </c>
      <c r="E252" s="38" t="s">
        <v>613</v>
      </c>
      <c r="F252" s="39">
        <v>11376</v>
      </c>
      <c r="G252" s="38" t="s">
        <v>17</v>
      </c>
      <c r="H252" s="38" t="s">
        <v>364</v>
      </c>
      <c r="I252" s="38">
        <v>5360</v>
      </c>
      <c r="J252" s="38">
        <v>1113</v>
      </c>
      <c r="K252" s="38" t="str">
        <f>CONCATENATE(E252,I252,J252)</f>
        <v>3069554247653601113</v>
      </c>
      <c r="L252" s="40">
        <v>21</v>
      </c>
      <c r="M252" s="41">
        <v>9493.68</v>
      </c>
      <c r="N252" s="41">
        <v>107913.45</v>
      </c>
      <c r="O252" s="41">
        <v>22661.82</v>
      </c>
      <c r="P252" s="41">
        <v>143306.35</v>
      </c>
    </row>
    <row r="253" spans="1:16" x14ac:dyDescent="0.25">
      <c r="A253" s="30">
        <v>45398</v>
      </c>
      <c r="B253" s="31" t="s">
        <v>158</v>
      </c>
      <c r="C253" s="31" t="s">
        <v>159</v>
      </c>
      <c r="D253" s="31" t="s">
        <v>16</v>
      </c>
      <c r="E253" s="31" t="s">
        <v>629</v>
      </c>
      <c r="F253" s="32">
        <v>11543</v>
      </c>
      <c r="G253" s="31" t="s">
        <v>17</v>
      </c>
      <c r="H253" s="31" t="s">
        <v>365</v>
      </c>
      <c r="I253" s="31">
        <v>6004</v>
      </c>
      <c r="J253" s="31">
        <v>3590568</v>
      </c>
      <c r="K253" s="31" t="str">
        <f>CONCATENATE(E253,I253,J253)</f>
        <v>3050111624260043590568</v>
      </c>
      <c r="L253" s="33">
        <v>3</v>
      </c>
      <c r="M253" s="34">
        <v>0</v>
      </c>
      <c r="N253" s="34">
        <v>0</v>
      </c>
      <c r="O253" s="34">
        <v>13522.44</v>
      </c>
      <c r="P253" s="34">
        <v>0</v>
      </c>
    </row>
    <row r="254" spans="1:16" x14ac:dyDescent="0.25">
      <c r="A254" s="2">
        <v>45398</v>
      </c>
      <c r="B254" s="1" t="s">
        <v>158</v>
      </c>
      <c r="C254" s="1" t="s">
        <v>159</v>
      </c>
      <c r="D254" s="1" t="s">
        <v>16</v>
      </c>
      <c r="E254" s="1" t="s">
        <v>629</v>
      </c>
      <c r="F254" s="3">
        <v>11543</v>
      </c>
      <c r="G254" s="1" t="s">
        <v>17</v>
      </c>
      <c r="H254" s="29" t="s">
        <v>365</v>
      </c>
      <c r="I254" s="1">
        <v>6004</v>
      </c>
      <c r="J254" s="1">
        <v>3590568</v>
      </c>
      <c r="K254" s="1" t="str">
        <f>CONCATENATE(E254,I254,J254)</f>
        <v>3050111624260043590568</v>
      </c>
      <c r="L254" s="4">
        <v>21</v>
      </c>
      <c r="M254" s="5">
        <v>0</v>
      </c>
      <c r="N254" s="5">
        <v>450747.88</v>
      </c>
      <c r="O254" s="5">
        <v>94657.05</v>
      </c>
      <c r="P254" s="5">
        <v>567942.32999999996</v>
      </c>
    </row>
    <row r="255" spans="1:16" x14ac:dyDescent="0.25">
      <c r="A255" s="30">
        <v>45398</v>
      </c>
      <c r="B255" s="31" t="s">
        <v>19</v>
      </c>
      <c r="C255" s="31" t="s">
        <v>20</v>
      </c>
      <c r="D255" s="31" t="s">
        <v>16</v>
      </c>
      <c r="E255" s="31" t="s">
        <v>589</v>
      </c>
      <c r="F255" s="32">
        <v>11549</v>
      </c>
      <c r="G255" s="31" t="s">
        <v>17</v>
      </c>
      <c r="H255" s="31" t="s">
        <v>366</v>
      </c>
      <c r="I255" s="31">
        <v>6156</v>
      </c>
      <c r="J255" s="31">
        <v>6709600</v>
      </c>
      <c r="K255" s="31" t="str">
        <f>CONCATENATE(E255,I255,J255)</f>
        <v>3054724233161566709600</v>
      </c>
      <c r="L255" s="33">
        <v>3</v>
      </c>
      <c r="M255" s="34">
        <v>0</v>
      </c>
      <c r="N255" s="34">
        <v>0</v>
      </c>
      <c r="O255" s="34">
        <v>14476.8</v>
      </c>
      <c r="P255" s="34">
        <v>0</v>
      </c>
    </row>
    <row r="256" spans="1:16" x14ac:dyDescent="0.25">
      <c r="A256" s="2">
        <v>45398</v>
      </c>
      <c r="B256" s="1" t="s">
        <v>19</v>
      </c>
      <c r="C256" s="1" t="s">
        <v>20</v>
      </c>
      <c r="D256" s="1" t="s">
        <v>16</v>
      </c>
      <c r="E256" s="1" t="s">
        <v>589</v>
      </c>
      <c r="F256" s="3">
        <v>11549</v>
      </c>
      <c r="G256" s="1" t="s">
        <v>17</v>
      </c>
      <c r="H256" s="29" t="s">
        <v>366</v>
      </c>
      <c r="I256" s="1">
        <v>6156</v>
      </c>
      <c r="J256" s="1">
        <v>6709600</v>
      </c>
      <c r="K256" s="1" t="str">
        <f>CONCATENATE(E256,I256,J256)</f>
        <v>3054724233161566709600</v>
      </c>
      <c r="L256" s="4">
        <v>21</v>
      </c>
      <c r="M256" s="5">
        <v>0</v>
      </c>
      <c r="N256" s="5">
        <v>495423.12</v>
      </c>
      <c r="O256" s="5">
        <v>104038.86</v>
      </c>
      <c r="P256" s="5">
        <v>623847.24</v>
      </c>
    </row>
    <row r="257" spans="1:17" x14ac:dyDescent="0.25">
      <c r="A257" s="2">
        <v>45398</v>
      </c>
      <c r="B257" s="1" t="s">
        <v>367</v>
      </c>
      <c r="C257" s="1" t="s">
        <v>368</v>
      </c>
      <c r="D257" s="1" t="s">
        <v>112</v>
      </c>
      <c r="E257" s="1" t="s">
        <v>679</v>
      </c>
      <c r="F257" s="3">
        <v>11371</v>
      </c>
      <c r="G257" s="1" t="s">
        <v>17</v>
      </c>
      <c r="H257" s="1" t="s">
        <v>369</v>
      </c>
      <c r="I257" s="1">
        <v>2</v>
      </c>
      <c r="J257" s="1">
        <v>763</v>
      </c>
      <c r="K257" s="1" t="str">
        <f>CONCATENATE(E257,I257,J257)</f>
        <v>204001040942763</v>
      </c>
      <c r="L257" s="4">
        <v>0</v>
      </c>
      <c r="M257" s="5">
        <v>135000</v>
      </c>
      <c r="N257" s="5">
        <v>0</v>
      </c>
      <c r="O257" s="5">
        <v>0</v>
      </c>
      <c r="P257" s="5">
        <v>135000</v>
      </c>
    </row>
    <row r="258" spans="1:17" s="26" customFormat="1" x14ac:dyDescent="0.25">
      <c r="A258" s="30">
        <v>45399</v>
      </c>
      <c r="B258" s="31" t="s">
        <v>123</v>
      </c>
      <c r="C258" s="31" t="s">
        <v>124</v>
      </c>
      <c r="D258" s="31" t="s">
        <v>16</v>
      </c>
      <c r="E258" s="31" t="s">
        <v>618</v>
      </c>
      <c r="F258" s="32">
        <v>11407</v>
      </c>
      <c r="G258" s="31" t="s">
        <v>17</v>
      </c>
      <c r="H258" s="31" t="s">
        <v>370</v>
      </c>
      <c r="I258" s="31">
        <v>2024</v>
      </c>
      <c r="J258" s="31">
        <v>90015401</v>
      </c>
      <c r="K258" s="31" t="str">
        <f>CONCATENATE(E258,I258,J258)</f>
        <v>30500008454202490015401</v>
      </c>
      <c r="L258" s="33">
        <v>1.5</v>
      </c>
      <c r="M258" s="34">
        <v>0</v>
      </c>
      <c r="N258" s="34">
        <v>0</v>
      </c>
      <c r="O258" s="34">
        <v>1671.29</v>
      </c>
      <c r="P258" s="34">
        <v>0</v>
      </c>
      <c r="Q258" s="28"/>
    </row>
    <row r="259" spans="1:17" s="26" customFormat="1" x14ac:dyDescent="0.25">
      <c r="A259" s="21">
        <v>45399</v>
      </c>
      <c r="B259" s="22" t="s">
        <v>123</v>
      </c>
      <c r="C259" s="22" t="s">
        <v>124</v>
      </c>
      <c r="D259" s="22" t="s">
        <v>16</v>
      </c>
      <c r="E259" s="22" t="s">
        <v>618</v>
      </c>
      <c r="F259" s="23">
        <v>11407</v>
      </c>
      <c r="G259" s="22" t="s">
        <v>17</v>
      </c>
      <c r="H259" s="22" t="s">
        <v>370</v>
      </c>
      <c r="I259" s="22">
        <v>2024</v>
      </c>
      <c r="J259" s="22">
        <v>90015401</v>
      </c>
      <c r="K259" s="22" t="str">
        <f>CONCATENATE(E259,I259,J259)</f>
        <v>30500008454202490015401</v>
      </c>
      <c r="L259" s="24">
        <v>10.5</v>
      </c>
      <c r="M259" s="25">
        <v>2758.08</v>
      </c>
      <c r="N259" s="25">
        <v>115333.62</v>
      </c>
      <c r="O259" s="25">
        <v>12110.02</v>
      </c>
      <c r="P259" s="25">
        <v>134179.67000000001</v>
      </c>
      <c r="Q259" s="28"/>
    </row>
    <row r="260" spans="1:17" x14ac:dyDescent="0.25">
      <c r="A260" s="2">
        <v>45399</v>
      </c>
      <c r="B260" s="1" t="s">
        <v>371</v>
      </c>
      <c r="C260" s="1" t="s">
        <v>372</v>
      </c>
      <c r="D260" s="1" t="s">
        <v>16</v>
      </c>
      <c r="E260" s="1" t="s">
        <v>680</v>
      </c>
      <c r="F260" s="3">
        <v>11421</v>
      </c>
      <c r="G260" s="1" t="s">
        <v>17</v>
      </c>
      <c r="H260" s="29" t="s">
        <v>373</v>
      </c>
      <c r="I260" s="1">
        <v>3</v>
      </c>
      <c r="J260" s="1">
        <v>625</v>
      </c>
      <c r="K260" s="1" t="str">
        <f>CONCATENATE(E260,I260,J260)</f>
        <v>201722776093625</v>
      </c>
      <c r="L260" s="4">
        <v>21</v>
      </c>
      <c r="M260" s="5">
        <v>0</v>
      </c>
      <c r="N260" s="5">
        <v>380000</v>
      </c>
      <c r="O260" s="5">
        <v>79800</v>
      </c>
      <c r="P260" s="5">
        <v>459800</v>
      </c>
    </row>
    <row r="261" spans="1:17" x14ac:dyDescent="0.25">
      <c r="A261" s="2">
        <v>45399</v>
      </c>
      <c r="B261" s="1" t="s">
        <v>65</v>
      </c>
      <c r="C261" s="1" t="s">
        <v>66</v>
      </c>
      <c r="D261" s="1" t="s">
        <v>16</v>
      </c>
      <c r="E261" s="1" t="s">
        <v>602</v>
      </c>
      <c r="F261" s="3">
        <v>11379</v>
      </c>
      <c r="G261" s="1" t="s">
        <v>17</v>
      </c>
      <c r="H261" s="29" t="s">
        <v>374</v>
      </c>
      <c r="I261" s="1">
        <v>3</v>
      </c>
      <c r="J261" s="1">
        <v>3760</v>
      </c>
      <c r="K261" s="1" t="str">
        <f>CONCATENATE(E261,I261,J261)</f>
        <v>3071529613233760</v>
      </c>
      <c r="L261" s="4">
        <v>21</v>
      </c>
      <c r="M261" s="5">
        <v>0</v>
      </c>
      <c r="N261" s="5">
        <v>1619836</v>
      </c>
      <c r="O261" s="5">
        <v>340165.56</v>
      </c>
      <c r="P261" s="5">
        <v>1960001.56</v>
      </c>
    </row>
    <row r="262" spans="1:17" x14ac:dyDescent="0.25">
      <c r="A262" s="2">
        <v>45399</v>
      </c>
      <c r="B262" s="1" t="s">
        <v>375</v>
      </c>
      <c r="C262" s="1" t="s">
        <v>376</v>
      </c>
      <c r="D262" s="1" t="s">
        <v>16</v>
      </c>
      <c r="E262" s="1" t="s">
        <v>681</v>
      </c>
      <c r="F262" s="3">
        <v>11416</v>
      </c>
      <c r="G262" s="1" t="s">
        <v>17</v>
      </c>
      <c r="H262" s="29" t="s">
        <v>377</v>
      </c>
      <c r="I262" s="1">
        <v>4</v>
      </c>
      <c r="J262" s="1">
        <v>28341</v>
      </c>
      <c r="K262" s="1" t="str">
        <f>CONCATENATE(E262,I262,J262)</f>
        <v>30645830446428341</v>
      </c>
      <c r="L262" s="4">
        <v>21</v>
      </c>
      <c r="M262" s="5">
        <v>0</v>
      </c>
      <c r="N262" s="5">
        <v>4813411.2</v>
      </c>
      <c r="O262" s="5">
        <v>1010816.35</v>
      </c>
      <c r="P262" s="5">
        <v>6064898.1100000003</v>
      </c>
    </row>
    <row r="263" spans="1:17" x14ac:dyDescent="0.25">
      <c r="A263" s="2">
        <v>45399</v>
      </c>
      <c r="B263" s="1" t="s">
        <v>409</v>
      </c>
      <c r="C263" s="1" t="s">
        <v>410</v>
      </c>
      <c r="D263" s="1" t="s">
        <v>16</v>
      </c>
      <c r="E263" s="1" t="s">
        <v>687</v>
      </c>
      <c r="F263" s="3">
        <v>11499</v>
      </c>
      <c r="G263" s="1" t="s">
        <v>21</v>
      </c>
      <c r="H263" s="29" t="s">
        <v>411</v>
      </c>
      <c r="I263" s="1">
        <v>5</v>
      </c>
      <c r="J263" s="1">
        <v>243</v>
      </c>
      <c r="K263" s="1" t="str">
        <f>CONCATENATE(E263,I263,J263)</f>
        <v>307095717175243</v>
      </c>
      <c r="L263" s="4">
        <v>21</v>
      </c>
      <c r="M263" s="5">
        <v>-0.01</v>
      </c>
      <c r="N263" s="5">
        <v>-46361.33</v>
      </c>
      <c r="O263" s="5">
        <v>-9735.8799999999992</v>
      </c>
      <c r="P263" s="5">
        <v>-56097.22</v>
      </c>
    </row>
    <row r="264" spans="1:17" x14ac:dyDescent="0.25">
      <c r="A264" s="2">
        <v>45399</v>
      </c>
      <c r="B264" s="1" t="s">
        <v>409</v>
      </c>
      <c r="C264" s="1" t="s">
        <v>410</v>
      </c>
      <c r="D264" s="1" t="s">
        <v>16</v>
      </c>
      <c r="E264" s="1" t="s">
        <v>687</v>
      </c>
      <c r="F264" s="3">
        <v>11500</v>
      </c>
      <c r="G264" s="1" t="s">
        <v>21</v>
      </c>
      <c r="H264" s="29" t="s">
        <v>412</v>
      </c>
      <c r="I264" s="1">
        <v>5</v>
      </c>
      <c r="J264" s="1">
        <v>245</v>
      </c>
      <c r="K264" s="1" t="str">
        <f>CONCATENATE(E264,I264,J264)</f>
        <v>307095717175245</v>
      </c>
      <c r="L264" s="4">
        <v>21</v>
      </c>
      <c r="M264" s="5">
        <v>-0.01</v>
      </c>
      <c r="N264" s="5">
        <v>-139084</v>
      </c>
      <c r="O264" s="5">
        <v>-29207.64</v>
      </c>
      <c r="P264" s="5">
        <v>-168291.65</v>
      </c>
    </row>
    <row r="265" spans="1:17" x14ac:dyDescent="0.25">
      <c r="A265" s="2">
        <v>45399</v>
      </c>
      <c r="B265" s="1" t="s">
        <v>378</v>
      </c>
      <c r="C265" s="1" t="s">
        <v>379</v>
      </c>
      <c r="D265" s="1" t="s">
        <v>16</v>
      </c>
      <c r="E265" s="1" t="s">
        <v>682</v>
      </c>
      <c r="F265" s="3">
        <v>11435</v>
      </c>
      <c r="G265" s="1" t="s">
        <v>17</v>
      </c>
      <c r="H265" s="29" t="s">
        <v>380</v>
      </c>
      <c r="I265" s="1">
        <v>6</v>
      </c>
      <c r="J265" s="1">
        <v>24000</v>
      </c>
      <c r="K265" s="1" t="str">
        <f>CONCATENATE(E265,I265,J265)</f>
        <v>30710371624624000</v>
      </c>
      <c r="L265" s="4">
        <v>21</v>
      </c>
      <c r="M265" s="5">
        <v>4042.1</v>
      </c>
      <c r="N265" s="5">
        <v>37981.74</v>
      </c>
      <c r="O265" s="5">
        <v>7976.17</v>
      </c>
      <c r="P265" s="5">
        <v>50000.01</v>
      </c>
    </row>
    <row r="266" spans="1:17" x14ac:dyDescent="0.25">
      <c r="A266" s="2">
        <v>45399</v>
      </c>
      <c r="B266" s="1" t="s">
        <v>381</v>
      </c>
      <c r="C266" s="1" t="s">
        <v>382</v>
      </c>
      <c r="D266" s="1" t="s">
        <v>16</v>
      </c>
      <c r="E266" s="1" t="s">
        <v>683</v>
      </c>
      <c r="F266" s="3">
        <v>11611</v>
      </c>
      <c r="G266" s="1" t="s">
        <v>17</v>
      </c>
      <c r="H266" s="29" t="s">
        <v>383</v>
      </c>
      <c r="I266" s="1">
        <v>7</v>
      </c>
      <c r="J266" s="1">
        <v>2051</v>
      </c>
      <c r="K266" s="1" t="str">
        <f>CONCATENATE(E266,I266,J266)</f>
        <v>3071583023672051</v>
      </c>
      <c r="L266" s="4">
        <v>21</v>
      </c>
      <c r="M266" s="5">
        <v>0</v>
      </c>
      <c r="N266" s="5">
        <v>287200</v>
      </c>
      <c r="O266" s="5">
        <v>60312</v>
      </c>
      <c r="P266" s="5">
        <v>347512</v>
      </c>
    </row>
    <row r="267" spans="1:17" x14ac:dyDescent="0.25">
      <c r="A267" s="2">
        <v>45399</v>
      </c>
      <c r="B267" s="1" t="s">
        <v>74</v>
      </c>
      <c r="C267" s="1" t="s">
        <v>75</v>
      </c>
      <c r="D267" s="1" t="s">
        <v>16</v>
      </c>
      <c r="E267" s="1" t="s">
        <v>605</v>
      </c>
      <c r="F267" s="3">
        <v>11490</v>
      </c>
      <c r="G267" s="1" t="s">
        <v>17</v>
      </c>
      <c r="H267" s="1" t="s">
        <v>384</v>
      </c>
      <c r="I267" s="1">
        <v>10</v>
      </c>
      <c r="J267" s="1">
        <v>5714</v>
      </c>
      <c r="K267" s="1" t="str">
        <f>CONCATENATE(E267,I267,J267)</f>
        <v>30708784687105714</v>
      </c>
      <c r="L267" s="4">
        <v>10.5</v>
      </c>
      <c r="M267" s="5">
        <v>0</v>
      </c>
      <c r="N267" s="5">
        <v>0</v>
      </c>
      <c r="O267" s="5">
        <v>41493.9</v>
      </c>
      <c r="P267" s="5">
        <v>0</v>
      </c>
    </row>
    <row r="268" spans="1:17" x14ac:dyDescent="0.25">
      <c r="A268" s="2">
        <v>45399</v>
      </c>
      <c r="B268" s="1" t="s">
        <v>74</v>
      </c>
      <c r="C268" s="1" t="s">
        <v>75</v>
      </c>
      <c r="D268" s="1" t="s">
        <v>16</v>
      </c>
      <c r="E268" s="1" t="s">
        <v>605</v>
      </c>
      <c r="F268" s="3">
        <v>11490</v>
      </c>
      <c r="G268" s="1" t="s">
        <v>17</v>
      </c>
      <c r="H268" s="29" t="s">
        <v>384</v>
      </c>
      <c r="I268" s="1">
        <v>10</v>
      </c>
      <c r="J268" s="1">
        <v>5714</v>
      </c>
      <c r="K268" s="1" t="str">
        <f>CONCATENATE(E268,I268,J268)</f>
        <v>30708784687105714</v>
      </c>
      <c r="L268" s="4">
        <v>21</v>
      </c>
      <c r="M268" s="5">
        <v>0</v>
      </c>
      <c r="N268" s="5">
        <v>1128920</v>
      </c>
      <c r="O268" s="5">
        <v>154085.4</v>
      </c>
      <c r="P268" s="5">
        <v>1324499.3</v>
      </c>
    </row>
    <row r="269" spans="1:17" x14ac:dyDescent="0.25">
      <c r="A269" s="30">
        <v>45399</v>
      </c>
      <c r="B269" s="31" t="s">
        <v>138</v>
      </c>
      <c r="C269" s="31" t="s">
        <v>139</v>
      </c>
      <c r="D269" s="31" t="s">
        <v>16</v>
      </c>
      <c r="E269" s="31" t="s">
        <v>623</v>
      </c>
      <c r="F269" s="32">
        <v>11470</v>
      </c>
      <c r="G269" s="31" t="s">
        <v>17</v>
      </c>
      <c r="H269" s="31" t="s">
        <v>385</v>
      </c>
      <c r="I269" s="31">
        <v>12</v>
      </c>
      <c r="J269" s="31">
        <v>79701</v>
      </c>
      <c r="K269" s="31" t="str">
        <f>CONCATENATE(E269,I269,J269)</f>
        <v>306976466271279701</v>
      </c>
      <c r="L269" s="33">
        <v>3</v>
      </c>
      <c r="M269" s="34">
        <v>0</v>
      </c>
      <c r="N269" s="34">
        <v>0</v>
      </c>
      <c r="O269" s="34">
        <v>46484.09</v>
      </c>
      <c r="P269" s="34">
        <v>0</v>
      </c>
    </row>
    <row r="270" spans="1:17" x14ac:dyDescent="0.25">
      <c r="A270" s="2">
        <v>45399</v>
      </c>
      <c r="B270" s="1" t="s">
        <v>138</v>
      </c>
      <c r="C270" s="1" t="s">
        <v>139</v>
      </c>
      <c r="D270" s="1" t="s">
        <v>16</v>
      </c>
      <c r="E270" s="1" t="s">
        <v>623</v>
      </c>
      <c r="F270" s="3">
        <v>11470</v>
      </c>
      <c r="G270" s="1" t="s">
        <v>17</v>
      </c>
      <c r="H270" s="29" t="s">
        <v>385</v>
      </c>
      <c r="I270" s="1">
        <v>12</v>
      </c>
      <c r="J270" s="1">
        <v>79701</v>
      </c>
      <c r="K270" s="1" t="str">
        <f>CONCATENATE(E270,I270,J270)</f>
        <v>306976466271279701</v>
      </c>
      <c r="L270" s="4">
        <v>21</v>
      </c>
      <c r="M270" s="5">
        <v>0</v>
      </c>
      <c r="N270" s="5">
        <v>1549469.76</v>
      </c>
      <c r="O270" s="5">
        <v>325388.65000000002</v>
      </c>
      <c r="P270" s="5">
        <v>1921342.5</v>
      </c>
    </row>
    <row r="271" spans="1:17" x14ac:dyDescent="0.25">
      <c r="A271" s="30">
        <v>45399</v>
      </c>
      <c r="B271" s="31" t="s">
        <v>182</v>
      </c>
      <c r="C271" s="31" t="s">
        <v>183</v>
      </c>
      <c r="D271" s="31" t="s">
        <v>16</v>
      </c>
      <c r="E271" s="31" t="s">
        <v>636</v>
      </c>
      <c r="F271" s="32">
        <v>11412</v>
      </c>
      <c r="G271" s="31" t="s">
        <v>17</v>
      </c>
      <c r="H271" s="31" t="s">
        <v>386</v>
      </c>
      <c r="I271" s="31">
        <v>43</v>
      </c>
      <c r="J271" s="31">
        <v>291869</v>
      </c>
      <c r="K271" s="31" t="str">
        <f>CONCATENATE(E271,I271,J271)</f>
        <v>3050097982443291869</v>
      </c>
      <c r="L271" s="33">
        <v>3</v>
      </c>
      <c r="M271" s="34">
        <v>0</v>
      </c>
      <c r="N271" s="34">
        <v>0</v>
      </c>
      <c r="O271" s="34">
        <v>34445.620000000003</v>
      </c>
      <c r="P271" s="34">
        <v>0</v>
      </c>
    </row>
    <row r="272" spans="1:17" x14ac:dyDescent="0.25">
      <c r="A272" s="2">
        <v>45399</v>
      </c>
      <c r="B272" s="1" t="s">
        <v>182</v>
      </c>
      <c r="C272" s="1" t="s">
        <v>183</v>
      </c>
      <c r="D272" s="1" t="s">
        <v>16</v>
      </c>
      <c r="E272" s="1" t="s">
        <v>636</v>
      </c>
      <c r="F272" s="3">
        <v>11412</v>
      </c>
      <c r="G272" s="1" t="s">
        <v>17</v>
      </c>
      <c r="H272" s="29" t="s">
        <v>386</v>
      </c>
      <c r="I272" s="1">
        <v>43</v>
      </c>
      <c r="J272" s="1">
        <v>291869</v>
      </c>
      <c r="K272" s="1" t="str">
        <f>CONCATENATE(E272,I272,J272)</f>
        <v>3050097982443291869</v>
      </c>
      <c r="L272" s="4">
        <v>21</v>
      </c>
      <c r="M272" s="5">
        <v>0</v>
      </c>
      <c r="N272" s="5">
        <v>1148187.3899999999</v>
      </c>
      <c r="O272" s="5">
        <v>241119.35</v>
      </c>
      <c r="P272" s="5">
        <v>1481161.73</v>
      </c>
    </row>
    <row r="273" spans="1:16" x14ac:dyDescent="0.25">
      <c r="A273" s="2">
        <v>45399</v>
      </c>
      <c r="B273" s="1" t="s">
        <v>387</v>
      </c>
      <c r="C273" s="1" t="s">
        <v>388</v>
      </c>
      <c r="D273" s="1" t="s">
        <v>16</v>
      </c>
      <c r="E273" s="1" t="s">
        <v>684</v>
      </c>
      <c r="F273" s="3">
        <v>11732</v>
      </c>
      <c r="G273" s="1" t="s">
        <v>17</v>
      </c>
      <c r="H273" s="29" t="s">
        <v>389</v>
      </c>
      <c r="I273" s="1">
        <v>113</v>
      </c>
      <c r="J273" s="1">
        <v>3567875</v>
      </c>
      <c r="K273" s="1" t="str">
        <f>CONCATENATE(E273,I273,J273)</f>
        <v>305772071901133567875</v>
      </c>
      <c r="L273" s="4">
        <v>21</v>
      </c>
      <c r="M273" s="5">
        <v>0</v>
      </c>
      <c r="N273" s="5">
        <v>1322.31</v>
      </c>
      <c r="O273" s="5">
        <v>277.69</v>
      </c>
      <c r="P273" s="5">
        <v>1600</v>
      </c>
    </row>
    <row r="274" spans="1:16" x14ac:dyDescent="0.25">
      <c r="A274" s="30">
        <v>45399</v>
      </c>
      <c r="B274" s="31" t="s">
        <v>387</v>
      </c>
      <c r="C274" s="31" t="s">
        <v>388</v>
      </c>
      <c r="D274" s="31" t="s">
        <v>16</v>
      </c>
      <c r="E274" s="31" t="s">
        <v>684</v>
      </c>
      <c r="F274" s="32">
        <v>11729</v>
      </c>
      <c r="G274" s="31" t="s">
        <v>17</v>
      </c>
      <c r="H274" s="31" t="s">
        <v>390</v>
      </c>
      <c r="I274" s="31">
        <v>113</v>
      </c>
      <c r="J274" s="31">
        <v>3569106</v>
      </c>
      <c r="K274" s="31" t="str">
        <f>CONCATENATE(E274,I274,J274)</f>
        <v>305772071901133569106</v>
      </c>
      <c r="L274" s="33">
        <v>3</v>
      </c>
      <c r="M274" s="34">
        <v>0</v>
      </c>
      <c r="N274" s="34">
        <v>0</v>
      </c>
      <c r="O274" s="34">
        <v>245.45</v>
      </c>
      <c r="P274" s="34">
        <v>0</v>
      </c>
    </row>
    <row r="275" spans="1:16" x14ac:dyDescent="0.25">
      <c r="A275" s="2">
        <v>45399</v>
      </c>
      <c r="B275" s="1" t="s">
        <v>387</v>
      </c>
      <c r="C275" s="1" t="s">
        <v>388</v>
      </c>
      <c r="D275" s="1" t="s">
        <v>16</v>
      </c>
      <c r="E275" s="1" t="s">
        <v>684</v>
      </c>
      <c r="F275" s="3">
        <v>11729</v>
      </c>
      <c r="G275" s="1" t="s">
        <v>17</v>
      </c>
      <c r="H275" s="29" t="s">
        <v>390</v>
      </c>
      <c r="I275" s="1">
        <v>113</v>
      </c>
      <c r="J275" s="1">
        <v>3569106</v>
      </c>
      <c r="K275" s="1" t="str">
        <f>CONCATENATE(E275,I275,J275)</f>
        <v>305772071901133569106</v>
      </c>
      <c r="L275" s="4">
        <v>21</v>
      </c>
      <c r="M275" s="5">
        <v>0</v>
      </c>
      <c r="N275" s="5">
        <v>8181.82</v>
      </c>
      <c r="O275" s="5">
        <v>1718.18</v>
      </c>
      <c r="P275" s="5">
        <v>10309.09</v>
      </c>
    </row>
    <row r="276" spans="1:16" x14ac:dyDescent="0.25">
      <c r="A276" s="30">
        <v>45399</v>
      </c>
      <c r="B276" s="31" t="s">
        <v>387</v>
      </c>
      <c r="C276" s="31" t="s">
        <v>388</v>
      </c>
      <c r="D276" s="31" t="s">
        <v>16</v>
      </c>
      <c r="E276" s="31" t="s">
        <v>684</v>
      </c>
      <c r="F276" s="32">
        <v>11730</v>
      </c>
      <c r="G276" s="31" t="s">
        <v>17</v>
      </c>
      <c r="H276" s="31" t="s">
        <v>391</v>
      </c>
      <c r="I276" s="31">
        <v>113</v>
      </c>
      <c r="J276" s="31">
        <v>3570151</v>
      </c>
      <c r="K276" s="31" t="str">
        <f>CONCATENATE(E276,I276,J276)</f>
        <v>305772071901133570151</v>
      </c>
      <c r="L276" s="33">
        <v>3</v>
      </c>
      <c r="M276" s="34">
        <v>0</v>
      </c>
      <c r="N276" s="34">
        <v>0</v>
      </c>
      <c r="O276" s="34">
        <v>273.02999999999997</v>
      </c>
      <c r="P276" s="34">
        <v>0</v>
      </c>
    </row>
    <row r="277" spans="1:16" x14ac:dyDescent="0.25">
      <c r="A277" s="2">
        <v>45399</v>
      </c>
      <c r="B277" s="1" t="s">
        <v>387</v>
      </c>
      <c r="C277" s="1" t="s">
        <v>388</v>
      </c>
      <c r="D277" s="1" t="s">
        <v>16</v>
      </c>
      <c r="E277" s="1" t="s">
        <v>684</v>
      </c>
      <c r="F277" s="3">
        <v>11730</v>
      </c>
      <c r="G277" s="1" t="s">
        <v>17</v>
      </c>
      <c r="H277" s="29" t="s">
        <v>391</v>
      </c>
      <c r="I277" s="1">
        <v>113</v>
      </c>
      <c r="J277" s="1">
        <v>3570151</v>
      </c>
      <c r="K277" s="1" t="str">
        <f>CONCATENATE(E277,I277,J277)</f>
        <v>305772071901133570151</v>
      </c>
      <c r="L277" s="4">
        <v>21</v>
      </c>
      <c r="M277" s="5">
        <v>0</v>
      </c>
      <c r="N277" s="5">
        <v>9100.83</v>
      </c>
      <c r="O277" s="5">
        <v>1911.17</v>
      </c>
      <c r="P277" s="5">
        <v>11467.05</v>
      </c>
    </row>
    <row r="278" spans="1:16" x14ac:dyDescent="0.25">
      <c r="A278" s="30">
        <v>45399</v>
      </c>
      <c r="B278" s="31" t="s">
        <v>80</v>
      </c>
      <c r="C278" s="31" t="s">
        <v>81</v>
      </c>
      <c r="D278" s="31" t="s">
        <v>16</v>
      </c>
      <c r="E278" s="31" t="s">
        <v>607</v>
      </c>
      <c r="F278" s="32">
        <v>11710</v>
      </c>
      <c r="G278" s="31" t="s">
        <v>21</v>
      </c>
      <c r="H278" s="31" t="s">
        <v>413</v>
      </c>
      <c r="I278" s="31">
        <v>115</v>
      </c>
      <c r="J278" s="31">
        <v>31068</v>
      </c>
      <c r="K278" s="31" t="str">
        <f>CONCATENATE(E278,I278,J278)</f>
        <v>3062964670811531068</v>
      </c>
      <c r="L278" s="33">
        <v>3</v>
      </c>
      <c r="M278" s="34">
        <v>0</v>
      </c>
      <c r="N278" s="34">
        <v>0</v>
      </c>
      <c r="O278" s="34">
        <v>-12964.83</v>
      </c>
      <c r="P278" s="34">
        <v>0</v>
      </c>
    </row>
    <row r="279" spans="1:16" x14ac:dyDescent="0.25">
      <c r="A279" s="2">
        <v>45399</v>
      </c>
      <c r="B279" s="1" t="s">
        <v>80</v>
      </c>
      <c r="C279" s="1" t="s">
        <v>81</v>
      </c>
      <c r="D279" s="1" t="s">
        <v>16</v>
      </c>
      <c r="E279" s="1" t="s">
        <v>607</v>
      </c>
      <c r="F279" s="3">
        <v>11710</v>
      </c>
      <c r="G279" s="1" t="s">
        <v>21</v>
      </c>
      <c r="H279" s="29" t="s">
        <v>413</v>
      </c>
      <c r="I279" s="1">
        <v>115</v>
      </c>
      <c r="J279" s="1">
        <v>31068</v>
      </c>
      <c r="K279" s="1" t="str">
        <f>CONCATENATE(E279,I279,J279)</f>
        <v>3062964670811531068</v>
      </c>
      <c r="L279" s="4">
        <v>21</v>
      </c>
      <c r="M279" s="5">
        <v>0</v>
      </c>
      <c r="N279" s="5">
        <v>-432161.14</v>
      </c>
      <c r="O279" s="5">
        <v>-90753.84</v>
      </c>
      <c r="P279" s="5">
        <v>-535879.81000000006</v>
      </c>
    </row>
    <row r="280" spans="1:16" x14ac:dyDescent="0.25">
      <c r="A280" s="2">
        <v>45399</v>
      </c>
      <c r="B280" s="1" t="s">
        <v>91</v>
      </c>
      <c r="C280" s="1" t="s">
        <v>92</v>
      </c>
      <c r="D280" s="1" t="s">
        <v>16</v>
      </c>
      <c r="E280" s="1" t="s">
        <v>609</v>
      </c>
      <c r="F280" s="3">
        <v>11740</v>
      </c>
      <c r="G280" s="1" t="s">
        <v>17</v>
      </c>
      <c r="H280" s="29" t="s">
        <v>392</v>
      </c>
      <c r="I280" s="1">
        <v>629</v>
      </c>
      <c r="J280" s="1">
        <v>5060456</v>
      </c>
      <c r="K280" s="1" t="str">
        <f>CONCATENATE(E280,I280,J280)</f>
        <v>306634985136295060456</v>
      </c>
      <c r="L280" s="4">
        <v>21</v>
      </c>
      <c r="M280" s="5">
        <v>0</v>
      </c>
      <c r="N280" s="5">
        <v>495.87</v>
      </c>
      <c r="O280" s="5">
        <v>104.13</v>
      </c>
      <c r="P280" s="5">
        <v>600</v>
      </c>
    </row>
    <row r="281" spans="1:16" x14ac:dyDescent="0.25">
      <c r="A281" s="2">
        <v>45399</v>
      </c>
      <c r="B281" s="1" t="s">
        <v>91</v>
      </c>
      <c r="C281" s="1" t="s">
        <v>92</v>
      </c>
      <c r="D281" s="1" t="s">
        <v>16</v>
      </c>
      <c r="E281" s="1" t="s">
        <v>609</v>
      </c>
      <c r="F281" s="3">
        <v>11741</v>
      </c>
      <c r="G281" s="1" t="s">
        <v>17</v>
      </c>
      <c r="H281" s="29" t="s">
        <v>393</v>
      </c>
      <c r="I281" s="1">
        <v>629</v>
      </c>
      <c r="J281" s="1">
        <v>5061009</v>
      </c>
      <c r="K281" s="1" t="str">
        <f>CONCATENATE(E281,I281,J281)</f>
        <v>306634985136295061009</v>
      </c>
      <c r="L281" s="4">
        <v>21</v>
      </c>
      <c r="M281" s="5">
        <v>0</v>
      </c>
      <c r="N281" s="5">
        <v>495.87</v>
      </c>
      <c r="O281" s="5">
        <v>104.13</v>
      </c>
      <c r="P281" s="5">
        <v>600</v>
      </c>
    </row>
    <row r="282" spans="1:16" x14ac:dyDescent="0.25">
      <c r="A282" s="30">
        <v>45399</v>
      </c>
      <c r="B282" s="31" t="s">
        <v>95</v>
      </c>
      <c r="C282" s="31" t="s">
        <v>96</v>
      </c>
      <c r="D282" s="31" t="s">
        <v>16</v>
      </c>
      <c r="E282" s="31" t="s">
        <v>610</v>
      </c>
      <c r="F282" s="32">
        <v>11722</v>
      </c>
      <c r="G282" s="31" t="s">
        <v>17</v>
      </c>
      <c r="H282" s="31" t="s">
        <v>394</v>
      </c>
      <c r="I282" s="31">
        <v>711</v>
      </c>
      <c r="J282" s="31">
        <v>5604053</v>
      </c>
      <c r="K282" s="31" t="str">
        <f>CONCATENATE(E282,I282,J282)</f>
        <v>306772371197115604053</v>
      </c>
      <c r="L282" s="33">
        <v>3</v>
      </c>
      <c r="M282" s="34">
        <v>0</v>
      </c>
      <c r="N282" s="34">
        <v>0</v>
      </c>
      <c r="O282" s="34">
        <v>140.08000000000001</v>
      </c>
      <c r="P282" s="34">
        <v>0</v>
      </c>
    </row>
    <row r="283" spans="1:16" x14ac:dyDescent="0.25">
      <c r="A283" s="2">
        <v>45399</v>
      </c>
      <c r="B283" s="1" t="s">
        <v>95</v>
      </c>
      <c r="C283" s="1" t="s">
        <v>96</v>
      </c>
      <c r="D283" s="1" t="s">
        <v>16</v>
      </c>
      <c r="E283" s="1" t="s">
        <v>610</v>
      </c>
      <c r="F283" s="3">
        <v>11722</v>
      </c>
      <c r="G283" s="1" t="s">
        <v>17</v>
      </c>
      <c r="H283" s="29" t="s">
        <v>394</v>
      </c>
      <c r="I283" s="1">
        <v>711</v>
      </c>
      <c r="J283" s="1">
        <v>5604053</v>
      </c>
      <c r="K283" s="1" t="str">
        <f>CONCATENATE(E283,I283,J283)</f>
        <v>306772371197115604053</v>
      </c>
      <c r="L283" s="4">
        <v>21</v>
      </c>
      <c r="M283" s="5">
        <v>0</v>
      </c>
      <c r="N283" s="5">
        <v>4669.3599999999997</v>
      </c>
      <c r="O283" s="5">
        <v>980.64</v>
      </c>
      <c r="P283" s="5">
        <v>6023.55</v>
      </c>
    </row>
    <row r="284" spans="1:16" x14ac:dyDescent="0.25">
      <c r="A284" s="30">
        <v>45399</v>
      </c>
      <c r="B284" s="31" t="s">
        <v>95</v>
      </c>
      <c r="C284" s="31" t="s">
        <v>96</v>
      </c>
      <c r="D284" s="31" t="s">
        <v>16</v>
      </c>
      <c r="E284" s="31" t="s">
        <v>610</v>
      </c>
      <c r="F284" s="32">
        <v>11721</v>
      </c>
      <c r="G284" s="31" t="s">
        <v>17</v>
      </c>
      <c r="H284" s="31" t="s">
        <v>395</v>
      </c>
      <c r="I284" s="31">
        <v>711</v>
      </c>
      <c r="J284" s="31">
        <v>5606934</v>
      </c>
      <c r="K284" s="31" t="str">
        <f>CONCATENATE(E284,I284,J284)</f>
        <v>306772371197115606934</v>
      </c>
      <c r="L284" s="33">
        <v>3</v>
      </c>
      <c r="M284" s="34">
        <v>0</v>
      </c>
      <c r="N284" s="34">
        <v>0</v>
      </c>
      <c r="O284" s="34">
        <v>425.21</v>
      </c>
      <c r="P284" s="34">
        <v>0</v>
      </c>
    </row>
    <row r="285" spans="1:16" x14ac:dyDescent="0.25">
      <c r="A285" s="2">
        <v>45399</v>
      </c>
      <c r="B285" s="1" t="s">
        <v>95</v>
      </c>
      <c r="C285" s="1" t="s">
        <v>96</v>
      </c>
      <c r="D285" s="1" t="s">
        <v>16</v>
      </c>
      <c r="E285" s="1" t="s">
        <v>610</v>
      </c>
      <c r="F285" s="3">
        <v>11721</v>
      </c>
      <c r="G285" s="1" t="s">
        <v>17</v>
      </c>
      <c r="H285" s="29" t="s">
        <v>395</v>
      </c>
      <c r="I285" s="1">
        <v>711</v>
      </c>
      <c r="J285" s="1">
        <v>5606934</v>
      </c>
      <c r="K285" s="1" t="str">
        <f>CONCATENATE(E285,I285,J285)</f>
        <v>306772371197115606934</v>
      </c>
      <c r="L285" s="4">
        <v>21</v>
      </c>
      <c r="M285" s="5">
        <v>0</v>
      </c>
      <c r="N285" s="5">
        <v>14173.53</v>
      </c>
      <c r="O285" s="5">
        <v>2976.47</v>
      </c>
      <c r="P285" s="5">
        <v>18283.89</v>
      </c>
    </row>
    <row r="286" spans="1:16" x14ac:dyDescent="0.25">
      <c r="A286" s="30">
        <v>45399</v>
      </c>
      <c r="B286" s="31" t="s">
        <v>95</v>
      </c>
      <c r="C286" s="31" t="s">
        <v>96</v>
      </c>
      <c r="D286" s="31" t="s">
        <v>16</v>
      </c>
      <c r="E286" s="31" t="s">
        <v>610</v>
      </c>
      <c r="F286" s="32">
        <v>11723</v>
      </c>
      <c r="G286" s="31" t="s">
        <v>17</v>
      </c>
      <c r="H286" s="31" t="s">
        <v>396</v>
      </c>
      <c r="I286" s="31">
        <v>711</v>
      </c>
      <c r="J286" s="31">
        <v>5608770</v>
      </c>
      <c r="K286" s="31" t="str">
        <f>CONCATENATE(E286,I286,J286)</f>
        <v>306772371197115608770</v>
      </c>
      <c r="L286" s="33">
        <v>3</v>
      </c>
      <c r="M286" s="34">
        <v>0</v>
      </c>
      <c r="N286" s="34">
        <v>0</v>
      </c>
      <c r="O286" s="34">
        <v>777.27</v>
      </c>
      <c r="P286" s="34">
        <v>0</v>
      </c>
    </row>
    <row r="287" spans="1:16" x14ac:dyDescent="0.25">
      <c r="A287" s="2">
        <v>45399</v>
      </c>
      <c r="B287" s="1" t="s">
        <v>95</v>
      </c>
      <c r="C287" s="1" t="s">
        <v>96</v>
      </c>
      <c r="D287" s="1" t="s">
        <v>16</v>
      </c>
      <c r="E287" s="1" t="s">
        <v>610</v>
      </c>
      <c r="F287" s="3">
        <v>11723</v>
      </c>
      <c r="G287" s="1" t="s">
        <v>17</v>
      </c>
      <c r="H287" s="29" t="s">
        <v>396</v>
      </c>
      <c r="I287" s="1">
        <v>711</v>
      </c>
      <c r="J287" s="1">
        <v>5608770</v>
      </c>
      <c r="K287" s="1" t="str">
        <f>CONCATENATE(E287,I287,J287)</f>
        <v>306772371197115608770</v>
      </c>
      <c r="L287" s="4">
        <v>21</v>
      </c>
      <c r="M287" s="5">
        <v>0</v>
      </c>
      <c r="N287" s="5">
        <v>25908.94</v>
      </c>
      <c r="O287" s="5">
        <v>5441.06</v>
      </c>
      <c r="P287" s="5">
        <v>33422.720000000001</v>
      </c>
    </row>
    <row r="288" spans="1:16" x14ac:dyDescent="0.25">
      <c r="A288" s="30">
        <v>45399</v>
      </c>
      <c r="B288" s="31" t="s">
        <v>397</v>
      </c>
      <c r="C288" s="31" t="s">
        <v>398</v>
      </c>
      <c r="D288" s="31" t="s">
        <v>16</v>
      </c>
      <c r="E288" s="31" t="s">
        <v>685</v>
      </c>
      <c r="F288" s="32">
        <v>11394</v>
      </c>
      <c r="G288" s="31" t="s">
        <v>17</v>
      </c>
      <c r="H288" s="31" t="s">
        <v>399</v>
      </c>
      <c r="I288" s="31">
        <v>1152</v>
      </c>
      <c r="J288" s="31">
        <v>64665</v>
      </c>
      <c r="K288" s="31" t="str">
        <f>CONCATENATE(E288,I288,J288)</f>
        <v>30507950848115264665</v>
      </c>
      <c r="L288" s="33">
        <v>3</v>
      </c>
      <c r="M288" s="34">
        <v>0</v>
      </c>
      <c r="N288" s="34">
        <v>0</v>
      </c>
      <c r="O288" s="34">
        <v>47282.400000000001</v>
      </c>
      <c r="P288" s="34">
        <v>0</v>
      </c>
    </row>
    <row r="289" spans="1:16" x14ac:dyDescent="0.25">
      <c r="A289" s="2">
        <v>45399</v>
      </c>
      <c r="B289" s="1" t="s">
        <v>397</v>
      </c>
      <c r="C289" s="1" t="s">
        <v>398</v>
      </c>
      <c r="D289" s="1" t="s">
        <v>16</v>
      </c>
      <c r="E289" s="1" t="s">
        <v>685</v>
      </c>
      <c r="F289" s="3">
        <v>11394</v>
      </c>
      <c r="G289" s="1" t="s">
        <v>17</v>
      </c>
      <c r="H289" s="29" t="s">
        <v>399</v>
      </c>
      <c r="I289" s="1">
        <v>1152</v>
      </c>
      <c r="J289" s="1">
        <v>64665</v>
      </c>
      <c r="K289" s="1" t="str">
        <f>CONCATENATE(E289,I289,J289)</f>
        <v>30507950848115264665</v>
      </c>
      <c r="L289" s="4">
        <v>21</v>
      </c>
      <c r="M289" s="5">
        <v>0</v>
      </c>
      <c r="N289" s="5">
        <v>1576080</v>
      </c>
      <c r="O289" s="5">
        <v>330976.8</v>
      </c>
      <c r="P289" s="5">
        <v>2033143.2</v>
      </c>
    </row>
    <row r="290" spans="1:16" x14ac:dyDescent="0.25">
      <c r="A290" s="30">
        <v>45399</v>
      </c>
      <c r="B290" s="31" t="s">
        <v>179</v>
      </c>
      <c r="C290" s="31" t="s">
        <v>180</v>
      </c>
      <c r="D290" s="31" t="s">
        <v>16</v>
      </c>
      <c r="E290" s="31" t="s">
        <v>635</v>
      </c>
      <c r="F290" s="32">
        <v>11541</v>
      </c>
      <c r="G290" s="31" t="s">
        <v>17</v>
      </c>
      <c r="H290" s="31" t="s">
        <v>400</v>
      </c>
      <c r="I290" s="31">
        <v>2002</v>
      </c>
      <c r="J290" s="31">
        <v>283558</v>
      </c>
      <c r="K290" s="31" t="str">
        <f>CONCATENATE(E290,I290,J290)</f>
        <v>305007682622002283558</v>
      </c>
      <c r="L290" s="33">
        <v>3</v>
      </c>
      <c r="M290" s="34">
        <v>0</v>
      </c>
      <c r="N290" s="34">
        <v>0</v>
      </c>
      <c r="O290" s="34">
        <v>32335.67</v>
      </c>
      <c r="P290" s="34">
        <v>0</v>
      </c>
    </row>
    <row r="291" spans="1:16" x14ac:dyDescent="0.25">
      <c r="A291" s="2">
        <v>45399</v>
      </c>
      <c r="B291" s="1" t="s">
        <v>179</v>
      </c>
      <c r="C291" s="1" t="s">
        <v>180</v>
      </c>
      <c r="D291" s="1" t="s">
        <v>16</v>
      </c>
      <c r="E291" s="1" t="s">
        <v>635</v>
      </c>
      <c r="F291" s="3">
        <v>11541</v>
      </c>
      <c r="G291" s="1" t="s">
        <v>17</v>
      </c>
      <c r="H291" s="29" t="s">
        <v>400</v>
      </c>
      <c r="I291" s="1">
        <v>2002</v>
      </c>
      <c r="J291" s="1">
        <v>283558</v>
      </c>
      <c r="K291" s="1" t="str">
        <f>CONCATENATE(E291,I291,J291)</f>
        <v>305007682622002283558</v>
      </c>
      <c r="L291" s="4">
        <v>21</v>
      </c>
      <c r="M291" s="5">
        <v>0</v>
      </c>
      <c r="N291" s="5">
        <v>1077855.8999999999</v>
      </c>
      <c r="O291" s="5">
        <v>226349.73</v>
      </c>
      <c r="P291" s="5">
        <v>1390434.09</v>
      </c>
    </row>
    <row r="292" spans="1:16" x14ac:dyDescent="0.25">
      <c r="A292" s="30">
        <v>45399</v>
      </c>
      <c r="B292" s="31" t="s">
        <v>179</v>
      </c>
      <c r="C292" s="31" t="s">
        <v>180</v>
      </c>
      <c r="D292" s="31" t="s">
        <v>16</v>
      </c>
      <c r="E292" s="31" t="s">
        <v>635</v>
      </c>
      <c r="F292" s="32">
        <v>11540</v>
      </c>
      <c r="G292" s="31" t="s">
        <v>17</v>
      </c>
      <c r="H292" s="31" t="s">
        <v>401</v>
      </c>
      <c r="I292" s="31">
        <v>2002</v>
      </c>
      <c r="J292" s="31">
        <v>283559</v>
      </c>
      <c r="K292" s="31" t="str">
        <f>CONCATENATE(E292,I292,J292)</f>
        <v>305007682622002283559</v>
      </c>
      <c r="L292" s="33">
        <v>3</v>
      </c>
      <c r="M292" s="34">
        <v>0</v>
      </c>
      <c r="N292" s="34">
        <v>0</v>
      </c>
      <c r="O292" s="34">
        <v>95660.86</v>
      </c>
      <c r="P292" s="34">
        <v>0</v>
      </c>
    </row>
    <row r="293" spans="1:16" x14ac:dyDescent="0.25">
      <c r="A293" s="2">
        <v>45399</v>
      </c>
      <c r="B293" s="1" t="s">
        <v>179</v>
      </c>
      <c r="C293" s="1" t="s">
        <v>180</v>
      </c>
      <c r="D293" s="1" t="s">
        <v>16</v>
      </c>
      <c r="E293" s="1" t="s">
        <v>635</v>
      </c>
      <c r="F293" s="3">
        <v>11540</v>
      </c>
      <c r="G293" s="1" t="s">
        <v>17</v>
      </c>
      <c r="H293" s="29" t="s">
        <v>401</v>
      </c>
      <c r="I293" s="1">
        <v>2002</v>
      </c>
      <c r="J293" s="1">
        <v>283559</v>
      </c>
      <c r="K293" s="1" t="str">
        <f>CONCATENATE(E293,I293,J293)</f>
        <v>305007682622002283559</v>
      </c>
      <c r="L293" s="4">
        <v>21</v>
      </c>
      <c r="M293" s="5">
        <v>0</v>
      </c>
      <c r="N293" s="5">
        <v>3188695.63</v>
      </c>
      <c r="O293" s="5">
        <v>669626.07999999996</v>
      </c>
      <c r="P293" s="5">
        <v>4113417.34</v>
      </c>
    </row>
    <row r="294" spans="1:16" x14ac:dyDescent="0.25">
      <c r="A294" s="30">
        <v>45399</v>
      </c>
      <c r="B294" s="31" t="s">
        <v>179</v>
      </c>
      <c r="C294" s="31" t="s">
        <v>180</v>
      </c>
      <c r="D294" s="31" t="s">
        <v>16</v>
      </c>
      <c r="E294" s="31" t="s">
        <v>635</v>
      </c>
      <c r="F294" s="32">
        <v>11458</v>
      </c>
      <c r="G294" s="31" t="s">
        <v>21</v>
      </c>
      <c r="H294" s="31" t="s">
        <v>414</v>
      </c>
      <c r="I294" s="31">
        <v>2020</v>
      </c>
      <c r="J294" s="31">
        <v>4328</v>
      </c>
      <c r="K294" s="31" t="str">
        <f>CONCATENATE(E294,I294,J294)</f>
        <v>3050076826220204328</v>
      </c>
      <c r="L294" s="33">
        <v>3</v>
      </c>
      <c r="M294" s="34">
        <v>0</v>
      </c>
      <c r="N294" s="34">
        <v>0</v>
      </c>
      <c r="O294" s="34">
        <v>-831.55</v>
      </c>
      <c r="P294" s="34">
        <v>0</v>
      </c>
    </row>
    <row r="295" spans="1:16" x14ac:dyDescent="0.25">
      <c r="A295" s="2">
        <v>45399</v>
      </c>
      <c r="B295" s="1" t="s">
        <v>179</v>
      </c>
      <c r="C295" s="1" t="s">
        <v>180</v>
      </c>
      <c r="D295" s="1" t="s">
        <v>16</v>
      </c>
      <c r="E295" s="1" t="s">
        <v>635</v>
      </c>
      <c r="F295" s="3">
        <v>11458</v>
      </c>
      <c r="G295" s="1" t="s">
        <v>21</v>
      </c>
      <c r="H295" s="29" t="s">
        <v>414</v>
      </c>
      <c r="I295" s="1">
        <v>2020</v>
      </c>
      <c r="J295" s="1">
        <v>4328</v>
      </c>
      <c r="K295" s="1" t="str">
        <f>CONCATENATE(E295,I295,J295)</f>
        <v>3050076826220204328</v>
      </c>
      <c r="L295" s="4">
        <v>21</v>
      </c>
      <c r="M295" s="5">
        <v>0</v>
      </c>
      <c r="N295" s="5">
        <v>-27718.39</v>
      </c>
      <c r="O295" s="5">
        <v>-5820.86</v>
      </c>
      <c r="P295" s="5">
        <v>-34370.800000000003</v>
      </c>
    </row>
    <row r="296" spans="1:16" x14ac:dyDescent="0.25">
      <c r="A296" s="2">
        <v>45399</v>
      </c>
      <c r="B296" s="1" t="s">
        <v>153</v>
      </c>
      <c r="C296" s="1" t="s">
        <v>154</v>
      </c>
      <c r="D296" s="1" t="s">
        <v>16</v>
      </c>
      <c r="E296" s="1" t="s">
        <v>628</v>
      </c>
      <c r="F296" s="3">
        <v>11727</v>
      </c>
      <c r="G296" s="1" t="s">
        <v>17</v>
      </c>
      <c r="H296" s="29" t="s">
        <v>402</v>
      </c>
      <c r="I296" s="1">
        <v>5011</v>
      </c>
      <c r="J296" s="1">
        <v>603880</v>
      </c>
      <c r="K296" s="1" t="str">
        <f>CONCATENATE(E296,I296,J296)</f>
        <v>305748764745011603880</v>
      </c>
      <c r="L296" s="4">
        <v>21</v>
      </c>
      <c r="M296" s="5">
        <v>1365.03</v>
      </c>
      <c r="N296" s="5">
        <v>13649.19</v>
      </c>
      <c r="O296" s="5">
        <v>2866.33</v>
      </c>
      <c r="P296" s="5">
        <v>18290.03</v>
      </c>
    </row>
    <row r="297" spans="1:16" x14ac:dyDescent="0.25">
      <c r="A297" s="2">
        <v>45399</v>
      </c>
      <c r="B297" s="1" t="s">
        <v>153</v>
      </c>
      <c r="C297" s="1" t="s">
        <v>154</v>
      </c>
      <c r="D297" s="1" t="s">
        <v>16</v>
      </c>
      <c r="E297" s="1" t="s">
        <v>628</v>
      </c>
      <c r="F297" s="3">
        <v>11728</v>
      </c>
      <c r="G297" s="1" t="s">
        <v>17</v>
      </c>
      <c r="H297" s="29" t="s">
        <v>403</v>
      </c>
      <c r="I297" s="1">
        <v>5014</v>
      </c>
      <c r="J297" s="1">
        <v>604125</v>
      </c>
      <c r="K297" s="1" t="str">
        <f>CONCATENATE(E297,I297,J297)</f>
        <v>305748764745014604125</v>
      </c>
      <c r="L297" s="4">
        <v>21</v>
      </c>
      <c r="M297" s="5">
        <v>480.22</v>
      </c>
      <c r="N297" s="5">
        <v>4801.7</v>
      </c>
      <c r="O297" s="5">
        <v>1008.36</v>
      </c>
      <c r="P297" s="5">
        <v>6434.33</v>
      </c>
    </row>
    <row r="298" spans="1:16" s="42" customFormat="1" x14ac:dyDescent="0.25">
      <c r="A298" s="37">
        <v>45399</v>
      </c>
      <c r="B298" s="38" t="s">
        <v>107</v>
      </c>
      <c r="C298" s="38" t="s">
        <v>108</v>
      </c>
      <c r="D298" s="38" t="s">
        <v>16</v>
      </c>
      <c r="E298" s="38" t="s">
        <v>613</v>
      </c>
      <c r="F298" s="39">
        <v>11434</v>
      </c>
      <c r="G298" s="38" t="s">
        <v>17</v>
      </c>
      <c r="H298" s="38" t="s">
        <v>404</v>
      </c>
      <c r="I298" s="38">
        <v>5036</v>
      </c>
      <c r="J298" s="38">
        <v>29230</v>
      </c>
      <c r="K298" s="38" t="str">
        <f>CONCATENATE(E298,I298,J298)</f>
        <v>30695542476503629230</v>
      </c>
      <c r="L298" s="40">
        <v>3</v>
      </c>
      <c r="M298" s="41">
        <v>0</v>
      </c>
      <c r="N298" s="41">
        <v>0</v>
      </c>
      <c r="O298" s="41">
        <v>462.26</v>
      </c>
      <c r="P298" s="41">
        <v>0</v>
      </c>
    </row>
    <row r="299" spans="1:16" s="42" customFormat="1" x14ac:dyDescent="0.25">
      <c r="A299" s="37">
        <v>45399</v>
      </c>
      <c r="B299" s="38" t="s">
        <v>107</v>
      </c>
      <c r="C299" s="38" t="s">
        <v>108</v>
      </c>
      <c r="D299" s="38" t="s">
        <v>16</v>
      </c>
      <c r="E299" s="38" t="s">
        <v>613</v>
      </c>
      <c r="F299" s="39">
        <v>11434</v>
      </c>
      <c r="G299" s="38" t="s">
        <v>17</v>
      </c>
      <c r="H299" s="38" t="s">
        <v>404</v>
      </c>
      <c r="I299" s="38">
        <v>5036</v>
      </c>
      <c r="J299" s="38">
        <v>29230</v>
      </c>
      <c r="K299" s="38" t="str">
        <f>CONCATENATE(E299,I299,J299)</f>
        <v>30695542476503629230</v>
      </c>
      <c r="L299" s="40">
        <v>21</v>
      </c>
      <c r="M299" s="41">
        <v>1355.57</v>
      </c>
      <c r="N299" s="41">
        <v>15408.6</v>
      </c>
      <c r="O299" s="41">
        <v>3235.81</v>
      </c>
      <c r="P299" s="41">
        <v>20462.240000000002</v>
      </c>
    </row>
    <row r="300" spans="1:16" x14ac:dyDescent="0.25">
      <c r="A300" s="2">
        <v>45399</v>
      </c>
      <c r="B300" s="1" t="s">
        <v>405</v>
      </c>
      <c r="C300" s="1" t="s">
        <v>406</v>
      </c>
      <c r="D300" s="1" t="s">
        <v>112</v>
      </c>
      <c r="E300" s="1" t="s">
        <v>686</v>
      </c>
      <c r="F300" s="3">
        <v>11377</v>
      </c>
      <c r="G300" s="1" t="s">
        <v>17</v>
      </c>
      <c r="H300" s="1" t="s">
        <v>407</v>
      </c>
      <c r="I300" s="1">
        <v>1</v>
      </c>
      <c r="J300" s="1">
        <v>8</v>
      </c>
      <c r="K300" s="1" t="str">
        <f>CONCATENATE(E300,I300,J300)</f>
        <v>2028445801018</v>
      </c>
      <c r="L300" s="4">
        <v>0</v>
      </c>
      <c r="M300" s="5">
        <v>130000</v>
      </c>
      <c r="N300" s="5">
        <v>0</v>
      </c>
      <c r="O300" s="5">
        <v>0</v>
      </c>
      <c r="P300" s="5">
        <v>130000</v>
      </c>
    </row>
    <row r="301" spans="1:16" x14ac:dyDescent="0.25">
      <c r="A301" s="2">
        <v>45399</v>
      </c>
      <c r="B301" s="1" t="s">
        <v>237</v>
      </c>
      <c r="C301" s="1" t="s">
        <v>238</v>
      </c>
      <c r="D301" s="1" t="s">
        <v>112</v>
      </c>
      <c r="E301" s="1" t="s">
        <v>649</v>
      </c>
      <c r="F301" s="3">
        <v>11375</v>
      </c>
      <c r="G301" s="1" t="s">
        <v>17</v>
      </c>
      <c r="H301" s="1" t="s">
        <v>408</v>
      </c>
      <c r="I301" s="1">
        <v>3</v>
      </c>
      <c r="J301" s="1">
        <v>5316</v>
      </c>
      <c r="K301" s="1" t="str">
        <f>CONCATENATE(E301,I301,J301)</f>
        <v>2018056301735316</v>
      </c>
      <c r="L301" s="4">
        <v>0</v>
      </c>
      <c r="M301" s="5">
        <v>166000</v>
      </c>
      <c r="N301" s="5">
        <v>0</v>
      </c>
      <c r="O301" s="5">
        <v>0</v>
      </c>
      <c r="P301" s="5">
        <v>166000</v>
      </c>
    </row>
    <row r="302" spans="1:16" x14ac:dyDescent="0.25">
      <c r="A302" s="2">
        <v>45400</v>
      </c>
      <c r="B302" s="1" t="s">
        <v>330</v>
      </c>
      <c r="C302" s="1" t="s">
        <v>331</v>
      </c>
      <c r="D302" s="1" t="s">
        <v>16</v>
      </c>
      <c r="E302" s="1" t="s">
        <v>670</v>
      </c>
      <c r="F302" s="3">
        <v>11425</v>
      </c>
      <c r="G302" s="1" t="s">
        <v>17</v>
      </c>
      <c r="H302" s="29" t="s">
        <v>415</v>
      </c>
      <c r="I302" s="1">
        <v>1</v>
      </c>
      <c r="J302" s="1">
        <v>5764</v>
      </c>
      <c r="K302" s="1" t="str">
        <f>CONCATENATE(E302,I302,J302)</f>
        <v>2018411111015764</v>
      </c>
      <c r="L302" s="4">
        <v>21</v>
      </c>
      <c r="M302" s="5">
        <v>0</v>
      </c>
      <c r="N302" s="5">
        <v>35371.919999999998</v>
      </c>
      <c r="O302" s="5">
        <v>7428.11</v>
      </c>
      <c r="P302" s="5">
        <v>42800.03</v>
      </c>
    </row>
    <row r="303" spans="1:16" x14ac:dyDescent="0.25">
      <c r="A303" s="2">
        <v>45400</v>
      </c>
      <c r="B303" s="1" t="s">
        <v>248</v>
      </c>
      <c r="C303" s="1" t="s">
        <v>249</v>
      </c>
      <c r="D303" s="1" t="s">
        <v>16</v>
      </c>
      <c r="E303" s="1" t="s">
        <v>652</v>
      </c>
      <c r="F303" s="3">
        <v>11681</v>
      </c>
      <c r="G303" s="1" t="s">
        <v>17</v>
      </c>
      <c r="H303" s="29" t="s">
        <v>416</v>
      </c>
      <c r="I303" s="1">
        <v>3</v>
      </c>
      <c r="J303" s="1">
        <v>101994</v>
      </c>
      <c r="K303" s="1" t="str">
        <f>CONCATENATE(E303,I303,J303)</f>
        <v>307102144723101994</v>
      </c>
      <c r="L303" s="4">
        <v>21</v>
      </c>
      <c r="M303" s="5">
        <v>0</v>
      </c>
      <c r="N303" s="5">
        <v>159421.53</v>
      </c>
      <c r="O303" s="5">
        <v>33478.519999999997</v>
      </c>
      <c r="P303" s="5">
        <v>196088.48</v>
      </c>
    </row>
    <row r="304" spans="1:16" s="42" customFormat="1" x14ac:dyDescent="0.25">
      <c r="A304" s="37">
        <v>45400</v>
      </c>
      <c r="B304" s="38" t="s">
        <v>283</v>
      </c>
      <c r="C304" s="38" t="s">
        <v>284</v>
      </c>
      <c r="D304" s="38" t="s">
        <v>16</v>
      </c>
      <c r="E304" s="38" t="s">
        <v>661</v>
      </c>
      <c r="F304" s="39">
        <v>11768</v>
      </c>
      <c r="G304" s="38" t="s">
        <v>17</v>
      </c>
      <c r="H304" s="38" t="s">
        <v>417</v>
      </c>
      <c r="I304" s="38">
        <v>12</v>
      </c>
      <c r="J304" s="38">
        <v>46365</v>
      </c>
      <c r="K304" s="38" t="str">
        <f>CONCATENATE(E304,I304,J304)</f>
        <v>307091141031246365</v>
      </c>
      <c r="L304" s="40">
        <v>21</v>
      </c>
      <c r="M304" s="41">
        <v>1812.45</v>
      </c>
      <c r="N304" s="41">
        <v>15031</v>
      </c>
      <c r="O304" s="41">
        <v>3156.51</v>
      </c>
      <c r="P304" s="41">
        <v>19999.96</v>
      </c>
    </row>
    <row r="305" spans="1:16" x14ac:dyDescent="0.25">
      <c r="A305" s="2">
        <v>45400</v>
      </c>
      <c r="B305" s="1" t="s">
        <v>305</v>
      </c>
      <c r="C305" s="1" t="s">
        <v>306</v>
      </c>
      <c r="D305" s="1" t="s">
        <v>16</v>
      </c>
      <c r="E305" s="1" t="s">
        <v>666</v>
      </c>
      <c r="F305" s="3">
        <v>11521</v>
      </c>
      <c r="G305" s="1" t="s">
        <v>17</v>
      </c>
      <c r="H305" s="29" t="s">
        <v>418</v>
      </c>
      <c r="I305" s="1">
        <v>161</v>
      </c>
      <c r="J305" s="1">
        <v>195552</v>
      </c>
      <c r="K305" s="1" t="str">
        <f>CONCATENATE(E305,I305,J305)</f>
        <v>30566108352161195552</v>
      </c>
      <c r="L305" s="4">
        <v>21</v>
      </c>
      <c r="M305" s="5">
        <v>0</v>
      </c>
      <c r="N305" s="5">
        <v>2772234.04</v>
      </c>
      <c r="O305" s="5">
        <v>582169.15</v>
      </c>
      <c r="P305" s="5">
        <v>3493014.89</v>
      </c>
    </row>
    <row r="306" spans="1:16" x14ac:dyDescent="0.25">
      <c r="A306" s="30">
        <v>45400</v>
      </c>
      <c r="B306" s="31" t="s">
        <v>356</v>
      </c>
      <c r="C306" s="31" t="s">
        <v>357</v>
      </c>
      <c r="D306" s="31" t="s">
        <v>16</v>
      </c>
      <c r="E306" s="31" t="s">
        <v>677</v>
      </c>
      <c r="F306" s="32">
        <v>11579</v>
      </c>
      <c r="G306" s="31" t="s">
        <v>21</v>
      </c>
      <c r="H306" s="31" t="s">
        <v>428</v>
      </c>
      <c r="I306" s="31">
        <v>300</v>
      </c>
      <c r="J306" s="31">
        <v>90533</v>
      </c>
      <c r="K306" s="31" t="str">
        <f>CONCATENATE(E306,I306,J306)</f>
        <v>3053404071330090533</v>
      </c>
      <c r="L306" s="33">
        <v>1.5</v>
      </c>
      <c r="M306" s="34">
        <v>0</v>
      </c>
      <c r="N306" s="34">
        <v>0</v>
      </c>
      <c r="O306" s="34">
        <v>-6750</v>
      </c>
      <c r="P306" s="34">
        <v>0</v>
      </c>
    </row>
    <row r="307" spans="1:16" x14ac:dyDescent="0.25">
      <c r="A307" s="2">
        <v>45400</v>
      </c>
      <c r="B307" s="1" t="s">
        <v>356</v>
      </c>
      <c r="C307" s="1" t="s">
        <v>357</v>
      </c>
      <c r="D307" s="1" t="s">
        <v>16</v>
      </c>
      <c r="E307" s="1" t="s">
        <v>677</v>
      </c>
      <c r="F307" s="3">
        <v>11579</v>
      </c>
      <c r="G307" s="1" t="s">
        <v>21</v>
      </c>
      <c r="H307" s="29" t="s">
        <v>428</v>
      </c>
      <c r="I307" s="1">
        <v>300</v>
      </c>
      <c r="J307" s="1">
        <v>90533</v>
      </c>
      <c r="K307" s="1" t="str">
        <f>CONCATENATE(E307,I307,J307)</f>
        <v>3053404071330090533</v>
      </c>
      <c r="L307" s="4">
        <v>10.5</v>
      </c>
      <c r="M307" s="5">
        <v>0</v>
      </c>
      <c r="N307" s="5">
        <v>-450000</v>
      </c>
      <c r="O307" s="5">
        <v>-47250</v>
      </c>
      <c r="P307" s="5">
        <v>-504000</v>
      </c>
    </row>
    <row r="308" spans="1:16" x14ac:dyDescent="0.25">
      <c r="A308" s="30">
        <v>45400</v>
      </c>
      <c r="B308" s="31" t="s">
        <v>150</v>
      </c>
      <c r="C308" s="31" t="s">
        <v>151</v>
      </c>
      <c r="D308" s="31" t="s">
        <v>16</v>
      </c>
      <c r="E308" s="31" t="s">
        <v>627</v>
      </c>
      <c r="F308" s="32">
        <v>11518</v>
      </c>
      <c r="G308" s="31" t="s">
        <v>17</v>
      </c>
      <c r="H308" s="31" t="s">
        <v>419</v>
      </c>
      <c r="I308" s="31">
        <v>1001</v>
      </c>
      <c r="J308" s="31">
        <v>234748</v>
      </c>
      <c r="K308" s="31" t="str">
        <f>CONCATENATE(E308,I308,J308)</f>
        <v>305866115221001234748</v>
      </c>
      <c r="L308" s="33">
        <v>3</v>
      </c>
      <c r="M308" s="34">
        <v>0</v>
      </c>
      <c r="N308" s="34">
        <v>0</v>
      </c>
      <c r="O308" s="34">
        <v>212133.3</v>
      </c>
      <c r="P308" s="34">
        <v>0</v>
      </c>
    </row>
    <row r="309" spans="1:16" x14ac:dyDescent="0.25">
      <c r="A309" s="2">
        <v>45400</v>
      </c>
      <c r="B309" s="1" t="s">
        <v>150</v>
      </c>
      <c r="C309" s="1" t="s">
        <v>151</v>
      </c>
      <c r="D309" s="1" t="s">
        <v>16</v>
      </c>
      <c r="E309" s="1" t="s">
        <v>627</v>
      </c>
      <c r="F309" s="3">
        <v>11518</v>
      </c>
      <c r="G309" s="1" t="s">
        <v>17</v>
      </c>
      <c r="H309" s="29" t="s">
        <v>419</v>
      </c>
      <c r="I309" s="1">
        <v>1001</v>
      </c>
      <c r="J309" s="1">
        <v>234748</v>
      </c>
      <c r="K309" s="1" t="str">
        <f>CONCATENATE(E309,I309,J309)</f>
        <v>305866115221001234748</v>
      </c>
      <c r="L309" s="4">
        <v>21</v>
      </c>
      <c r="M309" s="5">
        <v>0</v>
      </c>
      <c r="N309" s="5">
        <v>7071110</v>
      </c>
      <c r="O309" s="5">
        <v>1484933.1</v>
      </c>
      <c r="P309" s="5">
        <v>9121731.9000000004</v>
      </c>
    </row>
    <row r="310" spans="1:16" x14ac:dyDescent="0.25">
      <c r="A310" s="30">
        <v>45400</v>
      </c>
      <c r="B310" s="31" t="s">
        <v>420</v>
      </c>
      <c r="C310" s="31" t="s">
        <v>421</v>
      </c>
      <c r="D310" s="31" t="s">
        <v>16</v>
      </c>
      <c r="E310" s="31" t="s">
        <v>688</v>
      </c>
      <c r="F310" s="32">
        <v>11715</v>
      </c>
      <c r="G310" s="31" t="s">
        <v>17</v>
      </c>
      <c r="H310" s="31" t="s">
        <v>422</v>
      </c>
      <c r="I310" s="31">
        <v>1678</v>
      </c>
      <c r="J310" s="31">
        <v>36428</v>
      </c>
      <c r="K310" s="31" t="str">
        <f>CONCATENATE(E310,I310,J310)</f>
        <v>30589621499167836428</v>
      </c>
      <c r="L310" s="33">
        <v>3</v>
      </c>
      <c r="M310" s="34">
        <v>0</v>
      </c>
      <c r="N310" s="34">
        <v>0</v>
      </c>
      <c r="O310" s="34">
        <v>337.06</v>
      </c>
      <c r="P310" s="34">
        <v>0</v>
      </c>
    </row>
    <row r="311" spans="1:16" x14ac:dyDescent="0.25">
      <c r="A311" s="2">
        <v>45400</v>
      </c>
      <c r="B311" s="1" t="s">
        <v>420</v>
      </c>
      <c r="C311" s="1" t="s">
        <v>421</v>
      </c>
      <c r="D311" s="1" t="s">
        <v>16</v>
      </c>
      <c r="E311" s="1" t="s">
        <v>688</v>
      </c>
      <c r="F311" s="3">
        <v>11715</v>
      </c>
      <c r="G311" s="1" t="s">
        <v>17</v>
      </c>
      <c r="H311" s="29" t="s">
        <v>422</v>
      </c>
      <c r="I311" s="1">
        <v>1678</v>
      </c>
      <c r="J311" s="1">
        <v>36428</v>
      </c>
      <c r="K311" s="1" t="str">
        <f>CONCATENATE(E311,I311,J311)</f>
        <v>30589621499167836428</v>
      </c>
      <c r="L311" s="4">
        <v>21</v>
      </c>
      <c r="M311" s="5">
        <v>0</v>
      </c>
      <c r="N311" s="5">
        <v>11235.41</v>
      </c>
      <c r="O311" s="5">
        <v>2359.44</v>
      </c>
      <c r="P311" s="5">
        <v>14493.68</v>
      </c>
    </row>
    <row r="312" spans="1:16" x14ac:dyDescent="0.25">
      <c r="A312" s="30">
        <v>45400</v>
      </c>
      <c r="B312" s="31" t="s">
        <v>100</v>
      </c>
      <c r="C312" s="31" t="s">
        <v>101</v>
      </c>
      <c r="D312" s="31" t="s">
        <v>16</v>
      </c>
      <c r="E312" s="31" t="s">
        <v>611</v>
      </c>
      <c r="F312" s="32">
        <v>11495</v>
      </c>
      <c r="G312" s="31" t="s">
        <v>17</v>
      </c>
      <c r="H312" s="31" t="s">
        <v>423</v>
      </c>
      <c r="I312" s="31">
        <v>2009</v>
      </c>
      <c r="J312" s="31">
        <v>36968</v>
      </c>
      <c r="K312" s="31" t="str">
        <f>CONCATENATE(E312,I312,J312)</f>
        <v>30700869918200936968</v>
      </c>
      <c r="L312" s="33">
        <v>3</v>
      </c>
      <c r="M312" s="34">
        <v>0</v>
      </c>
      <c r="N312" s="34">
        <v>0</v>
      </c>
      <c r="O312" s="34">
        <v>102014.64</v>
      </c>
      <c r="P312" s="34">
        <v>0</v>
      </c>
    </row>
    <row r="313" spans="1:16" x14ac:dyDescent="0.25">
      <c r="A313" s="2">
        <v>45400</v>
      </c>
      <c r="B313" s="1" t="s">
        <v>100</v>
      </c>
      <c r="C313" s="1" t="s">
        <v>101</v>
      </c>
      <c r="D313" s="1" t="s">
        <v>16</v>
      </c>
      <c r="E313" s="1" t="s">
        <v>611</v>
      </c>
      <c r="F313" s="3">
        <v>11495</v>
      </c>
      <c r="G313" s="1" t="s">
        <v>17</v>
      </c>
      <c r="H313" s="29" t="s">
        <v>423</v>
      </c>
      <c r="I313" s="1">
        <v>2009</v>
      </c>
      <c r="J313" s="1">
        <v>36968</v>
      </c>
      <c r="K313" s="1" t="str">
        <f>CONCATENATE(E313,I313,J313)</f>
        <v>30700869918200936968</v>
      </c>
      <c r="L313" s="4">
        <v>21</v>
      </c>
      <c r="M313" s="5">
        <v>0</v>
      </c>
      <c r="N313" s="5">
        <v>3400488</v>
      </c>
      <c r="O313" s="5">
        <v>714102.48</v>
      </c>
      <c r="P313" s="5">
        <v>4386629.5199999996</v>
      </c>
    </row>
    <row r="314" spans="1:16" x14ac:dyDescent="0.25">
      <c r="A314" s="30">
        <v>45400</v>
      </c>
      <c r="B314" s="31" t="s">
        <v>100</v>
      </c>
      <c r="C314" s="31" t="s">
        <v>101</v>
      </c>
      <c r="D314" s="31" t="s">
        <v>16</v>
      </c>
      <c r="E314" s="31" t="s">
        <v>611</v>
      </c>
      <c r="F314" s="32">
        <v>11496</v>
      </c>
      <c r="G314" s="31" t="s">
        <v>17</v>
      </c>
      <c r="H314" s="31" t="s">
        <v>424</v>
      </c>
      <c r="I314" s="31">
        <v>2009</v>
      </c>
      <c r="J314" s="31">
        <v>36969</v>
      </c>
      <c r="K314" s="31" t="str">
        <f>CONCATENATE(E314,I314,J314)</f>
        <v>30700869918200936969</v>
      </c>
      <c r="L314" s="33">
        <v>3</v>
      </c>
      <c r="M314" s="34">
        <v>0</v>
      </c>
      <c r="N314" s="34">
        <v>0</v>
      </c>
      <c r="O314" s="34">
        <v>139590</v>
      </c>
      <c r="P314" s="34">
        <v>0</v>
      </c>
    </row>
    <row r="315" spans="1:16" x14ac:dyDescent="0.25">
      <c r="A315" s="2">
        <v>45400</v>
      </c>
      <c r="B315" s="1" t="s">
        <v>100</v>
      </c>
      <c r="C315" s="1" t="s">
        <v>101</v>
      </c>
      <c r="D315" s="1" t="s">
        <v>16</v>
      </c>
      <c r="E315" s="1" t="s">
        <v>611</v>
      </c>
      <c r="F315" s="3">
        <v>11496</v>
      </c>
      <c r="G315" s="1" t="s">
        <v>17</v>
      </c>
      <c r="H315" s="29" t="s">
        <v>424</v>
      </c>
      <c r="I315" s="1">
        <v>2009</v>
      </c>
      <c r="J315" s="1">
        <v>36969</v>
      </c>
      <c r="K315" s="1" t="str">
        <f>CONCATENATE(E315,I315,J315)</f>
        <v>30700869918200936969</v>
      </c>
      <c r="L315" s="4">
        <v>21</v>
      </c>
      <c r="M315" s="5">
        <v>0</v>
      </c>
      <c r="N315" s="5">
        <v>4653000</v>
      </c>
      <c r="O315" s="5">
        <v>977130</v>
      </c>
      <c r="P315" s="5">
        <v>6002370</v>
      </c>
    </row>
    <row r="316" spans="1:16" x14ac:dyDescent="0.25">
      <c r="A316" s="30">
        <v>45400</v>
      </c>
      <c r="B316" s="31" t="s">
        <v>100</v>
      </c>
      <c r="C316" s="31" t="s">
        <v>101</v>
      </c>
      <c r="D316" s="31" t="s">
        <v>16</v>
      </c>
      <c r="E316" s="31" t="s">
        <v>611</v>
      </c>
      <c r="F316" s="32">
        <v>11497</v>
      </c>
      <c r="G316" s="31" t="s">
        <v>17</v>
      </c>
      <c r="H316" s="31" t="s">
        <v>425</v>
      </c>
      <c r="I316" s="31">
        <v>2009</v>
      </c>
      <c r="J316" s="31">
        <v>36970</v>
      </c>
      <c r="K316" s="31" t="str">
        <f>CONCATENATE(E316,I316,J316)</f>
        <v>30700869918200936970</v>
      </c>
      <c r="L316" s="33">
        <v>3</v>
      </c>
      <c r="M316" s="34">
        <v>0</v>
      </c>
      <c r="N316" s="34">
        <v>0</v>
      </c>
      <c r="O316" s="34">
        <v>263994</v>
      </c>
      <c r="P316" s="34">
        <v>0</v>
      </c>
    </row>
    <row r="317" spans="1:16" x14ac:dyDescent="0.25">
      <c r="A317" s="2">
        <v>45400</v>
      </c>
      <c r="B317" s="1" t="s">
        <v>100</v>
      </c>
      <c r="C317" s="1" t="s">
        <v>101</v>
      </c>
      <c r="D317" s="1" t="s">
        <v>16</v>
      </c>
      <c r="E317" s="1" t="s">
        <v>611</v>
      </c>
      <c r="F317" s="3">
        <v>11497</v>
      </c>
      <c r="G317" s="1" t="s">
        <v>17</v>
      </c>
      <c r="H317" s="29" t="s">
        <v>425</v>
      </c>
      <c r="I317" s="1">
        <v>2009</v>
      </c>
      <c r="J317" s="1">
        <v>36970</v>
      </c>
      <c r="K317" s="1" t="str">
        <f>CONCATENATE(E317,I317,J317)</f>
        <v>30700869918200936970</v>
      </c>
      <c r="L317" s="4">
        <v>21</v>
      </c>
      <c r="M317" s="5">
        <v>0</v>
      </c>
      <c r="N317" s="5">
        <v>8799800</v>
      </c>
      <c r="O317" s="5">
        <v>1847958</v>
      </c>
      <c r="P317" s="5">
        <v>11615736</v>
      </c>
    </row>
    <row r="318" spans="1:16" x14ac:dyDescent="0.25">
      <c r="A318" s="30">
        <v>45400</v>
      </c>
      <c r="B318" s="31" t="s">
        <v>100</v>
      </c>
      <c r="C318" s="31" t="s">
        <v>101</v>
      </c>
      <c r="D318" s="31" t="s">
        <v>16</v>
      </c>
      <c r="E318" s="31" t="s">
        <v>611</v>
      </c>
      <c r="F318" s="32">
        <v>11498</v>
      </c>
      <c r="G318" s="31" t="s">
        <v>17</v>
      </c>
      <c r="H318" s="31" t="s">
        <v>426</v>
      </c>
      <c r="I318" s="31">
        <v>2009</v>
      </c>
      <c r="J318" s="31">
        <v>36971</v>
      </c>
      <c r="K318" s="31" t="str">
        <f>CONCATENATE(E318,I318,J318)</f>
        <v>30700869918200936971</v>
      </c>
      <c r="L318" s="33">
        <v>3</v>
      </c>
      <c r="M318" s="34">
        <v>0</v>
      </c>
      <c r="N318" s="34">
        <v>0</v>
      </c>
      <c r="O318" s="34">
        <v>32868</v>
      </c>
      <c r="P318" s="34">
        <v>0</v>
      </c>
    </row>
    <row r="319" spans="1:16" x14ac:dyDescent="0.25">
      <c r="A319" s="2">
        <v>45400</v>
      </c>
      <c r="B319" s="1" t="s">
        <v>100</v>
      </c>
      <c r="C319" s="1" t="s">
        <v>101</v>
      </c>
      <c r="D319" s="1" t="s">
        <v>16</v>
      </c>
      <c r="E319" s="1" t="s">
        <v>611</v>
      </c>
      <c r="F319" s="3">
        <v>11498</v>
      </c>
      <c r="G319" s="1" t="s">
        <v>17</v>
      </c>
      <c r="H319" s="29" t="s">
        <v>426</v>
      </c>
      <c r="I319" s="1">
        <v>2009</v>
      </c>
      <c r="J319" s="1">
        <v>36971</v>
      </c>
      <c r="K319" s="1" t="str">
        <f>CONCATENATE(E319,I319,J319)</f>
        <v>30700869918200936971</v>
      </c>
      <c r="L319" s="4">
        <v>21</v>
      </c>
      <c r="M319" s="5">
        <v>0</v>
      </c>
      <c r="N319" s="5">
        <v>1095600</v>
      </c>
      <c r="O319" s="5">
        <v>230076</v>
      </c>
      <c r="P319" s="5">
        <v>1446192</v>
      </c>
    </row>
    <row r="320" spans="1:16" x14ac:dyDescent="0.25">
      <c r="A320" s="30">
        <v>45400</v>
      </c>
      <c r="B320" s="31" t="s">
        <v>158</v>
      </c>
      <c r="C320" s="31" t="s">
        <v>159</v>
      </c>
      <c r="D320" s="31" t="s">
        <v>16</v>
      </c>
      <c r="E320" s="31" t="s">
        <v>629</v>
      </c>
      <c r="F320" s="32">
        <v>11797</v>
      </c>
      <c r="G320" s="31" t="s">
        <v>21</v>
      </c>
      <c r="H320" s="31" t="s">
        <v>429</v>
      </c>
      <c r="I320" s="31">
        <v>6004</v>
      </c>
      <c r="J320" s="31">
        <v>1739506</v>
      </c>
      <c r="K320" s="31" t="str">
        <f>CONCATENATE(E320,I320,J320)</f>
        <v>3050111624260041739506</v>
      </c>
      <c r="L320" s="33">
        <v>3</v>
      </c>
      <c r="M320" s="34">
        <v>0</v>
      </c>
      <c r="N320" s="34">
        <v>0</v>
      </c>
      <c r="O320" s="34">
        <v>-161.61000000000001</v>
      </c>
      <c r="P320" s="34">
        <v>0</v>
      </c>
    </row>
    <row r="321" spans="1:16" x14ac:dyDescent="0.25">
      <c r="A321" s="2">
        <v>45400</v>
      </c>
      <c r="B321" s="1" t="s">
        <v>158</v>
      </c>
      <c r="C321" s="1" t="s">
        <v>159</v>
      </c>
      <c r="D321" s="1" t="s">
        <v>16</v>
      </c>
      <c r="E321" s="1" t="s">
        <v>629</v>
      </c>
      <c r="F321" s="3">
        <v>11797</v>
      </c>
      <c r="G321" s="1" t="s">
        <v>21</v>
      </c>
      <c r="H321" s="29" t="s">
        <v>429</v>
      </c>
      <c r="I321" s="1">
        <v>6004</v>
      </c>
      <c r="J321" s="1">
        <v>1739506</v>
      </c>
      <c r="K321" s="1" t="str">
        <f>CONCATENATE(E321,I321,J321)</f>
        <v>3050111624260041739506</v>
      </c>
      <c r="L321" s="4">
        <v>21</v>
      </c>
      <c r="M321" s="5">
        <v>0</v>
      </c>
      <c r="N321" s="5">
        <v>-5386.92</v>
      </c>
      <c r="O321" s="5">
        <v>-1131.25</v>
      </c>
      <c r="P321" s="5">
        <v>-6679.78</v>
      </c>
    </row>
    <row r="322" spans="1:16" x14ac:dyDescent="0.25">
      <c r="A322" s="30">
        <v>45400</v>
      </c>
      <c r="B322" s="31" t="s">
        <v>158</v>
      </c>
      <c r="C322" s="31" t="s">
        <v>159</v>
      </c>
      <c r="D322" s="31" t="s">
        <v>16</v>
      </c>
      <c r="E322" s="31" t="s">
        <v>629</v>
      </c>
      <c r="F322" s="32">
        <v>11544</v>
      </c>
      <c r="G322" s="31" t="s">
        <v>17</v>
      </c>
      <c r="H322" s="31" t="s">
        <v>427</v>
      </c>
      <c r="I322" s="31">
        <v>6004</v>
      </c>
      <c r="J322" s="31">
        <v>3593320</v>
      </c>
      <c r="K322" s="31" t="str">
        <f>CONCATENATE(E322,I322,J322)</f>
        <v>3050111624260043593320</v>
      </c>
      <c r="L322" s="33">
        <v>3</v>
      </c>
      <c r="M322" s="34">
        <v>0</v>
      </c>
      <c r="N322" s="34">
        <v>0</v>
      </c>
      <c r="O322" s="34">
        <v>3582.57</v>
      </c>
      <c r="P322" s="34">
        <v>0</v>
      </c>
    </row>
    <row r="323" spans="1:16" x14ac:dyDescent="0.25">
      <c r="A323" s="2">
        <v>45400</v>
      </c>
      <c r="B323" s="1" t="s">
        <v>158</v>
      </c>
      <c r="C323" s="1" t="s">
        <v>159</v>
      </c>
      <c r="D323" s="1" t="s">
        <v>16</v>
      </c>
      <c r="E323" s="1" t="s">
        <v>629</v>
      </c>
      <c r="F323" s="3">
        <v>11544</v>
      </c>
      <c r="G323" s="1" t="s">
        <v>17</v>
      </c>
      <c r="H323" s="29" t="s">
        <v>427</v>
      </c>
      <c r="I323" s="1">
        <v>6004</v>
      </c>
      <c r="J323" s="1">
        <v>3593320</v>
      </c>
      <c r="K323" s="1" t="str">
        <f>CONCATENATE(E323,I323,J323)</f>
        <v>3050111624260043593320</v>
      </c>
      <c r="L323" s="4">
        <v>21</v>
      </c>
      <c r="M323" s="5">
        <v>0</v>
      </c>
      <c r="N323" s="5">
        <v>119419.06</v>
      </c>
      <c r="O323" s="5">
        <v>25078</v>
      </c>
      <c r="P323" s="5">
        <v>150468.01</v>
      </c>
    </row>
    <row r="324" spans="1:16" x14ac:dyDescent="0.25">
      <c r="A324" s="30">
        <v>45401</v>
      </c>
      <c r="B324" s="31" t="s">
        <v>339</v>
      </c>
      <c r="C324" s="31" t="s">
        <v>340</v>
      </c>
      <c r="D324" s="31" t="s">
        <v>16</v>
      </c>
      <c r="E324" s="31" t="s">
        <v>673</v>
      </c>
      <c r="F324" s="32">
        <v>11748</v>
      </c>
      <c r="G324" s="31" t="s">
        <v>17</v>
      </c>
      <c r="H324" s="31" t="s">
        <v>430</v>
      </c>
      <c r="I324" s="31">
        <v>10</v>
      </c>
      <c r="J324" s="31">
        <v>44151</v>
      </c>
      <c r="K324" s="31" t="str">
        <f>CONCATENATE(E324,I324,J324)</f>
        <v>305529105121044151</v>
      </c>
      <c r="L324" s="33">
        <v>3</v>
      </c>
      <c r="M324" s="34">
        <v>0</v>
      </c>
      <c r="N324" s="34">
        <v>0</v>
      </c>
      <c r="O324" s="34">
        <v>837000</v>
      </c>
      <c r="P324" s="34">
        <v>0</v>
      </c>
    </row>
    <row r="325" spans="1:16" x14ac:dyDescent="0.25">
      <c r="A325" s="2">
        <v>45401</v>
      </c>
      <c r="B325" s="1" t="s">
        <v>339</v>
      </c>
      <c r="C325" s="1" t="s">
        <v>340</v>
      </c>
      <c r="D325" s="1" t="s">
        <v>16</v>
      </c>
      <c r="E325" s="1" t="s">
        <v>673</v>
      </c>
      <c r="F325" s="3">
        <v>11748</v>
      </c>
      <c r="G325" s="1" t="s">
        <v>17</v>
      </c>
      <c r="H325" s="29" t="s">
        <v>430</v>
      </c>
      <c r="I325" s="1">
        <v>10</v>
      </c>
      <c r="J325" s="1">
        <v>44151</v>
      </c>
      <c r="K325" s="1" t="str">
        <f>CONCATENATE(E325,I325,J325)</f>
        <v>305529105121044151</v>
      </c>
      <c r="L325" s="4">
        <v>21</v>
      </c>
      <c r="M325" s="5">
        <v>0</v>
      </c>
      <c r="N325" s="5">
        <v>27900000</v>
      </c>
      <c r="O325" s="5">
        <v>5859000</v>
      </c>
      <c r="P325" s="5">
        <v>35154000</v>
      </c>
    </row>
    <row r="326" spans="1:16" s="42" customFormat="1" x14ac:dyDescent="0.25">
      <c r="A326" s="37">
        <v>45401</v>
      </c>
      <c r="B326" s="38" t="s">
        <v>283</v>
      </c>
      <c r="C326" s="38" t="s">
        <v>284</v>
      </c>
      <c r="D326" s="38" t="s">
        <v>16</v>
      </c>
      <c r="E326" s="38" t="s">
        <v>661</v>
      </c>
      <c r="F326" s="39">
        <v>11440</v>
      </c>
      <c r="G326" s="38" t="s">
        <v>17</v>
      </c>
      <c r="H326" s="38" t="s">
        <v>431</v>
      </c>
      <c r="I326" s="38">
        <v>10</v>
      </c>
      <c r="J326" s="38">
        <v>76083</v>
      </c>
      <c r="K326" s="38" t="str">
        <f>CONCATENATE(E326,I326,J326)</f>
        <v>307091141031076083</v>
      </c>
      <c r="L326" s="40">
        <v>21</v>
      </c>
      <c r="M326" s="41">
        <v>2981.64</v>
      </c>
      <c r="N326" s="41">
        <v>51354.03</v>
      </c>
      <c r="O326" s="41">
        <v>10784.35</v>
      </c>
      <c r="P326" s="41">
        <v>65120.02</v>
      </c>
    </row>
    <row r="327" spans="1:16" x14ac:dyDescent="0.25">
      <c r="A327" s="2">
        <v>45401</v>
      </c>
      <c r="B327" s="1" t="s">
        <v>432</v>
      </c>
      <c r="C327" s="1" t="s">
        <v>433</v>
      </c>
      <c r="D327" s="1" t="s">
        <v>16</v>
      </c>
      <c r="E327" s="1" t="s">
        <v>689</v>
      </c>
      <c r="F327" s="3">
        <v>11509</v>
      </c>
      <c r="G327" s="1" t="s">
        <v>17</v>
      </c>
      <c r="H327" s="29" t="s">
        <v>434</v>
      </c>
      <c r="I327" s="1">
        <v>12</v>
      </c>
      <c r="J327" s="1">
        <v>51349</v>
      </c>
      <c r="K327" s="1" t="str">
        <f>CONCATENATE(E327,I327,J327)</f>
        <v>307089380211251349</v>
      </c>
      <c r="L327" s="4">
        <v>21</v>
      </c>
      <c r="M327" s="5">
        <v>0</v>
      </c>
      <c r="N327" s="5">
        <v>4753000</v>
      </c>
      <c r="O327" s="5">
        <v>998130</v>
      </c>
      <c r="P327" s="5">
        <v>5846190</v>
      </c>
    </row>
    <row r="328" spans="1:16" s="42" customFormat="1" x14ac:dyDescent="0.25">
      <c r="A328" s="37">
        <v>45401</v>
      </c>
      <c r="B328" s="38" t="s">
        <v>435</v>
      </c>
      <c r="C328" s="38" t="s">
        <v>436</v>
      </c>
      <c r="D328" s="38" t="s">
        <v>16</v>
      </c>
      <c r="E328" s="38" t="s">
        <v>690</v>
      </c>
      <c r="F328" s="39">
        <v>11439</v>
      </c>
      <c r="G328" s="38" t="s">
        <v>17</v>
      </c>
      <c r="H328" s="38" t="s">
        <v>437</v>
      </c>
      <c r="I328" s="38">
        <v>14</v>
      </c>
      <c r="J328" s="38">
        <v>1299</v>
      </c>
      <c r="K328" s="38" t="str">
        <f>CONCATENATE(E328,I328,J328)</f>
        <v>20148190489141299</v>
      </c>
      <c r="L328" s="40">
        <v>21</v>
      </c>
      <c r="M328" s="41">
        <v>10493.18</v>
      </c>
      <c r="N328" s="41">
        <v>126741.18</v>
      </c>
      <c r="O328" s="41">
        <v>26615.65</v>
      </c>
      <c r="P328" s="41">
        <v>163850.01</v>
      </c>
    </row>
    <row r="329" spans="1:16" x14ac:dyDescent="0.25">
      <c r="A329" s="30">
        <v>45401</v>
      </c>
      <c r="B329" s="31" t="s">
        <v>438</v>
      </c>
      <c r="C329" s="31" t="s">
        <v>439</v>
      </c>
      <c r="D329" s="31" t="s">
        <v>16</v>
      </c>
      <c r="E329" s="31" t="s">
        <v>691</v>
      </c>
      <c r="F329" s="32">
        <v>11524</v>
      </c>
      <c r="G329" s="31" t="s">
        <v>17</v>
      </c>
      <c r="H329" s="31" t="s">
        <v>440</v>
      </c>
      <c r="I329" s="31">
        <v>90</v>
      </c>
      <c r="J329" s="31">
        <v>435701</v>
      </c>
      <c r="K329" s="31" t="str">
        <f>CONCATENATE(E329,I329,J329)</f>
        <v>3070705980690435701</v>
      </c>
      <c r="L329" s="33">
        <v>3</v>
      </c>
      <c r="M329" s="34">
        <v>0</v>
      </c>
      <c r="N329" s="34">
        <v>0</v>
      </c>
      <c r="O329" s="34">
        <v>11622.63</v>
      </c>
      <c r="P329" s="34">
        <v>0</v>
      </c>
    </row>
    <row r="330" spans="1:16" x14ac:dyDescent="0.25">
      <c r="A330" s="2">
        <v>45401</v>
      </c>
      <c r="B330" s="1" t="s">
        <v>438</v>
      </c>
      <c r="C330" s="1" t="s">
        <v>439</v>
      </c>
      <c r="D330" s="1" t="s">
        <v>16</v>
      </c>
      <c r="E330" s="1" t="s">
        <v>691</v>
      </c>
      <c r="F330" s="3">
        <v>11524</v>
      </c>
      <c r="G330" s="1" t="s">
        <v>17</v>
      </c>
      <c r="H330" s="29" t="s">
        <v>440</v>
      </c>
      <c r="I330" s="1">
        <v>90</v>
      </c>
      <c r="J330" s="1">
        <v>435701</v>
      </c>
      <c r="K330" s="1" t="str">
        <f>CONCATENATE(E330,I330,J330)</f>
        <v>3070705980690435701</v>
      </c>
      <c r="L330" s="4">
        <v>21</v>
      </c>
      <c r="M330" s="5">
        <v>0</v>
      </c>
      <c r="N330" s="5">
        <v>387420.9</v>
      </c>
      <c r="O330" s="5">
        <v>81358.39</v>
      </c>
      <c r="P330" s="5">
        <v>499772.97</v>
      </c>
    </row>
    <row r="331" spans="1:16" x14ac:dyDescent="0.25">
      <c r="A331" s="30">
        <v>45401</v>
      </c>
      <c r="B331" s="31" t="s">
        <v>438</v>
      </c>
      <c r="C331" s="31" t="s">
        <v>439</v>
      </c>
      <c r="D331" s="31" t="s">
        <v>16</v>
      </c>
      <c r="E331" s="31" t="s">
        <v>691</v>
      </c>
      <c r="F331" s="32">
        <v>11525</v>
      </c>
      <c r="G331" s="31" t="s">
        <v>17</v>
      </c>
      <c r="H331" s="31" t="s">
        <v>441</v>
      </c>
      <c r="I331" s="31">
        <v>91</v>
      </c>
      <c r="J331" s="31">
        <v>241874</v>
      </c>
      <c r="K331" s="31" t="str">
        <f>CONCATENATE(E331,I331,J331)</f>
        <v>3070705980691241874</v>
      </c>
      <c r="L331" s="33">
        <v>3</v>
      </c>
      <c r="M331" s="34">
        <v>0</v>
      </c>
      <c r="N331" s="34">
        <v>0</v>
      </c>
      <c r="O331" s="34">
        <v>63000</v>
      </c>
      <c r="P331" s="34">
        <v>0</v>
      </c>
    </row>
    <row r="332" spans="1:16" x14ac:dyDescent="0.25">
      <c r="A332" s="2">
        <v>45401</v>
      </c>
      <c r="B332" s="1" t="s">
        <v>438</v>
      </c>
      <c r="C332" s="1" t="s">
        <v>439</v>
      </c>
      <c r="D332" s="1" t="s">
        <v>16</v>
      </c>
      <c r="E332" s="1" t="s">
        <v>691</v>
      </c>
      <c r="F332" s="3">
        <v>11525</v>
      </c>
      <c r="G332" s="1" t="s">
        <v>17</v>
      </c>
      <c r="H332" s="29" t="s">
        <v>441</v>
      </c>
      <c r="I332" s="1">
        <v>91</v>
      </c>
      <c r="J332" s="1">
        <v>241874</v>
      </c>
      <c r="K332" s="1" t="str">
        <f>CONCATENATE(E332,I332,J332)</f>
        <v>3070705980691241874</v>
      </c>
      <c r="L332" s="4">
        <v>21</v>
      </c>
      <c r="M332" s="5">
        <v>0</v>
      </c>
      <c r="N332" s="5">
        <v>2100000</v>
      </c>
      <c r="O332" s="5">
        <v>441000</v>
      </c>
      <c r="P332" s="5">
        <v>2709000</v>
      </c>
    </row>
    <row r="333" spans="1:16" x14ac:dyDescent="0.25">
      <c r="A333" s="30">
        <v>45401</v>
      </c>
      <c r="B333" s="31" t="s">
        <v>147</v>
      </c>
      <c r="C333" s="31" t="s">
        <v>148</v>
      </c>
      <c r="D333" s="31" t="s">
        <v>16</v>
      </c>
      <c r="E333" s="31" t="s">
        <v>626</v>
      </c>
      <c r="F333" s="32">
        <v>11508</v>
      </c>
      <c r="G333" s="31" t="s">
        <v>17</v>
      </c>
      <c r="H333" s="31" t="s">
        <v>442</v>
      </c>
      <c r="I333" s="31">
        <v>218</v>
      </c>
      <c r="J333" s="31">
        <v>160690</v>
      </c>
      <c r="K333" s="31" t="str">
        <f>CONCATENATE(E333,I333,J333)</f>
        <v>30501290323218160690</v>
      </c>
      <c r="L333" s="33">
        <v>3</v>
      </c>
      <c r="M333" s="34">
        <v>0</v>
      </c>
      <c r="N333" s="34">
        <v>0</v>
      </c>
      <c r="O333" s="34">
        <v>43955.23</v>
      </c>
      <c r="P333" s="34">
        <v>0</v>
      </c>
    </row>
    <row r="334" spans="1:16" x14ac:dyDescent="0.25">
      <c r="A334" s="2">
        <v>45401</v>
      </c>
      <c r="B334" s="1" t="s">
        <v>147</v>
      </c>
      <c r="C334" s="1" t="s">
        <v>148</v>
      </c>
      <c r="D334" s="1" t="s">
        <v>16</v>
      </c>
      <c r="E334" s="1" t="s">
        <v>626</v>
      </c>
      <c r="F334" s="3">
        <v>11508</v>
      </c>
      <c r="G334" s="1" t="s">
        <v>17</v>
      </c>
      <c r="H334" s="29" t="s">
        <v>442</v>
      </c>
      <c r="I334" s="1">
        <v>218</v>
      </c>
      <c r="J334" s="1">
        <v>160690</v>
      </c>
      <c r="K334" s="1" t="str">
        <f>CONCATENATE(E334,I334,J334)</f>
        <v>30501290323218160690</v>
      </c>
      <c r="L334" s="4">
        <v>21</v>
      </c>
      <c r="M334" s="5">
        <v>0</v>
      </c>
      <c r="N334" s="5">
        <v>1465174.41</v>
      </c>
      <c r="O334" s="5">
        <v>307686.63</v>
      </c>
      <c r="P334" s="5">
        <v>1890074.99</v>
      </c>
    </row>
    <row r="335" spans="1:16" x14ac:dyDescent="0.25">
      <c r="A335" s="30">
        <v>45401</v>
      </c>
      <c r="B335" s="31" t="s">
        <v>147</v>
      </c>
      <c r="C335" s="31" t="s">
        <v>148</v>
      </c>
      <c r="D335" s="31" t="s">
        <v>16</v>
      </c>
      <c r="E335" s="31" t="s">
        <v>626</v>
      </c>
      <c r="F335" s="32">
        <v>11523</v>
      </c>
      <c r="G335" s="31" t="s">
        <v>17</v>
      </c>
      <c r="H335" s="31" t="s">
        <v>443</v>
      </c>
      <c r="I335" s="31">
        <v>218</v>
      </c>
      <c r="J335" s="31">
        <v>160691</v>
      </c>
      <c r="K335" s="31" t="str">
        <f>CONCATENATE(E335,I335,J335)</f>
        <v>30501290323218160691</v>
      </c>
      <c r="L335" s="33">
        <v>3</v>
      </c>
      <c r="M335" s="34">
        <v>0</v>
      </c>
      <c r="N335" s="34">
        <v>0</v>
      </c>
      <c r="O335" s="34">
        <v>16682.64</v>
      </c>
      <c r="P335" s="34">
        <v>0</v>
      </c>
    </row>
    <row r="336" spans="1:16" x14ac:dyDescent="0.25">
      <c r="A336" s="2">
        <v>45401</v>
      </c>
      <c r="B336" s="1" t="s">
        <v>147</v>
      </c>
      <c r="C336" s="1" t="s">
        <v>148</v>
      </c>
      <c r="D336" s="1" t="s">
        <v>16</v>
      </c>
      <c r="E336" s="1" t="s">
        <v>626</v>
      </c>
      <c r="F336" s="3">
        <v>11523</v>
      </c>
      <c r="G336" s="1" t="s">
        <v>17</v>
      </c>
      <c r="H336" s="29" t="s">
        <v>443</v>
      </c>
      <c r="I336" s="1">
        <v>218</v>
      </c>
      <c r="J336" s="1">
        <v>160691</v>
      </c>
      <c r="K336" s="1" t="str">
        <f>CONCATENATE(E336,I336,J336)</f>
        <v>30501290323218160691</v>
      </c>
      <c r="L336" s="4">
        <v>21</v>
      </c>
      <c r="M336" s="5">
        <v>0</v>
      </c>
      <c r="N336" s="5">
        <v>556088.14</v>
      </c>
      <c r="O336" s="5">
        <v>116778.51</v>
      </c>
      <c r="P336" s="5">
        <v>717353.69</v>
      </c>
    </row>
    <row r="337" spans="1:16" x14ac:dyDescent="0.25">
      <c r="A337" s="30">
        <v>45401</v>
      </c>
      <c r="B337" s="31" t="s">
        <v>179</v>
      </c>
      <c r="C337" s="31" t="s">
        <v>180</v>
      </c>
      <c r="D337" s="31" t="s">
        <v>16</v>
      </c>
      <c r="E337" s="31" t="s">
        <v>635</v>
      </c>
      <c r="F337" s="32">
        <v>11539</v>
      </c>
      <c r="G337" s="31" t="s">
        <v>17</v>
      </c>
      <c r="H337" s="31" t="s">
        <v>444</v>
      </c>
      <c r="I337" s="31">
        <v>2002</v>
      </c>
      <c r="J337" s="31">
        <v>283852</v>
      </c>
      <c r="K337" s="31" t="str">
        <f>CONCATENATE(E337,I337,J337)</f>
        <v>305007682622002283852</v>
      </c>
      <c r="L337" s="33">
        <v>3</v>
      </c>
      <c r="M337" s="34">
        <v>0</v>
      </c>
      <c r="N337" s="34">
        <v>0</v>
      </c>
      <c r="O337" s="34">
        <v>111454.25</v>
      </c>
      <c r="P337" s="34">
        <v>0</v>
      </c>
    </row>
    <row r="338" spans="1:16" x14ac:dyDescent="0.25">
      <c r="A338" s="2">
        <v>45401</v>
      </c>
      <c r="B338" s="1" t="s">
        <v>179</v>
      </c>
      <c r="C338" s="1" t="s">
        <v>180</v>
      </c>
      <c r="D338" s="1" t="s">
        <v>16</v>
      </c>
      <c r="E338" s="1" t="s">
        <v>635</v>
      </c>
      <c r="F338" s="3">
        <v>11539</v>
      </c>
      <c r="G338" s="1" t="s">
        <v>17</v>
      </c>
      <c r="H338" s="29" t="s">
        <v>444</v>
      </c>
      <c r="I338" s="1">
        <v>2002</v>
      </c>
      <c r="J338" s="1">
        <v>283852</v>
      </c>
      <c r="K338" s="1" t="str">
        <f>CONCATENATE(E338,I338,J338)</f>
        <v>305007682622002283852</v>
      </c>
      <c r="L338" s="4">
        <v>21</v>
      </c>
      <c r="M338" s="5">
        <v>0</v>
      </c>
      <c r="N338" s="5">
        <v>3715141.58</v>
      </c>
      <c r="O338" s="5">
        <v>780179.74</v>
      </c>
      <c r="P338" s="5">
        <v>4792532.6500000004</v>
      </c>
    </row>
    <row r="339" spans="1:16" x14ac:dyDescent="0.25">
      <c r="A339" s="30">
        <v>45401</v>
      </c>
      <c r="B339" s="31" t="s">
        <v>158</v>
      </c>
      <c r="C339" s="31" t="s">
        <v>159</v>
      </c>
      <c r="D339" s="31" t="s">
        <v>16</v>
      </c>
      <c r="E339" s="31" t="s">
        <v>629</v>
      </c>
      <c r="F339" s="32">
        <v>11582</v>
      </c>
      <c r="G339" s="31" t="s">
        <v>21</v>
      </c>
      <c r="H339" s="31" t="s">
        <v>447</v>
      </c>
      <c r="I339" s="31">
        <v>6004</v>
      </c>
      <c r="J339" s="31">
        <v>1740376</v>
      </c>
      <c r="K339" s="31" t="str">
        <f>CONCATENATE(E339,I339,J339)</f>
        <v>3050111624260041740376</v>
      </c>
      <c r="L339" s="33">
        <v>3</v>
      </c>
      <c r="M339" s="34">
        <v>0</v>
      </c>
      <c r="N339" s="34">
        <v>0</v>
      </c>
      <c r="O339" s="34">
        <v>-1058.6300000000001</v>
      </c>
      <c r="P339" s="34">
        <v>0</v>
      </c>
    </row>
    <row r="340" spans="1:16" x14ac:dyDescent="0.25">
      <c r="A340" s="2">
        <v>45401</v>
      </c>
      <c r="B340" s="1" t="s">
        <v>158</v>
      </c>
      <c r="C340" s="1" t="s">
        <v>159</v>
      </c>
      <c r="D340" s="1" t="s">
        <v>16</v>
      </c>
      <c r="E340" s="1" t="s">
        <v>629</v>
      </c>
      <c r="F340" s="3">
        <v>11582</v>
      </c>
      <c r="G340" s="1" t="s">
        <v>21</v>
      </c>
      <c r="H340" s="29" t="s">
        <v>447</v>
      </c>
      <c r="I340" s="1">
        <v>6004</v>
      </c>
      <c r="J340" s="1">
        <v>1740376</v>
      </c>
      <c r="K340" s="1" t="str">
        <f>CONCATENATE(E340,I340,J340)</f>
        <v>3050111624260041740376</v>
      </c>
      <c r="L340" s="4">
        <v>21</v>
      </c>
      <c r="M340" s="5">
        <v>0</v>
      </c>
      <c r="N340" s="5">
        <v>-35287.56</v>
      </c>
      <c r="O340" s="5">
        <v>-7410.39</v>
      </c>
      <c r="P340" s="5">
        <v>-43756.58</v>
      </c>
    </row>
    <row r="341" spans="1:16" x14ac:dyDescent="0.25">
      <c r="A341" s="30">
        <v>45401</v>
      </c>
      <c r="B341" s="31" t="s">
        <v>19</v>
      </c>
      <c r="C341" s="31" t="s">
        <v>20</v>
      </c>
      <c r="D341" s="31" t="s">
        <v>16</v>
      </c>
      <c r="E341" s="31" t="s">
        <v>589</v>
      </c>
      <c r="F341" s="32">
        <v>11550</v>
      </c>
      <c r="G341" s="31" t="s">
        <v>17</v>
      </c>
      <c r="H341" s="31" t="s">
        <v>445</v>
      </c>
      <c r="I341" s="31">
        <v>6156</v>
      </c>
      <c r="J341" s="31">
        <v>6716861</v>
      </c>
      <c r="K341" s="31" t="str">
        <f>CONCATENATE(E341,I341,J341)</f>
        <v>3054724233161566716861</v>
      </c>
      <c r="L341" s="33">
        <v>3</v>
      </c>
      <c r="M341" s="34">
        <v>0</v>
      </c>
      <c r="N341" s="34">
        <v>0</v>
      </c>
      <c r="O341" s="34">
        <v>91549.759999999995</v>
      </c>
      <c r="P341" s="34">
        <v>0</v>
      </c>
    </row>
    <row r="342" spans="1:16" x14ac:dyDescent="0.25">
      <c r="A342" s="2">
        <v>45401</v>
      </c>
      <c r="B342" s="1" t="s">
        <v>19</v>
      </c>
      <c r="C342" s="1" t="s">
        <v>20</v>
      </c>
      <c r="D342" s="1" t="s">
        <v>16</v>
      </c>
      <c r="E342" s="1" t="s">
        <v>589</v>
      </c>
      <c r="F342" s="3">
        <v>11550</v>
      </c>
      <c r="G342" s="1" t="s">
        <v>17</v>
      </c>
      <c r="H342" s="29" t="s">
        <v>445</v>
      </c>
      <c r="I342" s="1">
        <v>6156</v>
      </c>
      <c r="J342" s="1">
        <v>6716861</v>
      </c>
      <c r="K342" s="1" t="str">
        <f>CONCATENATE(E342,I342,J342)</f>
        <v>3054724233161566716861</v>
      </c>
      <c r="L342" s="4">
        <v>21</v>
      </c>
      <c r="M342" s="5">
        <v>0</v>
      </c>
      <c r="N342" s="5">
        <v>3051658.8</v>
      </c>
      <c r="O342" s="5">
        <v>640848.35</v>
      </c>
      <c r="P342" s="5">
        <v>3845090.09</v>
      </c>
    </row>
    <row r="343" spans="1:16" x14ac:dyDescent="0.25">
      <c r="A343" s="2">
        <v>45401</v>
      </c>
      <c r="B343" s="1" t="s">
        <v>237</v>
      </c>
      <c r="C343" s="1" t="s">
        <v>238</v>
      </c>
      <c r="D343" s="1" t="s">
        <v>112</v>
      </c>
      <c r="E343" s="1" t="s">
        <v>649</v>
      </c>
      <c r="F343" s="3">
        <v>11432</v>
      </c>
      <c r="G343" s="1" t="s">
        <v>17</v>
      </c>
      <c r="H343" s="1" t="s">
        <v>446</v>
      </c>
      <c r="I343" s="1">
        <v>3</v>
      </c>
      <c r="J343" s="1">
        <v>5319</v>
      </c>
      <c r="K343" s="1" t="str">
        <f>CONCATENATE(E343,I343,J343)</f>
        <v>2018056301735319</v>
      </c>
      <c r="L343" s="4">
        <v>0</v>
      </c>
      <c r="M343" s="5">
        <v>80000</v>
      </c>
      <c r="N343" s="5">
        <v>0</v>
      </c>
      <c r="O343" s="5">
        <v>0</v>
      </c>
      <c r="P343" s="5">
        <v>80000</v>
      </c>
    </row>
    <row r="344" spans="1:16" x14ac:dyDescent="0.25">
      <c r="A344" s="2">
        <v>45401</v>
      </c>
      <c r="B344" s="1" t="s">
        <v>258</v>
      </c>
      <c r="C344" s="1" t="s">
        <v>259</v>
      </c>
      <c r="D344" s="1" t="s">
        <v>112</v>
      </c>
      <c r="E344" s="1" t="s">
        <v>655</v>
      </c>
      <c r="F344" s="3">
        <v>11684</v>
      </c>
      <c r="G344" s="1" t="s">
        <v>17</v>
      </c>
      <c r="H344" s="1" t="s">
        <v>1079</v>
      </c>
      <c r="I344" s="1">
        <v>7</v>
      </c>
      <c r="J344" s="1">
        <v>71</v>
      </c>
      <c r="K344" s="1" t="str">
        <f>CONCATENATE(E344,I344,J344)</f>
        <v>27316244918771</v>
      </c>
      <c r="L344" s="4">
        <v>0</v>
      </c>
      <c r="M344" s="5">
        <v>100000</v>
      </c>
      <c r="N344" s="5">
        <v>0</v>
      </c>
      <c r="O344" s="5">
        <v>0</v>
      </c>
      <c r="P344" s="5">
        <v>100000</v>
      </c>
    </row>
    <row r="345" spans="1:16" x14ac:dyDescent="0.25">
      <c r="A345" s="30">
        <v>45402</v>
      </c>
      <c r="B345" s="31" t="s">
        <v>182</v>
      </c>
      <c r="C345" s="31" t="s">
        <v>183</v>
      </c>
      <c r="D345" s="31" t="s">
        <v>16</v>
      </c>
      <c r="E345" s="31" t="s">
        <v>636</v>
      </c>
      <c r="F345" s="32">
        <v>11510</v>
      </c>
      <c r="G345" s="31" t="s">
        <v>17</v>
      </c>
      <c r="H345" s="31" t="s">
        <v>448</v>
      </c>
      <c r="I345" s="31">
        <v>43</v>
      </c>
      <c r="J345" s="31">
        <v>292278</v>
      </c>
      <c r="K345" s="31" t="str">
        <f>CONCATENATE(E345,I345,J345)</f>
        <v>3050097982443292278</v>
      </c>
      <c r="L345" s="33">
        <v>3</v>
      </c>
      <c r="M345" s="34">
        <v>0</v>
      </c>
      <c r="N345" s="34">
        <v>0</v>
      </c>
      <c r="O345" s="34">
        <v>32963.56</v>
      </c>
      <c r="P345" s="34">
        <v>0</v>
      </c>
    </row>
    <row r="346" spans="1:16" x14ac:dyDescent="0.25">
      <c r="A346" s="2">
        <v>45402</v>
      </c>
      <c r="B346" s="1" t="s">
        <v>182</v>
      </c>
      <c r="C346" s="1" t="s">
        <v>183</v>
      </c>
      <c r="D346" s="1" t="s">
        <v>16</v>
      </c>
      <c r="E346" s="1" t="s">
        <v>636</v>
      </c>
      <c r="F346" s="3">
        <v>11510</v>
      </c>
      <c r="G346" s="1" t="s">
        <v>17</v>
      </c>
      <c r="H346" s="29" t="s">
        <v>448</v>
      </c>
      <c r="I346" s="1">
        <v>43</v>
      </c>
      <c r="J346" s="1">
        <v>292278</v>
      </c>
      <c r="K346" s="1" t="str">
        <f>CONCATENATE(E346,I346,J346)</f>
        <v>3050097982443292278</v>
      </c>
      <c r="L346" s="4">
        <v>21</v>
      </c>
      <c r="M346" s="5">
        <v>0</v>
      </c>
      <c r="N346" s="5">
        <v>1098785.25</v>
      </c>
      <c r="O346" s="5">
        <v>230744.9</v>
      </c>
      <c r="P346" s="5">
        <v>1417432.98</v>
      </c>
    </row>
    <row r="347" spans="1:16" x14ac:dyDescent="0.25">
      <c r="A347" s="30">
        <v>45402</v>
      </c>
      <c r="B347" s="31" t="s">
        <v>185</v>
      </c>
      <c r="C347" s="31" t="s">
        <v>186</v>
      </c>
      <c r="D347" s="31" t="s">
        <v>16</v>
      </c>
      <c r="E347" s="31" t="s">
        <v>637</v>
      </c>
      <c r="F347" s="32">
        <v>11536</v>
      </c>
      <c r="G347" s="31" t="s">
        <v>17</v>
      </c>
      <c r="H347" s="31" t="s">
        <v>449</v>
      </c>
      <c r="I347" s="31">
        <v>622</v>
      </c>
      <c r="J347" s="31">
        <v>270891</v>
      </c>
      <c r="K347" s="31" t="str">
        <f>CONCATENATE(E347,I347,J347)</f>
        <v>30682032630622270891</v>
      </c>
      <c r="L347" s="33">
        <v>3</v>
      </c>
      <c r="M347" s="34">
        <v>0</v>
      </c>
      <c r="N347" s="34">
        <v>0</v>
      </c>
      <c r="O347" s="34">
        <v>10066.290000000001</v>
      </c>
      <c r="P347" s="34">
        <v>0</v>
      </c>
    </row>
    <row r="348" spans="1:16" x14ac:dyDescent="0.25">
      <c r="A348" s="2">
        <v>45402</v>
      </c>
      <c r="B348" s="1" t="s">
        <v>185</v>
      </c>
      <c r="C348" s="1" t="s">
        <v>186</v>
      </c>
      <c r="D348" s="1" t="s">
        <v>16</v>
      </c>
      <c r="E348" s="1" t="s">
        <v>637</v>
      </c>
      <c r="F348" s="3">
        <v>11536</v>
      </c>
      <c r="G348" s="1" t="s">
        <v>17</v>
      </c>
      <c r="H348" s="29" t="s">
        <v>449</v>
      </c>
      <c r="I348" s="1">
        <v>622</v>
      </c>
      <c r="J348" s="1">
        <v>270891</v>
      </c>
      <c r="K348" s="1" t="str">
        <f>CONCATENATE(E348,I348,J348)</f>
        <v>30682032630622270891</v>
      </c>
      <c r="L348" s="4">
        <v>21</v>
      </c>
      <c r="M348" s="5">
        <v>0</v>
      </c>
      <c r="N348" s="5">
        <v>335542.95</v>
      </c>
      <c r="O348" s="5">
        <v>70464.02</v>
      </c>
      <c r="P348" s="5">
        <v>432850.41</v>
      </c>
    </row>
    <row r="349" spans="1:16" x14ac:dyDescent="0.25">
      <c r="A349" s="2">
        <v>45404</v>
      </c>
      <c r="B349" s="1" t="s">
        <v>126</v>
      </c>
      <c r="C349" s="1" t="s">
        <v>127</v>
      </c>
      <c r="D349" s="1" t="s">
        <v>16</v>
      </c>
      <c r="E349" s="1" t="s">
        <v>619</v>
      </c>
      <c r="F349" s="3">
        <v>11522</v>
      </c>
      <c r="G349" s="1" t="s">
        <v>17</v>
      </c>
      <c r="H349" s="29" t="s">
        <v>450</v>
      </c>
      <c r="I349" s="1">
        <v>1</v>
      </c>
      <c r="J349" s="1">
        <v>2334</v>
      </c>
      <c r="K349" s="1" t="str">
        <f>CONCATENATE(E349,I349,J349)</f>
        <v>3071616110912334</v>
      </c>
      <c r="L349" s="4">
        <v>21</v>
      </c>
      <c r="M349" s="5">
        <v>0</v>
      </c>
      <c r="N349" s="5">
        <v>1023705</v>
      </c>
      <c r="O349" s="5">
        <v>214978.05</v>
      </c>
      <c r="P349" s="5">
        <v>1238683.05</v>
      </c>
    </row>
    <row r="350" spans="1:16" x14ac:dyDescent="0.25">
      <c r="A350" s="2">
        <v>45404</v>
      </c>
      <c r="B350" s="1" t="s">
        <v>165</v>
      </c>
      <c r="C350" s="1" t="s">
        <v>166</v>
      </c>
      <c r="D350" s="1" t="s">
        <v>16</v>
      </c>
      <c r="E350" s="1" t="s">
        <v>631</v>
      </c>
      <c r="F350" s="3">
        <v>11683</v>
      </c>
      <c r="G350" s="1" t="s">
        <v>17</v>
      </c>
      <c r="H350" s="29" t="s">
        <v>451</v>
      </c>
      <c r="I350" s="1">
        <v>2</v>
      </c>
      <c r="J350" s="1">
        <v>959</v>
      </c>
      <c r="K350" s="1" t="str">
        <f>CONCATENATE(E350,I350,J350)</f>
        <v>232559462692959</v>
      </c>
      <c r="L350" s="4">
        <v>21</v>
      </c>
      <c r="M350" s="5">
        <v>0</v>
      </c>
      <c r="N350" s="5">
        <v>230000</v>
      </c>
      <c r="O350" s="5">
        <v>48300</v>
      </c>
      <c r="P350" s="5">
        <v>278300</v>
      </c>
    </row>
    <row r="351" spans="1:16" x14ac:dyDescent="0.25">
      <c r="A351" s="2">
        <v>45404</v>
      </c>
      <c r="B351" s="1" t="s">
        <v>202</v>
      </c>
      <c r="C351" s="1" t="s">
        <v>203</v>
      </c>
      <c r="D351" s="1" t="s">
        <v>16</v>
      </c>
      <c r="E351" s="1" t="s">
        <v>642</v>
      </c>
      <c r="F351" s="3">
        <v>11626</v>
      </c>
      <c r="G351" s="1" t="s">
        <v>17</v>
      </c>
      <c r="H351" s="29" t="s">
        <v>452</v>
      </c>
      <c r="I351" s="1">
        <v>3</v>
      </c>
      <c r="J351" s="1">
        <v>47728</v>
      </c>
      <c r="K351" s="1" t="str">
        <f>CONCATENATE(E351,I351,J351)</f>
        <v>30711497974347728</v>
      </c>
      <c r="L351" s="4">
        <v>21</v>
      </c>
      <c r="M351" s="5">
        <v>0</v>
      </c>
      <c r="N351" s="5">
        <v>69197.5</v>
      </c>
      <c r="O351" s="5">
        <v>14531.48</v>
      </c>
      <c r="P351" s="5">
        <v>83728.98</v>
      </c>
    </row>
    <row r="352" spans="1:16" x14ac:dyDescent="0.25">
      <c r="A352" s="2">
        <v>45404</v>
      </c>
      <c r="B352" s="1" t="s">
        <v>453</v>
      </c>
      <c r="C352" s="1" t="s">
        <v>454</v>
      </c>
      <c r="D352" s="1" t="s">
        <v>16</v>
      </c>
      <c r="E352" s="1" t="s">
        <v>692</v>
      </c>
      <c r="F352" s="3">
        <v>11507</v>
      </c>
      <c r="G352" s="1" t="s">
        <v>17</v>
      </c>
      <c r="H352" s="29" t="s">
        <v>455</v>
      </c>
      <c r="I352" s="1">
        <v>4</v>
      </c>
      <c r="J352" s="1">
        <v>1061</v>
      </c>
      <c r="K352" s="1" t="str">
        <f>CONCATENATE(E352,I352,J352)</f>
        <v>3061889961241061</v>
      </c>
      <c r="L352" s="4">
        <v>21</v>
      </c>
      <c r="M352" s="5">
        <v>0</v>
      </c>
      <c r="N352" s="5">
        <v>1500000</v>
      </c>
      <c r="O352" s="5">
        <v>315000</v>
      </c>
      <c r="P352" s="5">
        <v>1815000</v>
      </c>
    </row>
    <row r="353" spans="1:16" x14ac:dyDescent="0.25">
      <c r="A353" s="2">
        <v>45404</v>
      </c>
      <c r="B353" s="1" t="s">
        <v>409</v>
      </c>
      <c r="C353" s="1" t="s">
        <v>410</v>
      </c>
      <c r="D353" s="1" t="s">
        <v>16</v>
      </c>
      <c r="E353" s="1" t="s">
        <v>687</v>
      </c>
      <c r="F353" s="3">
        <v>11583</v>
      </c>
      <c r="G353" s="1" t="s">
        <v>21</v>
      </c>
      <c r="H353" s="29" t="s">
        <v>474</v>
      </c>
      <c r="I353" s="1">
        <v>5</v>
      </c>
      <c r="J353" s="1">
        <v>247</v>
      </c>
      <c r="K353" s="1" t="str">
        <f>CONCATENATE(E353,I353,J353)</f>
        <v>307095717175247</v>
      </c>
      <c r="L353" s="4">
        <v>21</v>
      </c>
      <c r="M353" s="5">
        <v>0</v>
      </c>
      <c r="N353" s="5">
        <v>-257094.69</v>
      </c>
      <c r="O353" s="5">
        <v>-53989.88</v>
      </c>
      <c r="P353" s="5">
        <v>-311084.57</v>
      </c>
    </row>
    <row r="354" spans="1:16" x14ac:dyDescent="0.25">
      <c r="A354" s="2">
        <v>45404</v>
      </c>
      <c r="B354" s="1" t="s">
        <v>456</v>
      </c>
      <c r="C354" s="1" t="s">
        <v>457</v>
      </c>
      <c r="D354" s="1" t="s">
        <v>16</v>
      </c>
      <c r="E354" s="1" t="s">
        <v>693</v>
      </c>
      <c r="F354" s="3">
        <v>11640</v>
      </c>
      <c r="G354" s="1" t="s">
        <v>17</v>
      </c>
      <c r="H354" s="29" t="s">
        <v>458</v>
      </c>
      <c r="I354" s="1">
        <v>5</v>
      </c>
      <c r="J354" s="1">
        <v>3017939</v>
      </c>
      <c r="K354" s="1" t="str">
        <f>CONCATENATE(E354,I354,J354)</f>
        <v>3070265297553017939</v>
      </c>
      <c r="L354" s="4">
        <v>21</v>
      </c>
      <c r="M354" s="5">
        <v>0</v>
      </c>
      <c r="N354" s="5">
        <v>213240</v>
      </c>
      <c r="O354" s="5">
        <v>44780.4</v>
      </c>
      <c r="P354" s="5">
        <v>264417.59999999998</v>
      </c>
    </row>
    <row r="355" spans="1:16" x14ac:dyDescent="0.25">
      <c r="A355" s="2">
        <v>45404</v>
      </c>
      <c r="B355" s="1" t="s">
        <v>459</v>
      </c>
      <c r="C355" s="1" t="s">
        <v>460</v>
      </c>
      <c r="D355" s="1" t="s">
        <v>16</v>
      </c>
      <c r="E355" s="1" t="s">
        <v>694</v>
      </c>
      <c r="F355" s="3">
        <v>11517</v>
      </c>
      <c r="G355" s="1" t="s">
        <v>17</v>
      </c>
      <c r="H355" s="29" t="s">
        <v>461</v>
      </c>
      <c r="I355" s="1">
        <v>12</v>
      </c>
      <c r="J355" s="1">
        <v>1586</v>
      </c>
      <c r="K355" s="1" t="str">
        <f>CONCATENATE(E355,I355,J355)</f>
        <v>30709151041121586</v>
      </c>
      <c r="L355" s="4">
        <v>21</v>
      </c>
      <c r="M355" s="5">
        <v>0</v>
      </c>
      <c r="N355" s="5">
        <v>116004</v>
      </c>
      <c r="O355" s="5">
        <v>24360.84</v>
      </c>
      <c r="P355" s="5">
        <v>140364.84</v>
      </c>
    </row>
    <row r="356" spans="1:16" x14ac:dyDescent="0.25">
      <c r="A356" s="30">
        <v>45404</v>
      </c>
      <c r="B356" s="31" t="s">
        <v>80</v>
      </c>
      <c r="C356" s="31" t="s">
        <v>81</v>
      </c>
      <c r="D356" s="31" t="s">
        <v>16</v>
      </c>
      <c r="E356" s="31" t="s">
        <v>607</v>
      </c>
      <c r="F356" s="32">
        <v>11708</v>
      </c>
      <c r="G356" s="31" t="s">
        <v>17</v>
      </c>
      <c r="H356" s="31" t="s">
        <v>462</v>
      </c>
      <c r="I356" s="31">
        <v>115</v>
      </c>
      <c r="J356" s="31">
        <v>141609</v>
      </c>
      <c r="K356" s="31" t="str">
        <f>CONCATENATE(E356,I356,J356)</f>
        <v>30629646708115141609</v>
      </c>
      <c r="L356" s="33">
        <v>1.5</v>
      </c>
      <c r="M356" s="34">
        <v>0</v>
      </c>
      <c r="N356" s="34">
        <v>0</v>
      </c>
      <c r="O356" s="34">
        <v>5861.28</v>
      </c>
      <c r="P356" s="34">
        <v>0</v>
      </c>
    </row>
    <row r="357" spans="1:16" x14ac:dyDescent="0.25">
      <c r="A357" s="2">
        <v>45404</v>
      </c>
      <c r="B357" s="1" t="s">
        <v>80</v>
      </c>
      <c r="C357" s="1" t="s">
        <v>81</v>
      </c>
      <c r="D357" s="1" t="s">
        <v>16</v>
      </c>
      <c r="E357" s="1" t="s">
        <v>607</v>
      </c>
      <c r="F357" s="3">
        <v>11708</v>
      </c>
      <c r="G357" s="1" t="s">
        <v>17</v>
      </c>
      <c r="H357" s="29" t="s">
        <v>462</v>
      </c>
      <c r="I357" s="1">
        <v>115</v>
      </c>
      <c r="J357" s="1">
        <v>141609</v>
      </c>
      <c r="K357" s="1" t="str">
        <f>CONCATENATE(E357,I357,J357)</f>
        <v>30629646708115141609</v>
      </c>
      <c r="L357" s="4">
        <v>10.5</v>
      </c>
      <c r="M357" s="5">
        <v>0</v>
      </c>
      <c r="N357" s="5">
        <v>390752.01</v>
      </c>
      <c r="O357" s="5">
        <v>41028.959999999999</v>
      </c>
      <c r="P357" s="5">
        <v>457179.85</v>
      </c>
    </row>
    <row r="358" spans="1:16" x14ac:dyDescent="0.25">
      <c r="A358" s="30">
        <v>45404</v>
      </c>
      <c r="B358" s="31" t="s">
        <v>80</v>
      </c>
      <c r="C358" s="31" t="s">
        <v>81</v>
      </c>
      <c r="D358" s="31" t="s">
        <v>16</v>
      </c>
      <c r="E358" s="31" t="s">
        <v>607</v>
      </c>
      <c r="F358" s="32">
        <v>11709</v>
      </c>
      <c r="G358" s="31" t="s">
        <v>17</v>
      </c>
      <c r="H358" s="31" t="s">
        <v>463</v>
      </c>
      <c r="I358" s="31">
        <v>115</v>
      </c>
      <c r="J358" s="31">
        <v>141610</v>
      </c>
      <c r="K358" s="31" t="str">
        <f>CONCATENATE(E358,I358,J358)</f>
        <v>30629646708115141610</v>
      </c>
      <c r="L358" s="33">
        <v>3</v>
      </c>
      <c r="M358" s="34">
        <v>0</v>
      </c>
      <c r="N358" s="34">
        <v>0</v>
      </c>
      <c r="O358" s="34">
        <v>36131.56</v>
      </c>
      <c r="P358" s="34">
        <v>0</v>
      </c>
    </row>
    <row r="359" spans="1:16" x14ac:dyDescent="0.25">
      <c r="A359" s="2">
        <v>45404</v>
      </c>
      <c r="B359" s="1" t="s">
        <v>80</v>
      </c>
      <c r="C359" s="1" t="s">
        <v>81</v>
      </c>
      <c r="D359" s="1" t="s">
        <v>16</v>
      </c>
      <c r="E359" s="1" t="s">
        <v>607</v>
      </c>
      <c r="F359" s="3">
        <v>11709</v>
      </c>
      <c r="G359" s="1" t="s">
        <v>17</v>
      </c>
      <c r="H359" s="29" t="s">
        <v>463</v>
      </c>
      <c r="I359" s="1">
        <v>115</v>
      </c>
      <c r="J359" s="1">
        <v>141610</v>
      </c>
      <c r="K359" s="1" t="str">
        <f>CONCATENATE(E359,I359,J359)</f>
        <v>30629646708115141610</v>
      </c>
      <c r="L359" s="4">
        <v>21</v>
      </c>
      <c r="M359" s="5">
        <v>0</v>
      </c>
      <c r="N359" s="5">
        <v>1204385.3600000001</v>
      </c>
      <c r="O359" s="5">
        <v>252920.93</v>
      </c>
      <c r="P359" s="5">
        <v>1553657.12</v>
      </c>
    </row>
    <row r="360" spans="1:16" x14ac:dyDescent="0.25">
      <c r="A360" s="2">
        <v>45404</v>
      </c>
      <c r="B360" s="1" t="s">
        <v>80</v>
      </c>
      <c r="C360" s="1" t="s">
        <v>81</v>
      </c>
      <c r="D360" s="1" t="s">
        <v>16</v>
      </c>
      <c r="E360" s="1" t="s">
        <v>607</v>
      </c>
      <c r="F360" s="3">
        <v>11620</v>
      </c>
      <c r="G360" s="1" t="s">
        <v>17</v>
      </c>
      <c r="H360" s="29" t="s">
        <v>464</v>
      </c>
      <c r="I360" s="1">
        <v>115</v>
      </c>
      <c r="J360" s="1">
        <v>141611</v>
      </c>
      <c r="K360" s="1" t="str">
        <f>CONCATENATE(E360,I360,J360)</f>
        <v>30629646708115141611</v>
      </c>
      <c r="L360" s="4">
        <v>10.5</v>
      </c>
      <c r="M360" s="5">
        <v>0</v>
      </c>
      <c r="N360" s="5">
        <v>139694.35</v>
      </c>
      <c r="O360" s="5">
        <v>14667.91</v>
      </c>
      <c r="P360" s="5">
        <v>158553.09</v>
      </c>
    </row>
    <row r="361" spans="1:16" x14ac:dyDescent="0.25">
      <c r="A361" s="2">
        <v>45404</v>
      </c>
      <c r="B361" s="1" t="s">
        <v>80</v>
      </c>
      <c r="C361" s="1" t="s">
        <v>81</v>
      </c>
      <c r="D361" s="1" t="s">
        <v>16</v>
      </c>
      <c r="E361" s="1" t="s">
        <v>607</v>
      </c>
      <c r="F361" s="3">
        <v>11621</v>
      </c>
      <c r="G361" s="1" t="s">
        <v>17</v>
      </c>
      <c r="H361" s="29" t="s">
        <v>465</v>
      </c>
      <c r="I361" s="1">
        <v>115</v>
      </c>
      <c r="J361" s="1">
        <v>141612</v>
      </c>
      <c r="K361" s="1" t="str">
        <f>CONCATENATE(E361,I361,J361)</f>
        <v>30629646708115141612</v>
      </c>
      <c r="L361" s="4">
        <v>21</v>
      </c>
      <c r="M361" s="5">
        <v>0</v>
      </c>
      <c r="N361" s="5">
        <v>57934.68</v>
      </c>
      <c r="O361" s="5">
        <v>12166.28</v>
      </c>
      <c r="P361" s="5">
        <v>71839</v>
      </c>
    </row>
    <row r="362" spans="1:16" x14ac:dyDescent="0.25">
      <c r="A362" s="30">
        <v>45404</v>
      </c>
      <c r="B362" s="31" t="s">
        <v>80</v>
      </c>
      <c r="C362" s="31" t="s">
        <v>81</v>
      </c>
      <c r="D362" s="31" t="s">
        <v>16</v>
      </c>
      <c r="E362" s="31" t="s">
        <v>607</v>
      </c>
      <c r="F362" s="32">
        <v>11622</v>
      </c>
      <c r="G362" s="31" t="s">
        <v>17</v>
      </c>
      <c r="H362" s="31" t="s">
        <v>466</v>
      </c>
      <c r="I362" s="31">
        <v>115</v>
      </c>
      <c r="J362" s="31">
        <v>141613</v>
      </c>
      <c r="K362" s="31" t="str">
        <f>CONCATENATE(E362,I362,J362)</f>
        <v>30629646708115141613</v>
      </c>
      <c r="L362" s="33">
        <v>3</v>
      </c>
      <c r="M362" s="34">
        <v>0</v>
      </c>
      <c r="N362" s="34">
        <v>0</v>
      </c>
      <c r="O362" s="34">
        <v>293270.78999999998</v>
      </c>
      <c r="P362" s="34">
        <v>0</v>
      </c>
    </row>
    <row r="363" spans="1:16" x14ac:dyDescent="0.25">
      <c r="A363" s="2">
        <v>45404</v>
      </c>
      <c r="B363" s="1" t="s">
        <v>80</v>
      </c>
      <c r="C363" s="1" t="s">
        <v>81</v>
      </c>
      <c r="D363" s="1" t="s">
        <v>16</v>
      </c>
      <c r="E363" s="1" t="s">
        <v>607</v>
      </c>
      <c r="F363" s="3">
        <v>11622</v>
      </c>
      <c r="G363" s="1" t="s">
        <v>17</v>
      </c>
      <c r="H363" s="29" t="s">
        <v>466</v>
      </c>
      <c r="I363" s="1">
        <v>115</v>
      </c>
      <c r="J363" s="1">
        <v>141613</v>
      </c>
      <c r="K363" s="1" t="str">
        <f>CONCATENATE(E363,I363,J363)</f>
        <v>30629646708115141613</v>
      </c>
      <c r="L363" s="4">
        <v>21</v>
      </c>
      <c r="M363" s="5">
        <v>0.01</v>
      </c>
      <c r="N363" s="5">
        <v>9775693.0899999999</v>
      </c>
      <c r="O363" s="5">
        <v>2052896.55</v>
      </c>
      <c r="P363" s="5">
        <v>12610645.09</v>
      </c>
    </row>
    <row r="364" spans="1:16" x14ac:dyDescent="0.25">
      <c r="A364" s="30">
        <v>45404</v>
      </c>
      <c r="B364" s="31" t="s">
        <v>80</v>
      </c>
      <c r="C364" s="31" t="s">
        <v>81</v>
      </c>
      <c r="D364" s="31" t="s">
        <v>16</v>
      </c>
      <c r="E364" s="31" t="s">
        <v>607</v>
      </c>
      <c r="F364" s="32">
        <v>11623</v>
      </c>
      <c r="G364" s="31" t="s">
        <v>17</v>
      </c>
      <c r="H364" s="31" t="s">
        <v>467</v>
      </c>
      <c r="I364" s="31">
        <v>115</v>
      </c>
      <c r="J364" s="31">
        <v>141614</v>
      </c>
      <c r="K364" s="31" t="str">
        <f>CONCATENATE(E364,I364,J364)</f>
        <v>30629646708115141614</v>
      </c>
      <c r="L364" s="33">
        <v>3</v>
      </c>
      <c r="M364" s="34">
        <v>0</v>
      </c>
      <c r="N364" s="34">
        <v>0</v>
      </c>
      <c r="O364" s="34">
        <v>10973.12</v>
      </c>
      <c r="P364" s="34">
        <v>0</v>
      </c>
    </row>
    <row r="365" spans="1:16" x14ac:dyDescent="0.25">
      <c r="A365" s="2">
        <v>45404</v>
      </c>
      <c r="B365" s="1" t="s">
        <v>80</v>
      </c>
      <c r="C365" s="1" t="s">
        <v>81</v>
      </c>
      <c r="D365" s="1" t="s">
        <v>16</v>
      </c>
      <c r="E365" s="1" t="s">
        <v>607</v>
      </c>
      <c r="F365" s="3">
        <v>11623</v>
      </c>
      <c r="G365" s="1" t="s">
        <v>17</v>
      </c>
      <c r="H365" s="29" t="s">
        <v>467</v>
      </c>
      <c r="I365" s="1">
        <v>115</v>
      </c>
      <c r="J365" s="1">
        <v>141614</v>
      </c>
      <c r="K365" s="1" t="str">
        <f>CONCATENATE(E365,I365,J365)</f>
        <v>30629646708115141614</v>
      </c>
      <c r="L365" s="4">
        <v>21</v>
      </c>
      <c r="M365" s="5">
        <v>0.01</v>
      </c>
      <c r="N365" s="5">
        <v>365770.82</v>
      </c>
      <c r="O365" s="5">
        <v>76811.87</v>
      </c>
      <c r="P365" s="5">
        <v>471844.36</v>
      </c>
    </row>
    <row r="366" spans="1:16" x14ac:dyDescent="0.25">
      <c r="A366" s="30">
        <v>45404</v>
      </c>
      <c r="B366" s="31" t="s">
        <v>80</v>
      </c>
      <c r="C366" s="31" t="s">
        <v>81</v>
      </c>
      <c r="D366" s="31" t="s">
        <v>16</v>
      </c>
      <c r="E366" s="31" t="s">
        <v>607</v>
      </c>
      <c r="F366" s="32">
        <v>11624</v>
      </c>
      <c r="G366" s="31" t="s">
        <v>17</v>
      </c>
      <c r="H366" s="31" t="s">
        <v>468</v>
      </c>
      <c r="I366" s="31">
        <v>115</v>
      </c>
      <c r="J366" s="31">
        <v>141615</v>
      </c>
      <c r="K366" s="31" t="str">
        <f>CONCATENATE(E366,I366,J366)</f>
        <v>30629646708115141615</v>
      </c>
      <c r="L366" s="33">
        <v>3</v>
      </c>
      <c r="M366" s="34">
        <v>0</v>
      </c>
      <c r="N366" s="34">
        <v>0</v>
      </c>
      <c r="O366" s="34">
        <v>9693.4500000000007</v>
      </c>
      <c r="P366" s="34">
        <v>0</v>
      </c>
    </row>
    <row r="367" spans="1:16" x14ac:dyDescent="0.25">
      <c r="A367" s="2">
        <v>45404</v>
      </c>
      <c r="B367" s="1" t="s">
        <v>80</v>
      </c>
      <c r="C367" s="1" t="s">
        <v>81</v>
      </c>
      <c r="D367" s="1" t="s">
        <v>16</v>
      </c>
      <c r="E367" s="1" t="s">
        <v>607</v>
      </c>
      <c r="F367" s="3">
        <v>11624</v>
      </c>
      <c r="G367" s="1" t="s">
        <v>17</v>
      </c>
      <c r="H367" s="29" t="s">
        <v>468</v>
      </c>
      <c r="I367" s="1">
        <v>115</v>
      </c>
      <c r="J367" s="1">
        <v>141615</v>
      </c>
      <c r="K367" s="1" t="str">
        <f>CONCATENATE(E367,I367,J367)</f>
        <v>30629646708115141615</v>
      </c>
      <c r="L367" s="4">
        <v>21</v>
      </c>
      <c r="M367" s="5">
        <v>0</v>
      </c>
      <c r="N367" s="5">
        <v>323114.94</v>
      </c>
      <c r="O367" s="5">
        <v>67854.14</v>
      </c>
      <c r="P367" s="5">
        <v>416818.28</v>
      </c>
    </row>
    <row r="368" spans="1:16" x14ac:dyDescent="0.25">
      <c r="A368" s="2">
        <v>45404</v>
      </c>
      <c r="B368" s="1" t="s">
        <v>80</v>
      </c>
      <c r="C368" s="1" t="s">
        <v>81</v>
      </c>
      <c r="D368" s="1" t="s">
        <v>16</v>
      </c>
      <c r="E368" s="1" t="s">
        <v>607</v>
      </c>
      <c r="F368" s="3">
        <v>11625</v>
      </c>
      <c r="G368" s="1" t="s">
        <v>17</v>
      </c>
      <c r="H368" s="29" t="s">
        <v>469</v>
      </c>
      <c r="I368" s="1">
        <v>115</v>
      </c>
      <c r="J368" s="1">
        <v>141616</v>
      </c>
      <c r="K368" s="1" t="str">
        <f>CONCATENATE(E368,I368,J368)</f>
        <v>30629646708115141616</v>
      </c>
      <c r="L368" s="4">
        <v>10.5</v>
      </c>
      <c r="M368" s="5">
        <v>0</v>
      </c>
      <c r="N368" s="5">
        <v>40625.06</v>
      </c>
      <c r="O368" s="5">
        <v>4265.63</v>
      </c>
      <c r="P368" s="5">
        <v>46109.440000000002</v>
      </c>
    </row>
    <row r="369" spans="1:17" x14ac:dyDescent="0.25">
      <c r="A369" s="2">
        <v>45404</v>
      </c>
      <c r="B369" s="1" t="s">
        <v>289</v>
      </c>
      <c r="C369" s="1" t="s">
        <v>290</v>
      </c>
      <c r="D369" s="1" t="s">
        <v>16</v>
      </c>
      <c r="E369" s="1" t="s">
        <v>662</v>
      </c>
      <c r="F369" s="3">
        <v>11538</v>
      </c>
      <c r="G369" s="1" t="s">
        <v>17</v>
      </c>
      <c r="H369" s="29" t="s">
        <v>470</v>
      </c>
      <c r="I369" s="1">
        <v>539</v>
      </c>
      <c r="J369" s="1">
        <v>40192</v>
      </c>
      <c r="K369" s="1" t="str">
        <f>CONCATENATE(E369,I369,J369)</f>
        <v>3066319759953940192</v>
      </c>
      <c r="L369" s="4">
        <v>21</v>
      </c>
      <c r="M369" s="5">
        <v>0</v>
      </c>
      <c r="N369" s="5">
        <v>633075.69999999995</v>
      </c>
      <c r="O369" s="5">
        <v>132945.9</v>
      </c>
      <c r="P369" s="5">
        <v>778683.12</v>
      </c>
    </row>
    <row r="370" spans="1:17" x14ac:dyDescent="0.25">
      <c r="A370" s="30">
        <v>45404</v>
      </c>
      <c r="B370" s="31" t="s">
        <v>179</v>
      </c>
      <c r="C370" s="31" t="s">
        <v>180</v>
      </c>
      <c r="D370" s="31" t="s">
        <v>16</v>
      </c>
      <c r="E370" s="31" t="s">
        <v>635</v>
      </c>
      <c r="F370" s="32">
        <v>11613</v>
      </c>
      <c r="G370" s="31" t="s">
        <v>17</v>
      </c>
      <c r="H370" s="31" t="s">
        <v>471</v>
      </c>
      <c r="I370" s="31">
        <v>2002</v>
      </c>
      <c r="J370" s="31">
        <v>284128</v>
      </c>
      <c r="K370" s="31" t="str">
        <f>CONCATENATE(E370,I370,J370)</f>
        <v>305007682622002284128</v>
      </c>
      <c r="L370" s="33">
        <v>3</v>
      </c>
      <c r="M370" s="34">
        <v>0</v>
      </c>
      <c r="N370" s="34">
        <v>0</v>
      </c>
      <c r="O370" s="34">
        <v>201402</v>
      </c>
      <c r="P370" s="34">
        <v>0</v>
      </c>
    </row>
    <row r="371" spans="1:17" x14ac:dyDescent="0.25">
      <c r="A371" s="2">
        <v>45404</v>
      </c>
      <c r="B371" s="1" t="s">
        <v>179</v>
      </c>
      <c r="C371" s="1" t="s">
        <v>180</v>
      </c>
      <c r="D371" s="1" t="s">
        <v>16</v>
      </c>
      <c r="E371" s="1" t="s">
        <v>635</v>
      </c>
      <c r="F371" s="3">
        <v>11613</v>
      </c>
      <c r="G371" s="1" t="s">
        <v>17</v>
      </c>
      <c r="H371" s="29" t="s">
        <v>471</v>
      </c>
      <c r="I371" s="1">
        <v>2002</v>
      </c>
      <c r="J371" s="1">
        <v>284128</v>
      </c>
      <c r="K371" s="1" t="str">
        <f>CONCATENATE(E371,I371,J371)</f>
        <v>305007682622002284128</v>
      </c>
      <c r="L371" s="4">
        <v>21</v>
      </c>
      <c r="M371" s="5">
        <v>0</v>
      </c>
      <c r="N371" s="5">
        <v>6713400</v>
      </c>
      <c r="O371" s="5">
        <v>1409814</v>
      </c>
      <c r="P371" s="5">
        <v>8660286</v>
      </c>
    </row>
    <row r="372" spans="1:17" x14ac:dyDescent="0.25">
      <c r="A372" s="30">
        <v>45404</v>
      </c>
      <c r="B372" s="31" t="s">
        <v>179</v>
      </c>
      <c r="C372" s="31" t="s">
        <v>180</v>
      </c>
      <c r="D372" s="31" t="s">
        <v>16</v>
      </c>
      <c r="E372" s="31" t="s">
        <v>635</v>
      </c>
      <c r="F372" s="32">
        <v>11614</v>
      </c>
      <c r="G372" s="31" t="s">
        <v>17</v>
      </c>
      <c r="H372" s="31" t="s">
        <v>472</v>
      </c>
      <c r="I372" s="31">
        <v>2002</v>
      </c>
      <c r="J372" s="31">
        <v>284129</v>
      </c>
      <c r="K372" s="31" t="str">
        <f>CONCATENATE(E372,I372,J372)</f>
        <v>305007682622002284129</v>
      </c>
      <c r="L372" s="33">
        <v>3</v>
      </c>
      <c r="M372" s="34">
        <v>0</v>
      </c>
      <c r="N372" s="34">
        <v>0</v>
      </c>
      <c r="O372" s="34">
        <v>87696.87</v>
      </c>
      <c r="P372" s="34">
        <v>0</v>
      </c>
    </row>
    <row r="373" spans="1:17" s="26" customFormat="1" x14ac:dyDescent="0.25">
      <c r="A373" s="2">
        <v>45404</v>
      </c>
      <c r="B373" s="1" t="s">
        <v>179</v>
      </c>
      <c r="C373" s="1" t="s">
        <v>180</v>
      </c>
      <c r="D373" s="1" t="s">
        <v>16</v>
      </c>
      <c r="E373" s="1" t="s">
        <v>635</v>
      </c>
      <c r="F373" s="3">
        <v>11614</v>
      </c>
      <c r="G373" s="1" t="s">
        <v>17</v>
      </c>
      <c r="H373" s="29" t="s">
        <v>472</v>
      </c>
      <c r="I373" s="1">
        <v>2002</v>
      </c>
      <c r="J373" s="1">
        <v>284129</v>
      </c>
      <c r="K373" s="1" t="str">
        <f>CONCATENATE(E373,I373,J373)</f>
        <v>305007682622002284129</v>
      </c>
      <c r="L373" s="4">
        <v>21</v>
      </c>
      <c r="M373" s="5">
        <v>0</v>
      </c>
      <c r="N373" s="5">
        <v>2923229.15</v>
      </c>
      <c r="O373" s="5">
        <v>613878.12</v>
      </c>
      <c r="P373" s="5">
        <v>3770965.6</v>
      </c>
      <c r="Q373" s="28"/>
    </row>
    <row r="374" spans="1:17" x14ac:dyDescent="0.25">
      <c r="A374" s="21">
        <v>45404</v>
      </c>
      <c r="B374" s="22" t="s">
        <v>103</v>
      </c>
      <c r="C374" s="22" t="s">
        <v>104</v>
      </c>
      <c r="D374" s="22" t="s">
        <v>28</v>
      </c>
      <c r="E374" s="22" t="s">
        <v>612</v>
      </c>
      <c r="F374" s="23">
        <v>11790</v>
      </c>
      <c r="G374" s="22" t="s">
        <v>17</v>
      </c>
      <c r="H374" s="22" t="s">
        <v>473</v>
      </c>
      <c r="I374" s="22">
        <v>2024</v>
      </c>
      <c r="J374" s="22">
        <v>15379493</v>
      </c>
      <c r="K374" s="22" t="str">
        <f>CONCATENATE(E374,I374,J374)</f>
        <v>33999242109202415379493</v>
      </c>
      <c r="L374" s="24">
        <v>0</v>
      </c>
      <c r="M374" s="25">
        <v>2199810.9500000002</v>
      </c>
      <c r="N374" s="25">
        <v>0</v>
      </c>
      <c r="O374" s="25">
        <v>0</v>
      </c>
      <c r="P374" s="25">
        <v>2243807.15</v>
      </c>
    </row>
    <row r="375" spans="1:17" x14ac:dyDescent="0.25">
      <c r="A375" s="30">
        <v>45405</v>
      </c>
      <c r="B375" s="31" t="s">
        <v>144</v>
      </c>
      <c r="C375" s="31" t="s">
        <v>145</v>
      </c>
      <c r="D375" s="31" t="s">
        <v>16</v>
      </c>
      <c r="E375" s="31" t="s">
        <v>625</v>
      </c>
      <c r="F375" s="32">
        <v>11615</v>
      </c>
      <c r="G375" s="31" t="s">
        <v>17</v>
      </c>
      <c r="H375" s="31" t="s">
        <v>475</v>
      </c>
      <c r="I375" s="31">
        <v>46</v>
      </c>
      <c r="J375" s="31">
        <v>399660</v>
      </c>
      <c r="K375" s="31" t="str">
        <f>CONCATENATE(E375,I375,J375)</f>
        <v>3053214979346399660</v>
      </c>
      <c r="L375" s="33">
        <v>3</v>
      </c>
      <c r="M375" s="34">
        <v>0</v>
      </c>
      <c r="N375" s="34">
        <v>0</v>
      </c>
      <c r="O375" s="34">
        <v>13500</v>
      </c>
      <c r="P375" s="34">
        <v>0</v>
      </c>
    </row>
    <row r="376" spans="1:17" x14ac:dyDescent="0.25">
      <c r="A376" s="2">
        <v>45405</v>
      </c>
      <c r="B376" s="1" t="s">
        <v>144</v>
      </c>
      <c r="C376" s="1" t="s">
        <v>145</v>
      </c>
      <c r="D376" s="1" t="s">
        <v>16</v>
      </c>
      <c r="E376" s="1" t="s">
        <v>625</v>
      </c>
      <c r="F376" s="3">
        <v>11615</v>
      </c>
      <c r="G376" s="1" t="s">
        <v>17</v>
      </c>
      <c r="H376" s="29" t="s">
        <v>475</v>
      </c>
      <c r="I376" s="1">
        <v>46</v>
      </c>
      <c r="J376" s="1">
        <v>399660</v>
      </c>
      <c r="K376" s="1" t="str">
        <f>CONCATENATE(E376,I376,J376)</f>
        <v>3053214979346399660</v>
      </c>
      <c r="L376" s="4">
        <v>21</v>
      </c>
      <c r="M376" s="5">
        <v>0</v>
      </c>
      <c r="N376" s="5">
        <v>450000</v>
      </c>
      <c r="O376" s="5">
        <v>94500</v>
      </c>
      <c r="P376" s="5">
        <v>567000</v>
      </c>
    </row>
    <row r="377" spans="1:17" x14ac:dyDescent="0.25">
      <c r="A377" s="30">
        <v>45405</v>
      </c>
      <c r="B377" s="31" t="s">
        <v>476</v>
      </c>
      <c r="C377" s="31" t="s">
        <v>477</v>
      </c>
      <c r="D377" s="31" t="s">
        <v>16</v>
      </c>
      <c r="E377" s="31" t="s">
        <v>695</v>
      </c>
      <c r="F377" s="32">
        <v>11506</v>
      </c>
      <c r="G377" s="31" t="s">
        <v>17</v>
      </c>
      <c r="H377" s="31" t="s">
        <v>478</v>
      </c>
      <c r="I377" s="31">
        <v>394</v>
      </c>
      <c r="J377" s="31">
        <v>369991</v>
      </c>
      <c r="K377" s="31" t="str">
        <f>CONCATENATE(E377,I377,J377)</f>
        <v>30546764040394369991</v>
      </c>
      <c r="L377" s="33">
        <v>3</v>
      </c>
      <c r="M377" s="34">
        <v>0</v>
      </c>
      <c r="N377" s="34">
        <v>0</v>
      </c>
      <c r="O377" s="34">
        <v>48167.18</v>
      </c>
      <c r="P377" s="34">
        <v>0</v>
      </c>
    </row>
    <row r="378" spans="1:17" x14ac:dyDescent="0.25">
      <c r="A378" s="2">
        <v>45405</v>
      </c>
      <c r="B378" s="1" t="s">
        <v>476</v>
      </c>
      <c r="C378" s="1" t="s">
        <v>477</v>
      </c>
      <c r="D378" s="1" t="s">
        <v>16</v>
      </c>
      <c r="E378" s="1" t="s">
        <v>695</v>
      </c>
      <c r="F378" s="3">
        <v>11506</v>
      </c>
      <c r="G378" s="1" t="s">
        <v>17</v>
      </c>
      <c r="H378" s="29" t="s">
        <v>478</v>
      </c>
      <c r="I378" s="1">
        <v>394</v>
      </c>
      <c r="J378" s="1">
        <v>369991</v>
      </c>
      <c r="K378" s="1" t="str">
        <f>CONCATENATE(E378,I378,J378)</f>
        <v>30546764040394369991</v>
      </c>
      <c r="L378" s="4">
        <v>21</v>
      </c>
      <c r="M378" s="5">
        <v>0</v>
      </c>
      <c r="N378" s="5">
        <v>1605572.63</v>
      </c>
      <c r="O378" s="5">
        <v>337170.26</v>
      </c>
      <c r="P378" s="5">
        <v>2071188.7</v>
      </c>
    </row>
    <row r="379" spans="1:17" x14ac:dyDescent="0.25">
      <c r="A379" s="30">
        <v>45405</v>
      </c>
      <c r="B379" s="31" t="s">
        <v>185</v>
      </c>
      <c r="C379" s="31" t="s">
        <v>186</v>
      </c>
      <c r="D379" s="31" t="s">
        <v>16</v>
      </c>
      <c r="E379" s="31" t="s">
        <v>637</v>
      </c>
      <c r="F379" s="32">
        <v>11494</v>
      </c>
      <c r="G379" s="31" t="s">
        <v>21</v>
      </c>
      <c r="H379" s="31" t="s">
        <v>483</v>
      </c>
      <c r="I379" s="31">
        <v>622</v>
      </c>
      <c r="J379" s="31">
        <v>107587</v>
      </c>
      <c r="K379" s="31" t="str">
        <f>CONCATENATE(E379,I379,J379)</f>
        <v>30682032630622107587</v>
      </c>
      <c r="L379" s="33">
        <v>3</v>
      </c>
      <c r="M379" s="34">
        <v>0</v>
      </c>
      <c r="N379" s="34">
        <v>0</v>
      </c>
      <c r="O379" s="34">
        <v>-33591.47</v>
      </c>
      <c r="P379" s="34">
        <v>0</v>
      </c>
    </row>
    <row r="380" spans="1:17" x14ac:dyDescent="0.25">
      <c r="A380" s="2">
        <v>45405</v>
      </c>
      <c r="B380" s="1" t="s">
        <v>185</v>
      </c>
      <c r="C380" s="1" t="s">
        <v>186</v>
      </c>
      <c r="D380" s="1" t="s">
        <v>16</v>
      </c>
      <c r="E380" s="1" t="s">
        <v>637</v>
      </c>
      <c r="F380" s="3">
        <v>11494</v>
      </c>
      <c r="G380" s="1" t="s">
        <v>21</v>
      </c>
      <c r="H380" s="29" t="s">
        <v>483</v>
      </c>
      <c r="I380" s="1">
        <v>622</v>
      </c>
      <c r="J380" s="1">
        <v>107587</v>
      </c>
      <c r="K380" s="1" t="str">
        <f>CONCATENATE(E380,I380,J380)</f>
        <v>30682032630622107587</v>
      </c>
      <c r="L380" s="4">
        <v>21</v>
      </c>
      <c r="M380" s="5">
        <v>0</v>
      </c>
      <c r="N380" s="5">
        <v>-1119715.6499999999</v>
      </c>
      <c r="O380" s="5">
        <v>-235140.29</v>
      </c>
      <c r="P380" s="5">
        <v>-1388447.41</v>
      </c>
    </row>
    <row r="381" spans="1:17" x14ac:dyDescent="0.25">
      <c r="A381" s="30">
        <v>45405</v>
      </c>
      <c r="B381" s="31" t="s">
        <v>150</v>
      </c>
      <c r="C381" s="31" t="s">
        <v>151</v>
      </c>
      <c r="D381" s="31" t="s">
        <v>16</v>
      </c>
      <c r="E381" s="31" t="s">
        <v>627</v>
      </c>
      <c r="F381" s="32">
        <v>11519</v>
      </c>
      <c r="G381" s="31" t="s">
        <v>17</v>
      </c>
      <c r="H381" s="31" t="s">
        <v>479</v>
      </c>
      <c r="I381" s="31">
        <v>1001</v>
      </c>
      <c r="J381" s="31">
        <v>234948</v>
      </c>
      <c r="K381" s="31" t="str">
        <f>CONCATENATE(E381,I381,J381)</f>
        <v>305866115221001234948</v>
      </c>
      <c r="L381" s="33">
        <v>3</v>
      </c>
      <c r="M381" s="34">
        <v>0</v>
      </c>
      <c r="N381" s="34">
        <v>0</v>
      </c>
      <c r="O381" s="34">
        <v>57784.44</v>
      </c>
      <c r="P381" s="34">
        <v>0</v>
      </c>
    </row>
    <row r="382" spans="1:17" x14ac:dyDescent="0.25">
      <c r="A382" s="2">
        <v>45405</v>
      </c>
      <c r="B382" s="1" t="s">
        <v>150</v>
      </c>
      <c r="C382" s="1" t="s">
        <v>151</v>
      </c>
      <c r="D382" s="1" t="s">
        <v>16</v>
      </c>
      <c r="E382" s="1" t="s">
        <v>627</v>
      </c>
      <c r="F382" s="3">
        <v>11519</v>
      </c>
      <c r="G382" s="1" t="s">
        <v>17</v>
      </c>
      <c r="H382" s="29" t="s">
        <v>479</v>
      </c>
      <c r="I382" s="1">
        <v>1001</v>
      </c>
      <c r="J382" s="1">
        <v>234948</v>
      </c>
      <c r="K382" s="1" t="str">
        <f>CONCATENATE(E382,I382,J382)</f>
        <v>305866115221001234948</v>
      </c>
      <c r="L382" s="4">
        <v>21</v>
      </c>
      <c r="M382" s="5">
        <v>0</v>
      </c>
      <c r="N382" s="5">
        <v>1926148</v>
      </c>
      <c r="O382" s="5">
        <v>404491.08</v>
      </c>
      <c r="P382" s="5">
        <v>2484730.92</v>
      </c>
    </row>
    <row r="383" spans="1:17" s="42" customFormat="1" x14ac:dyDescent="0.25">
      <c r="A383" s="37">
        <v>45405</v>
      </c>
      <c r="B383" s="38" t="s">
        <v>107</v>
      </c>
      <c r="C383" s="38" t="s">
        <v>108</v>
      </c>
      <c r="D383" s="38" t="s">
        <v>16</v>
      </c>
      <c r="E383" s="38" t="s">
        <v>613</v>
      </c>
      <c r="F383" s="39">
        <v>11777</v>
      </c>
      <c r="G383" s="38" t="s">
        <v>17</v>
      </c>
      <c r="H383" s="38" t="s">
        <v>480</v>
      </c>
      <c r="I383" s="38">
        <v>5038</v>
      </c>
      <c r="J383" s="38">
        <v>18956</v>
      </c>
      <c r="K383" s="38" t="str">
        <f>CONCATENATE(E383,I383,J383)</f>
        <v>30695542476503818956</v>
      </c>
      <c r="L383" s="40">
        <v>3</v>
      </c>
      <c r="M383" s="41">
        <v>0</v>
      </c>
      <c r="N383" s="41">
        <v>0</v>
      </c>
      <c r="O383" s="41">
        <v>667.4</v>
      </c>
      <c r="P383" s="41">
        <v>0</v>
      </c>
    </row>
    <row r="384" spans="1:17" s="42" customFormat="1" x14ac:dyDescent="0.25">
      <c r="A384" s="37">
        <v>45405</v>
      </c>
      <c r="B384" s="38" t="s">
        <v>107</v>
      </c>
      <c r="C384" s="38" t="s">
        <v>108</v>
      </c>
      <c r="D384" s="38" t="s">
        <v>16</v>
      </c>
      <c r="E384" s="38" t="s">
        <v>613</v>
      </c>
      <c r="F384" s="39">
        <v>11777</v>
      </c>
      <c r="G384" s="38" t="s">
        <v>17</v>
      </c>
      <c r="H384" s="38" t="s">
        <v>480</v>
      </c>
      <c r="I384" s="38">
        <v>5038</v>
      </c>
      <c r="J384" s="38">
        <v>18956</v>
      </c>
      <c r="K384" s="38" t="str">
        <f>CONCATENATE(E384,I384,J384)</f>
        <v>30695542476503818956</v>
      </c>
      <c r="L384" s="40">
        <v>21</v>
      </c>
      <c r="M384" s="41">
        <v>3081.59</v>
      </c>
      <c r="N384" s="41">
        <v>22246.59</v>
      </c>
      <c r="O384" s="41">
        <v>4671.78</v>
      </c>
      <c r="P384" s="41">
        <v>30667.360000000001</v>
      </c>
    </row>
    <row r="385" spans="1:16" x14ac:dyDescent="0.25">
      <c r="A385" s="30">
        <v>45405</v>
      </c>
      <c r="B385" s="31" t="s">
        <v>158</v>
      </c>
      <c r="C385" s="31" t="s">
        <v>159</v>
      </c>
      <c r="D385" s="31" t="s">
        <v>16</v>
      </c>
      <c r="E385" s="31" t="s">
        <v>629</v>
      </c>
      <c r="F385" s="32">
        <v>11545</v>
      </c>
      <c r="G385" s="31" t="s">
        <v>17</v>
      </c>
      <c r="H385" s="31" t="s">
        <v>481</v>
      </c>
      <c r="I385" s="31">
        <v>6004</v>
      </c>
      <c r="J385" s="31">
        <v>3598299</v>
      </c>
      <c r="K385" s="31" t="str">
        <f>CONCATENATE(E385,I385,J385)</f>
        <v>3050111624260043598299</v>
      </c>
      <c r="L385" s="33">
        <v>3</v>
      </c>
      <c r="M385" s="34">
        <v>0</v>
      </c>
      <c r="N385" s="34">
        <v>0</v>
      </c>
      <c r="O385" s="34">
        <v>57124.99</v>
      </c>
      <c r="P385" s="34">
        <v>0</v>
      </c>
    </row>
    <row r="386" spans="1:16" x14ac:dyDescent="0.25">
      <c r="A386" s="2">
        <v>45405</v>
      </c>
      <c r="B386" s="1" t="s">
        <v>158</v>
      </c>
      <c r="C386" s="1" t="s">
        <v>159</v>
      </c>
      <c r="D386" s="1" t="s">
        <v>16</v>
      </c>
      <c r="E386" s="1" t="s">
        <v>629</v>
      </c>
      <c r="F386" s="3">
        <v>11545</v>
      </c>
      <c r="G386" s="1" t="s">
        <v>17</v>
      </c>
      <c r="H386" s="29" t="s">
        <v>481</v>
      </c>
      <c r="I386" s="1">
        <v>6004</v>
      </c>
      <c r="J386" s="1">
        <v>3598299</v>
      </c>
      <c r="K386" s="1" t="str">
        <f>CONCATENATE(E386,I386,J386)</f>
        <v>3050111624260043598299</v>
      </c>
      <c r="L386" s="4">
        <v>21</v>
      </c>
      <c r="M386" s="5">
        <v>0</v>
      </c>
      <c r="N386" s="5">
        <v>1904166.46</v>
      </c>
      <c r="O386" s="5">
        <v>399874.96</v>
      </c>
      <c r="P386" s="5">
        <v>2399249.7400000002</v>
      </c>
    </row>
    <row r="387" spans="1:16" x14ac:dyDescent="0.25">
      <c r="A387" s="30">
        <v>45405</v>
      </c>
      <c r="B387" s="31" t="s">
        <v>19</v>
      </c>
      <c r="C387" s="31" t="s">
        <v>20</v>
      </c>
      <c r="D387" s="31" t="s">
        <v>16</v>
      </c>
      <c r="E387" s="31" t="s">
        <v>589</v>
      </c>
      <c r="F387" s="32">
        <v>11551</v>
      </c>
      <c r="G387" s="31" t="s">
        <v>17</v>
      </c>
      <c r="H387" s="31" t="s">
        <v>482</v>
      </c>
      <c r="I387" s="31">
        <v>6156</v>
      </c>
      <c r="J387" s="31">
        <v>6723436</v>
      </c>
      <c r="K387" s="31" t="str">
        <f>CONCATENATE(E387,I387,J387)</f>
        <v>3054724233161566723436</v>
      </c>
      <c r="L387" s="33">
        <v>3</v>
      </c>
      <c r="M387" s="34">
        <v>0</v>
      </c>
      <c r="N387" s="34">
        <v>0</v>
      </c>
      <c r="O387" s="34">
        <v>5831.96</v>
      </c>
      <c r="P387" s="34">
        <v>0</v>
      </c>
    </row>
    <row r="388" spans="1:16" x14ac:dyDescent="0.25">
      <c r="A388" s="2">
        <v>45405</v>
      </c>
      <c r="B388" s="1" t="s">
        <v>19</v>
      </c>
      <c r="C388" s="1" t="s">
        <v>20</v>
      </c>
      <c r="D388" s="1" t="s">
        <v>16</v>
      </c>
      <c r="E388" s="1" t="s">
        <v>589</v>
      </c>
      <c r="F388" s="3">
        <v>11551</v>
      </c>
      <c r="G388" s="1" t="s">
        <v>17</v>
      </c>
      <c r="H388" s="29" t="s">
        <v>482</v>
      </c>
      <c r="I388" s="1">
        <v>6156</v>
      </c>
      <c r="J388" s="1">
        <v>6723436</v>
      </c>
      <c r="K388" s="1" t="str">
        <f>CONCATENATE(E388,I388,J388)</f>
        <v>3054724233161566723436</v>
      </c>
      <c r="L388" s="4">
        <v>21</v>
      </c>
      <c r="M388" s="5">
        <v>0</v>
      </c>
      <c r="N388" s="5">
        <v>207261.92</v>
      </c>
      <c r="O388" s="5">
        <v>43525</v>
      </c>
      <c r="P388" s="5">
        <v>260764.12</v>
      </c>
    </row>
    <row r="389" spans="1:16" x14ac:dyDescent="0.25">
      <c r="A389" s="2">
        <v>45406</v>
      </c>
      <c r="B389" s="1" t="s">
        <v>132</v>
      </c>
      <c r="C389" s="1" t="s">
        <v>133</v>
      </c>
      <c r="D389" s="1" t="s">
        <v>16</v>
      </c>
      <c r="E389" s="1" t="s">
        <v>621</v>
      </c>
      <c r="F389" s="3">
        <v>11491</v>
      </c>
      <c r="G389" s="1" t="s">
        <v>17</v>
      </c>
      <c r="H389" s="29" t="s">
        <v>484</v>
      </c>
      <c r="I389" s="1">
        <v>3</v>
      </c>
      <c r="J389" s="1">
        <v>99960</v>
      </c>
      <c r="K389" s="1" t="str">
        <f>CONCATENATE(E389,I389,J389)</f>
        <v>30703957478399960</v>
      </c>
      <c r="L389" s="4">
        <v>21</v>
      </c>
      <c r="M389" s="5">
        <v>0</v>
      </c>
      <c r="N389" s="5">
        <v>2102836.5099999998</v>
      </c>
      <c r="O389" s="5">
        <v>441595.67</v>
      </c>
      <c r="P389" s="5">
        <v>2586488.91</v>
      </c>
    </row>
    <row r="390" spans="1:16" x14ac:dyDescent="0.25">
      <c r="A390" s="2">
        <v>45406</v>
      </c>
      <c r="B390" s="1" t="s">
        <v>132</v>
      </c>
      <c r="C390" s="1" t="s">
        <v>133</v>
      </c>
      <c r="D390" s="1" t="s">
        <v>16</v>
      </c>
      <c r="E390" s="1" t="s">
        <v>621</v>
      </c>
      <c r="F390" s="3">
        <v>11492</v>
      </c>
      <c r="G390" s="1" t="s">
        <v>17</v>
      </c>
      <c r="H390" s="29" t="s">
        <v>485</v>
      </c>
      <c r="I390" s="1">
        <v>3</v>
      </c>
      <c r="J390" s="1">
        <v>99961</v>
      </c>
      <c r="K390" s="1" t="str">
        <f>CONCATENATE(E390,I390,J390)</f>
        <v>30703957478399961</v>
      </c>
      <c r="L390" s="4">
        <v>21</v>
      </c>
      <c r="M390" s="5">
        <v>0</v>
      </c>
      <c r="N390" s="5">
        <v>1621605.34</v>
      </c>
      <c r="O390" s="5">
        <v>340537.12</v>
      </c>
      <c r="P390" s="5">
        <v>1994574.57</v>
      </c>
    </row>
    <row r="391" spans="1:16" x14ac:dyDescent="0.25">
      <c r="A391" s="2">
        <v>45406</v>
      </c>
      <c r="B391" s="1" t="s">
        <v>132</v>
      </c>
      <c r="C391" s="1" t="s">
        <v>133</v>
      </c>
      <c r="D391" s="1" t="s">
        <v>16</v>
      </c>
      <c r="E391" s="1" t="s">
        <v>621</v>
      </c>
      <c r="F391" s="3">
        <v>11493</v>
      </c>
      <c r="G391" s="1" t="s">
        <v>17</v>
      </c>
      <c r="H391" s="29" t="s">
        <v>486</v>
      </c>
      <c r="I391" s="1">
        <v>3</v>
      </c>
      <c r="J391" s="1">
        <v>99962</v>
      </c>
      <c r="K391" s="1" t="str">
        <f>CONCATENATE(E391,I391,J391)</f>
        <v>30703957478399962</v>
      </c>
      <c r="L391" s="4">
        <v>21</v>
      </c>
      <c r="M391" s="5">
        <v>0</v>
      </c>
      <c r="N391" s="5">
        <v>514490.49</v>
      </c>
      <c r="O391" s="5">
        <v>108043</v>
      </c>
      <c r="P391" s="5">
        <v>632823.30000000005</v>
      </c>
    </row>
    <row r="392" spans="1:16" x14ac:dyDescent="0.25">
      <c r="A392" s="2">
        <v>45406</v>
      </c>
      <c r="B392" s="1" t="s">
        <v>375</v>
      </c>
      <c r="C392" s="1" t="s">
        <v>376</v>
      </c>
      <c r="D392" s="1" t="s">
        <v>16</v>
      </c>
      <c r="E392" s="1" t="s">
        <v>681</v>
      </c>
      <c r="F392" s="3">
        <v>11617</v>
      </c>
      <c r="G392" s="1" t="s">
        <v>17</v>
      </c>
      <c r="H392" s="29" t="s">
        <v>487</v>
      </c>
      <c r="I392" s="1">
        <v>4</v>
      </c>
      <c r="J392" s="1">
        <v>28470</v>
      </c>
      <c r="K392" s="1" t="str">
        <f>CONCATENATE(E392,I392,J392)</f>
        <v>30645830446428470</v>
      </c>
      <c r="L392" s="4">
        <v>21</v>
      </c>
      <c r="M392" s="5">
        <v>0</v>
      </c>
      <c r="N392" s="5">
        <v>6990436.5999999996</v>
      </c>
      <c r="O392" s="5">
        <v>1467991.69</v>
      </c>
      <c r="P392" s="5">
        <v>8807950.1199999992</v>
      </c>
    </row>
    <row r="393" spans="1:16" x14ac:dyDescent="0.25">
      <c r="A393" s="2">
        <v>45406</v>
      </c>
      <c r="B393" s="1" t="s">
        <v>277</v>
      </c>
      <c r="C393" s="1" t="s">
        <v>278</v>
      </c>
      <c r="D393" s="1" t="s">
        <v>16</v>
      </c>
      <c r="E393" s="1" t="s">
        <v>659</v>
      </c>
      <c r="F393" s="3">
        <v>11636</v>
      </c>
      <c r="G393" s="1" t="s">
        <v>17</v>
      </c>
      <c r="H393" s="29" t="s">
        <v>488</v>
      </c>
      <c r="I393" s="1">
        <v>5</v>
      </c>
      <c r="J393" s="1">
        <v>616</v>
      </c>
      <c r="K393" s="1" t="str">
        <f>CONCATENATE(E393,I393,J393)</f>
        <v>307132398085616</v>
      </c>
      <c r="L393" s="4">
        <v>21</v>
      </c>
      <c r="M393" s="5">
        <v>0</v>
      </c>
      <c r="N393" s="5">
        <v>7596288</v>
      </c>
      <c r="O393" s="5">
        <v>1595220.48</v>
      </c>
      <c r="P393" s="5">
        <v>9191508.4800000004</v>
      </c>
    </row>
    <row r="394" spans="1:16" s="42" customFormat="1" x14ac:dyDescent="0.25">
      <c r="A394" s="37">
        <v>45406</v>
      </c>
      <c r="B394" s="38" t="s">
        <v>435</v>
      </c>
      <c r="C394" s="38" t="s">
        <v>436</v>
      </c>
      <c r="D394" s="38" t="s">
        <v>16</v>
      </c>
      <c r="E394" s="38" t="s">
        <v>690</v>
      </c>
      <c r="F394" s="39">
        <v>11566</v>
      </c>
      <c r="G394" s="38" t="s">
        <v>17</v>
      </c>
      <c r="H394" s="38" t="s">
        <v>489</v>
      </c>
      <c r="I394" s="38">
        <v>14</v>
      </c>
      <c r="J394" s="38">
        <v>1430</v>
      </c>
      <c r="K394" s="38" t="str">
        <f>CONCATENATE(E394,I394,J394)</f>
        <v>20148190489141430</v>
      </c>
      <c r="L394" s="40">
        <v>21</v>
      </c>
      <c r="M394" s="41">
        <v>3618.44</v>
      </c>
      <c r="N394" s="41">
        <v>38333.01</v>
      </c>
      <c r="O394" s="41">
        <v>8049.93</v>
      </c>
      <c r="P394" s="41">
        <v>50001.38</v>
      </c>
    </row>
    <row r="395" spans="1:16" x14ac:dyDescent="0.25">
      <c r="A395" s="30">
        <v>45406</v>
      </c>
      <c r="B395" s="31" t="s">
        <v>224</v>
      </c>
      <c r="C395" s="31" t="s">
        <v>225</v>
      </c>
      <c r="D395" s="31" t="s">
        <v>16</v>
      </c>
      <c r="E395" s="31" t="s">
        <v>647</v>
      </c>
      <c r="F395" s="32">
        <v>11753</v>
      </c>
      <c r="G395" s="31" t="s">
        <v>17</v>
      </c>
      <c r="H395" s="31" t="s">
        <v>490</v>
      </c>
      <c r="I395" s="31">
        <v>60</v>
      </c>
      <c r="J395" s="31">
        <v>307293</v>
      </c>
      <c r="K395" s="31" t="str">
        <f>CONCATENATE(E395,I395,J395)</f>
        <v>3370725983960307293</v>
      </c>
      <c r="L395" s="33">
        <v>3</v>
      </c>
      <c r="M395" s="34">
        <v>0</v>
      </c>
      <c r="N395" s="34">
        <v>0</v>
      </c>
      <c r="O395" s="34">
        <v>17243.43</v>
      </c>
      <c r="P395" s="34">
        <v>0</v>
      </c>
    </row>
    <row r="396" spans="1:16" x14ac:dyDescent="0.25">
      <c r="A396" s="2">
        <v>45406</v>
      </c>
      <c r="B396" s="1" t="s">
        <v>224</v>
      </c>
      <c r="C396" s="1" t="s">
        <v>225</v>
      </c>
      <c r="D396" s="1" t="s">
        <v>16</v>
      </c>
      <c r="E396" s="1" t="s">
        <v>647</v>
      </c>
      <c r="F396" s="3">
        <v>11753</v>
      </c>
      <c r="G396" s="1" t="s">
        <v>17</v>
      </c>
      <c r="H396" s="29" t="s">
        <v>490</v>
      </c>
      <c r="I396" s="1">
        <v>60</v>
      </c>
      <c r="J396" s="1">
        <v>307293</v>
      </c>
      <c r="K396" s="1" t="str">
        <f>CONCATENATE(E396,I396,J396)</f>
        <v>3370725983960307293</v>
      </c>
      <c r="L396" s="4">
        <v>21</v>
      </c>
      <c r="M396" s="5">
        <v>0</v>
      </c>
      <c r="N396" s="5">
        <v>574780.88</v>
      </c>
      <c r="O396" s="5">
        <v>120703.98</v>
      </c>
      <c r="P396" s="5">
        <v>724223.91</v>
      </c>
    </row>
    <row r="397" spans="1:16" x14ac:dyDescent="0.25">
      <c r="A397" s="30">
        <v>45406</v>
      </c>
      <c r="B397" s="31" t="s">
        <v>147</v>
      </c>
      <c r="C397" s="31" t="s">
        <v>148</v>
      </c>
      <c r="D397" s="31" t="s">
        <v>16</v>
      </c>
      <c r="E397" s="31" t="s">
        <v>626</v>
      </c>
      <c r="F397" s="32">
        <v>11707</v>
      </c>
      <c r="G397" s="31" t="s">
        <v>17</v>
      </c>
      <c r="H397" s="31" t="s">
        <v>491</v>
      </c>
      <c r="I397" s="31">
        <v>218</v>
      </c>
      <c r="J397" s="31">
        <v>160767</v>
      </c>
      <c r="K397" s="31" t="str">
        <f>CONCATENATE(E397,I397,J397)</f>
        <v>30501290323218160767</v>
      </c>
      <c r="L397" s="33">
        <v>3</v>
      </c>
      <c r="M397" s="34">
        <v>0</v>
      </c>
      <c r="N397" s="34">
        <v>0</v>
      </c>
      <c r="O397" s="34">
        <v>1695.38</v>
      </c>
      <c r="P397" s="34">
        <v>0</v>
      </c>
    </row>
    <row r="398" spans="1:16" x14ac:dyDescent="0.25">
      <c r="A398" s="2">
        <v>45406</v>
      </c>
      <c r="B398" s="1" t="s">
        <v>147</v>
      </c>
      <c r="C398" s="1" t="s">
        <v>148</v>
      </c>
      <c r="D398" s="1" t="s">
        <v>16</v>
      </c>
      <c r="E398" s="1" t="s">
        <v>626</v>
      </c>
      <c r="F398" s="3">
        <v>11707</v>
      </c>
      <c r="G398" s="1" t="s">
        <v>17</v>
      </c>
      <c r="H398" s="29" t="s">
        <v>491</v>
      </c>
      <c r="I398" s="1">
        <v>218</v>
      </c>
      <c r="J398" s="1">
        <v>160767</v>
      </c>
      <c r="K398" s="1" t="str">
        <f>CONCATENATE(E398,I398,J398)</f>
        <v>30501290323218160767</v>
      </c>
      <c r="L398" s="4">
        <v>21</v>
      </c>
      <c r="M398" s="5">
        <v>0</v>
      </c>
      <c r="N398" s="5">
        <v>56512.79</v>
      </c>
      <c r="O398" s="5">
        <v>11867.68</v>
      </c>
      <c r="P398" s="5">
        <v>72901.490000000005</v>
      </c>
    </row>
    <row r="399" spans="1:16" x14ac:dyDescent="0.25">
      <c r="A399" s="30">
        <v>45406</v>
      </c>
      <c r="B399" s="31" t="s">
        <v>86</v>
      </c>
      <c r="C399" s="31" t="s">
        <v>87</v>
      </c>
      <c r="D399" s="31" t="s">
        <v>16</v>
      </c>
      <c r="E399" s="31" t="s">
        <v>608</v>
      </c>
      <c r="F399" s="32">
        <v>11769</v>
      </c>
      <c r="G399" s="31" t="s">
        <v>17</v>
      </c>
      <c r="H399" s="31" t="s">
        <v>492</v>
      </c>
      <c r="I399" s="31">
        <v>601</v>
      </c>
      <c r="J399" s="31">
        <v>261684</v>
      </c>
      <c r="K399" s="31" t="str">
        <f>CONCATENATE(E399,I399,J399)</f>
        <v>30525390086601261684</v>
      </c>
      <c r="L399" s="33">
        <v>3</v>
      </c>
      <c r="M399" s="34">
        <v>0</v>
      </c>
      <c r="N399" s="34">
        <v>0</v>
      </c>
      <c r="O399" s="34">
        <v>167943.19</v>
      </c>
      <c r="P399" s="34">
        <v>0</v>
      </c>
    </row>
    <row r="400" spans="1:16" x14ac:dyDescent="0.25">
      <c r="A400" s="2">
        <v>45406</v>
      </c>
      <c r="B400" s="1" t="s">
        <v>86</v>
      </c>
      <c r="C400" s="1" t="s">
        <v>87</v>
      </c>
      <c r="D400" s="1" t="s">
        <v>16</v>
      </c>
      <c r="E400" s="1" t="s">
        <v>608</v>
      </c>
      <c r="F400" s="3">
        <v>11769</v>
      </c>
      <c r="G400" s="1" t="s">
        <v>17</v>
      </c>
      <c r="H400" s="29" t="s">
        <v>492</v>
      </c>
      <c r="I400" s="1">
        <v>601</v>
      </c>
      <c r="J400" s="1">
        <v>261684</v>
      </c>
      <c r="K400" s="1" t="str">
        <f>CONCATENATE(E400,I400,J400)</f>
        <v>30525390086601261684</v>
      </c>
      <c r="L400" s="4">
        <v>21</v>
      </c>
      <c r="M400" s="5">
        <v>301412.21999999997</v>
      </c>
      <c r="N400" s="5">
        <v>5598105.5</v>
      </c>
      <c r="O400" s="5">
        <v>1175602.1399999999</v>
      </c>
      <c r="P400" s="5">
        <v>7361053.3899999997</v>
      </c>
    </row>
    <row r="401" spans="1:16" x14ac:dyDescent="0.25">
      <c r="A401" s="2">
        <v>45406</v>
      </c>
      <c r="B401" s="1" t="s">
        <v>212</v>
      </c>
      <c r="C401" s="1" t="s">
        <v>213</v>
      </c>
      <c r="D401" s="1" t="s">
        <v>16</v>
      </c>
      <c r="E401" s="1" t="s">
        <v>645</v>
      </c>
      <c r="F401" s="3">
        <v>11736</v>
      </c>
      <c r="G401" s="1" t="s">
        <v>17</v>
      </c>
      <c r="H401" s="29" t="s">
        <v>493</v>
      </c>
      <c r="I401" s="1">
        <v>700</v>
      </c>
      <c r="J401" s="1">
        <v>1617317</v>
      </c>
      <c r="K401" s="1" t="str">
        <f>CONCATENATE(E401,I401,J401)</f>
        <v>307158048127001617317</v>
      </c>
      <c r="L401" s="4">
        <v>21</v>
      </c>
      <c r="M401" s="5">
        <v>0</v>
      </c>
      <c r="N401" s="5">
        <v>1818.18</v>
      </c>
      <c r="O401" s="5">
        <v>381.82</v>
      </c>
      <c r="P401" s="5">
        <v>2200</v>
      </c>
    </row>
    <row r="402" spans="1:16" x14ac:dyDescent="0.25">
      <c r="A402" s="2">
        <v>45406</v>
      </c>
      <c r="B402" s="1" t="s">
        <v>212</v>
      </c>
      <c r="C402" s="1" t="s">
        <v>213</v>
      </c>
      <c r="D402" s="1" t="s">
        <v>16</v>
      </c>
      <c r="E402" s="1" t="s">
        <v>645</v>
      </c>
      <c r="F402" s="3">
        <v>11737</v>
      </c>
      <c r="G402" s="1" t="s">
        <v>17</v>
      </c>
      <c r="H402" s="29" t="s">
        <v>494</v>
      </c>
      <c r="I402" s="1">
        <v>700</v>
      </c>
      <c r="J402" s="1">
        <v>1634183</v>
      </c>
      <c r="K402" s="1" t="str">
        <f>CONCATENATE(E402,I402,J402)</f>
        <v>307158048127001634183</v>
      </c>
      <c r="L402" s="4">
        <v>21</v>
      </c>
      <c r="M402" s="5">
        <v>0</v>
      </c>
      <c r="N402" s="5">
        <v>5909.09</v>
      </c>
      <c r="O402" s="5">
        <v>1240.9100000000001</v>
      </c>
      <c r="P402" s="5">
        <v>7445.45</v>
      </c>
    </row>
    <row r="403" spans="1:16" x14ac:dyDescent="0.25">
      <c r="A403" s="30">
        <v>45406</v>
      </c>
      <c r="B403" s="31" t="s">
        <v>219</v>
      </c>
      <c r="C403" s="31" t="s">
        <v>220</v>
      </c>
      <c r="D403" s="31" t="s">
        <v>16</v>
      </c>
      <c r="E403" s="31" t="s">
        <v>646</v>
      </c>
      <c r="F403" s="32">
        <v>11502</v>
      </c>
      <c r="G403" s="31" t="s">
        <v>17</v>
      </c>
      <c r="H403" s="31" t="s">
        <v>495</v>
      </c>
      <c r="I403" s="31">
        <v>702</v>
      </c>
      <c r="J403" s="31">
        <v>422328</v>
      </c>
      <c r="K403" s="31" t="str">
        <f>CONCATENATE(E403,I403,J403)</f>
        <v>30500858628702422328</v>
      </c>
      <c r="L403" s="33">
        <v>3</v>
      </c>
      <c r="M403" s="34">
        <v>0</v>
      </c>
      <c r="N403" s="34">
        <v>0</v>
      </c>
      <c r="O403" s="34">
        <v>24232.98</v>
      </c>
      <c r="P403" s="34">
        <v>0</v>
      </c>
    </row>
    <row r="404" spans="1:16" x14ac:dyDescent="0.25">
      <c r="A404" s="2">
        <v>45406</v>
      </c>
      <c r="B404" s="1" t="s">
        <v>219</v>
      </c>
      <c r="C404" s="1" t="s">
        <v>220</v>
      </c>
      <c r="D404" s="1" t="s">
        <v>16</v>
      </c>
      <c r="E404" s="1" t="s">
        <v>646</v>
      </c>
      <c r="F404" s="3">
        <v>11502</v>
      </c>
      <c r="G404" s="1" t="s">
        <v>17</v>
      </c>
      <c r="H404" s="29" t="s">
        <v>495</v>
      </c>
      <c r="I404" s="1">
        <v>702</v>
      </c>
      <c r="J404" s="1">
        <v>422328</v>
      </c>
      <c r="K404" s="1" t="str">
        <f>CONCATENATE(E404,I404,J404)</f>
        <v>30500858628702422328</v>
      </c>
      <c r="L404" s="4">
        <v>21</v>
      </c>
      <c r="M404" s="5">
        <v>0</v>
      </c>
      <c r="N404" s="5">
        <v>807765.81</v>
      </c>
      <c r="O404" s="5">
        <v>169630.82</v>
      </c>
      <c r="P404" s="5">
        <v>1042017.91</v>
      </c>
    </row>
    <row r="405" spans="1:16" x14ac:dyDescent="0.25">
      <c r="A405" s="30">
        <v>45406</v>
      </c>
      <c r="B405" s="31" t="s">
        <v>219</v>
      </c>
      <c r="C405" s="31" t="s">
        <v>220</v>
      </c>
      <c r="D405" s="31" t="s">
        <v>16</v>
      </c>
      <c r="E405" s="31" t="s">
        <v>646</v>
      </c>
      <c r="F405" s="32">
        <v>11505</v>
      </c>
      <c r="G405" s="31" t="s">
        <v>17</v>
      </c>
      <c r="H405" s="31" t="s">
        <v>496</v>
      </c>
      <c r="I405" s="31">
        <v>702</v>
      </c>
      <c r="J405" s="31">
        <v>422329</v>
      </c>
      <c r="K405" s="31" t="str">
        <f>CONCATENATE(E405,I405,J405)</f>
        <v>30500858628702422329</v>
      </c>
      <c r="L405" s="33">
        <v>3</v>
      </c>
      <c r="M405" s="34">
        <v>0</v>
      </c>
      <c r="N405" s="34">
        <v>0</v>
      </c>
      <c r="O405" s="34">
        <v>59065.79</v>
      </c>
      <c r="P405" s="34">
        <v>0</v>
      </c>
    </row>
    <row r="406" spans="1:16" x14ac:dyDescent="0.25">
      <c r="A406" s="2">
        <v>45406</v>
      </c>
      <c r="B406" s="1" t="s">
        <v>219</v>
      </c>
      <c r="C406" s="1" t="s">
        <v>220</v>
      </c>
      <c r="D406" s="1" t="s">
        <v>16</v>
      </c>
      <c r="E406" s="1" t="s">
        <v>646</v>
      </c>
      <c r="F406" s="3">
        <v>11505</v>
      </c>
      <c r="G406" s="1" t="s">
        <v>17</v>
      </c>
      <c r="H406" s="29" t="s">
        <v>496</v>
      </c>
      <c r="I406" s="1">
        <v>702</v>
      </c>
      <c r="J406" s="1">
        <v>422329</v>
      </c>
      <c r="K406" s="1" t="str">
        <f>CONCATENATE(E406,I406,J406)</f>
        <v>30500858628702422329</v>
      </c>
      <c r="L406" s="4">
        <v>21</v>
      </c>
      <c r="M406" s="5">
        <v>0</v>
      </c>
      <c r="N406" s="5">
        <v>1968859.77</v>
      </c>
      <c r="O406" s="5">
        <v>413460.55</v>
      </c>
      <c r="P406" s="5">
        <v>2539829.1</v>
      </c>
    </row>
    <row r="407" spans="1:16" x14ac:dyDescent="0.25">
      <c r="A407" s="30">
        <v>45406</v>
      </c>
      <c r="B407" s="31" t="s">
        <v>219</v>
      </c>
      <c r="C407" s="31" t="s">
        <v>220</v>
      </c>
      <c r="D407" s="31" t="s">
        <v>16</v>
      </c>
      <c r="E407" s="31" t="s">
        <v>646</v>
      </c>
      <c r="F407" s="32">
        <v>11503</v>
      </c>
      <c r="G407" s="31" t="s">
        <v>17</v>
      </c>
      <c r="H407" s="31" t="s">
        <v>497</v>
      </c>
      <c r="I407" s="31">
        <v>702</v>
      </c>
      <c r="J407" s="31">
        <v>422330</v>
      </c>
      <c r="K407" s="31" t="str">
        <f>CONCATENATE(E407,I407,J407)</f>
        <v>30500858628702422330</v>
      </c>
      <c r="L407" s="33">
        <v>3</v>
      </c>
      <c r="M407" s="34">
        <v>0</v>
      </c>
      <c r="N407" s="34">
        <v>0</v>
      </c>
      <c r="O407" s="34">
        <v>9059.8799999999992</v>
      </c>
      <c r="P407" s="34">
        <v>0</v>
      </c>
    </row>
    <row r="408" spans="1:16" x14ac:dyDescent="0.25">
      <c r="A408" s="2">
        <v>45406</v>
      </c>
      <c r="B408" s="1" t="s">
        <v>219</v>
      </c>
      <c r="C408" s="1" t="s">
        <v>220</v>
      </c>
      <c r="D408" s="1" t="s">
        <v>16</v>
      </c>
      <c r="E408" s="1" t="s">
        <v>646</v>
      </c>
      <c r="F408" s="3">
        <v>11503</v>
      </c>
      <c r="G408" s="1" t="s">
        <v>17</v>
      </c>
      <c r="H408" s="29" t="s">
        <v>497</v>
      </c>
      <c r="I408" s="1">
        <v>702</v>
      </c>
      <c r="J408" s="1">
        <v>422330</v>
      </c>
      <c r="K408" s="1" t="str">
        <f>CONCATENATE(E408,I408,J408)</f>
        <v>30500858628702422330</v>
      </c>
      <c r="L408" s="4">
        <v>21</v>
      </c>
      <c r="M408" s="5">
        <v>0</v>
      </c>
      <c r="N408" s="5">
        <v>301995.88</v>
      </c>
      <c r="O408" s="5">
        <v>63419.13</v>
      </c>
      <c r="P408" s="5">
        <v>389574.69</v>
      </c>
    </row>
    <row r="409" spans="1:16" x14ac:dyDescent="0.25">
      <c r="A409" s="30">
        <v>45406</v>
      </c>
      <c r="B409" s="31" t="s">
        <v>219</v>
      </c>
      <c r="C409" s="31" t="s">
        <v>220</v>
      </c>
      <c r="D409" s="31" t="s">
        <v>16</v>
      </c>
      <c r="E409" s="31" t="s">
        <v>646</v>
      </c>
      <c r="F409" s="32">
        <v>11504</v>
      </c>
      <c r="G409" s="31" t="s">
        <v>17</v>
      </c>
      <c r="H409" s="31" t="s">
        <v>498</v>
      </c>
      <c r="I409" s="31">
        <v>702</v>
      </c>
      <c r="J409" s="31">
        <v>422331</v>
      </c>
      <c r="K409" s="31" t="str">
        <f>CONCATENATE(E409,I409,J409)</f>
        <v>30500858628702422331</v>
      </c>
      <c r="L409" s="33">
        <v>3</v>
      </c>
      <c r="M409" s="34">
        <v>0</v>
      </c>
      <c r="N409" s="34">
        <v>0</v>
      </c>
      <c r="O409" s="34">
        <v>37891.839999999997</v>
      </c>
      <c r="P409" s="34">
        <v>0</v>
      </c>
    </row>
    <row r="410" spans="1:16" x14ac:dyDescent="0.25">
      <c r="A410" s="2">
        <v>45406</v>
      </c>
      <c r="B410" s="1" t="s">
        <v>219</v>
      </c>
      <c r="C410" s="1" t="s">
        <v>220</v>
      </c>
      <c r="D410" s="1" t="s">
        <v>16</v>
      </c>
      <c r="E410" s="1" t="s">
        <v>646</v>
      </c>
      <c r="F410" s="3">
        <v>11504</v>
      </c>
      <c r="G410" s="1" t="s">
        <v>17</v>
      </c>
      <c r="H410" s="29" t="s">
        <v>498</v>
      </c>
      <c r="I410" s="1">
        <v>702</v>
      </c>
      <c r="J410" s="1">
        <v>422331</v>
      </c>
      <c r="K410" s="1" t="str">
        <f>CONCATENATE(E410,I410,J410)</f>
        <v>30500858628702422331</v>
      </c>
      <c r="L410" s="4">
        <v>21</v>
      </c>
      <c r="M410" s="5">
        <v>0</v>
      </c>
      <c r="N410" s="5">
        <v>1263061.23</v>
      </c>
      <c r="O410" s="5">
        <v>265242.86</v>
      </c>
      <c r="P410" s="5">
        <v>1629348.99</v>
      </c>
    </row>
    <row r="411" spans="1:16" x14ac:dyDescent="0.25">
      <c r="A411" s="2">
        <v>45406</v>
      </c>
      <c r="B411" s="1" t="s">
        <v>499</v>
      </c>
      <c r="C411" s="1" t="s">
        <v>500</v>
      </c>
      <c r="D411" s="1" t="s">
        <v>16</v>
      </c>
      <c r="E411" s="1" t="s">
        <v>696</v>
      </c>
      <c r="F411" s="3">
        <v>11704</v>
      </c>
      <c r="G411" s="1" t="s">
        <v>17</v>
      </c>
      <c r="H411" s="29" t="s">
        <v>501</v>
      </c>
      <c r="I411" s="1">
        <v>1411</v>
      </c>
      <c r="J411" s="1">
        <v>4486</v>
      </c>
      <c r="K411" s="1" t="str">
        <f>CONCATENATE(E411,I411,J411)</f>
        <v>3053774574214114486</v>
      </c>
      <c r="L411" s="4">
        <v>21</v>
      </c>
      <c r="M411" s="5">
        <v>0</v>
      </c>
      <c r="N411" s="5">
        <v>134038.79999999999</v>
      </c>
      <c r="O411" s="5">
        <v>28148.15</v>
      </c>
      <c r="P411" s="5">
        <v>168888.89</v>
      </c>
    </row>
    <row r="412" spans="1:16" x14ac:dyDescent="0.25">
      <c r="A412" s="2">
        <v>45407</v>
      </c>
      <c r="B412" s="1" t="s">
        <v>132</v>
      </c>
      <c r="C412" s="1" t="s">
        <v>133</v>
      </c>
      <c r="D412" s="1" t="s">
        <v>16</v>
      </c>
      <c r="E412" s="1" t="s">
        <v>621</v>
      </c>
      <c r="F412" s="3">
        <v>11557</v>
      </c>
      <c r="G412" s="1" t="s">
        <v>17</v>
      </c>
      <c r="H412" s="29" t="s">
        <v>502</v>
      </c>
      <c r="I412" s="1">
        <v>3</v>
      </c>
      <c r="J412" s="1">
        <v>100028</v>
      </c>
      <c r="K412" s="1" t="str">
        <f>CONCATENATE(E412,I412,J412)</f>
        <v>307039574783100028</v>
      </c>
      <c r="L412" s="4">
        <v>21</v>
      </c>
      <c r="M412" s="5">
        <v>0</v>
      </c>
      <c r="N412" s="5">
        <v>1846328.47</v>
      </c>
      <c r="O412" s="5">
        <v>387728.98</v>
      </c>
      <c r="P412" s="5">
        <v>2270984.02</v>
      </c>
    </row>
    <row r="413" spans="1:16" x14ac:dyDescent="0.25">
      <c r="A413" s="2">
        <v>45407</v>
      </c>
      <c r="B413" s="1" t="s">
        <v>26</v>
      </c>
      <c r="C413" s="1" t="s">
        <v>27</v>
      </c>
      <c r="D413" s="1" t="s">
        <v>16</v>
      </c>
      <c r="E413" s="1" t="s">
        <v>591</v>
      </c>
      <c r="F413" s="3">
        <v>11586</v>
      </c>
      <c r="G413" s="1" t="s">
        <v>17</v>
      </c>
      <c r="H413" s="29" t="s">
        <v>503</v>
      </c>
      <c r="I413" s="1">
        <v>4</v>
      </c>
      <c r="J413" s="1">
        <v>1428</v>
      </c>
      <c r="K413" s="1" t="str">
        <f>CONCATENATE(E413,I413,J413)</f>
        <v>2024334867741428</v>
      </c>
      <c r="L413" s="4">
        <v>10.5</v>
      </c>
      <c r="M413" s="5">
        <v>0</v>
      </c>
      <c r="N413" s="5">
        <v>3270000</v>
      </c>
      <c r="O413" s="5">
        <v>343350</v>
      </c>
      <c r="P413" s="5">
        <v>3613350</v>
      </c>
    </row>
    <row r="414" spans="1:16" s="42" customFormat="1" x14ac:dyDescent="0.25">
      <c r="A414" s="37">
        <v>45407</v>
      </c>
      <c r="B414" s="38" t="s">
        <v>77</v>
      </c>
      <c r="C414" s="38" t="s">
        <v>78</v>
      </c>
      <c r="D414" s="38" t="s">
        <v>16</v>
      </c>
      <c r="E414" s="38" t="s">
        <v>606</v>
      </c>
      <c r="F414" s="39">
        <v>11577</v>
      </c>
      <c r="G414" s="38" t="s">
        <v>17</v>
      </c>
      <c r="H414" s="38" t="s">
        <v>504</v>
      </c>
      <c r="I414" s="38">
        <v>8</v>
      </c>
      <c r="J414" s="38">
        <v>115567</v>
      </c>
      <c r="K414" s="38" t="str">
        <f>CONCATENATE(E414,I414,J414)</f>
        <v>337079014098115567</v>
      </c>
      <c r="L414" s="40">
        <v>21</v>
      </c>
      <c r="M414" s="41">
        <v>11241.32</v>
      </c>
      <c r="N414" s="41">
        <v>121292.39</v>
      </c>
      <c r="O414" s="41">
        <v>25471.4</v>
      </c>
      <c r="P414" s="41">
        <v>158005.10999999999</v>
      </c>
    </row>
    <row r="415" spans="1:16" x14ac:dyDescent="0.25">
      <c r="A415" s="2">
        <v>45407</v>
      </c>
      <c r="B415" s="1" t="s">
        <v>505</v>
      </c>
      <c r="C415" s="1" t="s">
        <v>506</v>
      </c>
      <c r="D415" s="1" t="s">
        <v>16</v>
      </c>
      <c r="E415" s="1" t="s">
        <v>697</v>
      </c>
      <c r="F415" s="3">
        <v>11685</v>
      </c>
      <c r="G415" s="1" t="s">
        <v>17</v>
      </c>
      <c r="H415" s="29" t="s">
        <v>507</v>
      </c>
      <c r="I415" s="1">
        <v>10</v>
      </c>
      <c r="J415" s="1">
        <v>79515</v>
      </c>
      <c r="K415" s="1" t="str">
        <f>CONCATENATE(E415,I415,J415)</f>
        <v>306124309731079515</v>
      </c>
      <c r="L415" s="4">
        <v>10.5</v>
      </c>
      <c r="M415" s="5">
        <v>0</v>
      </c>
      <c r="N415" s="5">
        <v>32678.73</v>
      </c>
      <c r="O415" s="5">
        <v>3431.27</v>
      </c>
      <c r="P415" s="5">
        <v>36763.57</v>
      </c>
    </row>
    <row r="416" spans="1:16" x14ac:dyDescent="0.25">
      <c r="A416" s="30">
        <v>45407</v>
      </c>
      <c r="B416" s="31" t="s">
        <v>144</v>
      </c>
      <c r="C416" s="31" t="s">
        <v>145</v>
      </c>
      <c r="D416" s="31" t="s">
        <v>16</v>
      </c>
      <c r="E416" s="31" t="s">
        <v>625</v>
      </c>
      <c r="F416" s="32">
        <v>11634</v>
      </c>
      <c r="G416" s="31" t="s">
        <v>17</v>
      </c>
      <c r="H416" s="31" t="s">
        <v>508</v>
      </c>
      <c r="I416" s="31">
        <v>46</v>
      </c>
      <c r="J416" s="31">
        <v>399824</v>
      </c>
      <c r="K416" s="31" t="str">
        <f>CONCATENATE(E416,I416,J416)</f>
        <v>3053214979346399824</v>
      </c>
      <c r="L416" s="33">
        <v>3</v>
      </c>
      <c r="M416" s="34">
        <v>0</v>
      </c>
      <c r="N416" s="34">
        <v>0</v>
      </c>
      <c r="O416" s="34">
        <v>101708.98</v>
      </c>
      <c r="P416" s="34">
        <v>0</v>
      </c>
    </row>
    <row r="417" spans="1:16" x14ac:dyDescent="0.25">
      <c r="A417" s="2">
        <v>45407</v>
      </c>
      <c r="B417" s="1" t="s">
        <v>144</v>
      </c>
      <c r="C417" s="1" t="s">
        <v>145</v>
      </c>
      <c r="D417" s="1" t="s">
        <v>16</v>
      </c>
      <c r="E417" s="1" t="s">
        <v>625</v>
      </c>
      <c r="F417" s="3">
        <v>11634</v>
      </c>
      <c r="G417" s="1" t="s">
        <v>17</v>
      </c>
      <c r="H417" s="29" t="s">
        <v>508</v>
      </c>
      <c r="I417" s="1">
        <v>46</v>
      </c>
      <c r="J417" s="1">
        <v>399824</v>
      </c>
      <c r="K417" s="1" t="str">
        <f>CONCATENATE(E417,I417,J417)</f>
        <v>3053214979346399824</v>
      </c>
      <c r="L417" s="4">
        <v>21</v>
      </c>
      <c r="M417" s="5">
        <v>0</v>
      </c>
      <c r="N417" s="5">
        <v>3390299.2</v>
      </c>
      <c r="O417" s="5">
        <v>711962.83</v>
      </c>
      <c r="P417" s="5">
        <v>4271776.99</v>
      </c>
    </row>
    <row r="418" spans="1:16" x14ac:dyDescent="0.25">
      <c r="A418" s="30">
        <v>45407</v>
      </c>
      <c r="B418" s="31" t="s">
        <v>509</v>
      </c>
      <c r="C418" s="31" t="s">
        <v>510</v>
      </c>
      <c r="D418" s="31" t="s">
        <v>16</v>
      </c>
      <c r="E418" s="31" t="s">
        <v>698</v>
      </c>
      <c r="F418" s="32">
        <v>11608</v>
      </c>
      <c r="G418" s="31" t="s">
        <v>17</v>
      </c>
      <c r="H418" s="31" t="s">
        <v>511</v>
      </c>
      <c r="I418" s="31">
        <v>110</v>
      </c>
      <c r="J418" s="31">
        <v>88196</v>
      </c>
      <c r="K418" s="31" t="str">
        <f>CONCATENATE(E418,I418,J418)</f>
        <v>3071130359211088196</v>
      </c>
      <c r="L418" s="33">
        <v>3</v>
      </c>
      <c r="M418" s="34">
        <v>0</v>
      </c>
      <c r="N418" s="34">
        <v>0</v>
      </c>
      <c r="O418" s="34">
        <v>203447.94</v>
      </c>
      <c r="P418" s="34">
        <v>0</v>
      </c>
    </row>
    <row r="419" spans="1:16" x14ac:dyDescent="0.25">
      <c r="A419" s="2">
        <v>45407</v>
      </c>
      <c r="B419" s="1" t="s">
        <v>509</v>
      </c>
      <c r="C419" s="1" t="s">
        <v>510</v>
      </c>
      <c r="D419" s="1" t="s">
        <v>16</v>
      </c>
      <c r="E419" s="1" t="s">
        <v>698</v>
      </c>
      <c r="F419" s="3">
        <v>11608</v>
      </c>
      <c r="G419" s="1" t="s">
        <v>17</v>
      </c>
      <c r="H419" s="29" t="s">
        <v>511</v>
      </c>
      <c r="I419" s="1">
        <v>110</v>
      </c>
      <c r="J419" s="1">
        <v>88196</v>
      </c>
      <c r="K419" s="1" t="str">
        <f>CONCATENATE(E419,I419,J419)</f>
        <v>3071130359211088196</v>
      </c>
      <c r="L419" s="4">
        <v>21</v>
      </c>
      <c r="M419" s="5">
        <v>0</v>
      </c>
      <c r="N419" s="5">
        <v>6781598.21</v>
      </c>
      <c r="O419" s="5">
        <v>1424135.62</v>
      </c>
      <c r="P419" s="5">
        <v>8748261.6799999997</v>
      </c>
    </row>
    <row r="420" spans="1:16" x14ac:dyDescent="0.25">
      <c r="A420" s="30">
        <v>45407</v>
      </c>
      <c r="B420" s="31" t="s">
        <v>509</v>
      </c>
      <c r="C420" s="31" t="s">
        <v>510</v>
      </c>
      <c r="D420" s="31" t="s">
        <v>16</v>
      </c>
      <c r="E420" s="31" t="s">
        <v>698</v>
      </c>
      <c r="F420" s="32">
        <v>11609</v>
      </c>
      <c r="G420" s="31" t="s">
        <v>21</v>
      </c>
      <c r="H420" s="31" t="s">
        <v>516</v>
      </c>
      <c r="I420" s="31">
        <v>110</v>
      </c>
      <c r="J420" s="31">
        <v>94739</v>
      </c>
      <c r="K420" s="31" t="str">
        <f>CONCATENATE(E420,I420,J420)</f>
        <v>3071130359211094739</v>
      </c>
      <c r="L420" s="33">
        <v>3</v>
      </c>
      <c r="M420" s="34">
        <v>0</v>
      </c>
      <c r="N420" s="34">
        <v>0</v>
      </c>
      <c r="O420" s="34">
        <v>-12044.12</v>
      </c>
      <c r="P420" s="34">
        <v>0</v>
      </c>
    </row>
    <row r="421" spans="1:16" x14ac:dyDescent="0.25">
      <c r="A421" s="2">
        <v>45407</v>
      </c>
      <c r="B421" s="1" t="s">
        <v>509</v>
      </c>
      <c r="C421" s="1" t="s">
        <v>510</v>
      </c>
      <c r="D421" s="1" t="s">
        <v>16</v>
      </c>
      <c r="E421" s="1" t="s">
        <v>698</v>
      </c>
      <c r="F421" s="3">
        <v>11609</v>
      </c>
      <c r="G421" s="1" t="s">
        <v>21</v>
      </c>
      <c r="H421" s="29" t="s">
        <v>516</v>
      </c>
      <c r="I421" s="1">
        <v>110</v>
      </c>
      <c r="J421" s="1">
        <v>94739</v>
      </c>
      <c r="K421" s="1" t="str">
        <f>CONCATENATE(E421,I421,J421)</f>
        <v>3071130359211094739</v>
      </c>
      <c r="L421" s="4">
        <v>21</v>
      </c>
      <c r="M421" s="5">
        <v>0</v>
      </c>
      <c r="N421" s="5">
        <v>-401470.61</v>
      </c>
      <c r="O421" s="5">
        <v>-84308.83</v>
      </c>
      <c r="P421" s="5">
        <v>-497823.56</v>
      </c>
    </row>
    <row r="422" spans="1:16" x14ac:dyDescent="0.25">
      <c r="A422" s="2">
        <v>45407</v>
      </c>
      <c r="B422" s="1" t="s">
        <v>305</v>
      </c>
      <c r="C422" s="1" t="s">
        <v>306</v>
      </c>
      <c r="D422" s="1" t="s">
        <v>16</v>
      </c>
      <c r="E422" s="1" t="s">
        <v>666</v>
      </c>
      <c r="F422" s="3">
        <v>11581</v>
      </c>
      <c r="G422" s="1" t="s">
        <v>21</v>
      </c>
      <c r="H422" s="29" t="s">
        <v>517</v>
      </c>
      <c r="I422" s="1">
        <v>135</v>
      </c>
      <c r="J422" s="1">
        <v>221405</v>
      </c>
      <c r="K422" s="1" t="str">
        <f>CONCATENATE(E422,I422,J422)</f>
        <v>30566108352135221405</v>
      </c>
      <c r="L422" s="4">
        <v>21</v>
      </c>
      <c r="M422" s="5">
        <v>0</v>
      </c>
      <c r="N422" s="5">
        <v>-252834.3</v>
      </c>
      <c r="O422" s="5">
        <v>-53095.199999999997</v>
      </c>
      <c r="P422" s="5">
        <v>-305929.5</v>
      </c>
    </row>
    <row r="423" spans="1:16" x14ac:dyDescent="0.25">
      <c r="A423" s="2">
        <v>45407</v>
      </c>
      <c r="B423" s="1" t="s">
        <v>305</v>
      </c>
      <c r="C423" s="1" t="s">
        <v>306</v>
      </c>
      <c r="D423" s="1" t="s">
        <v>16</v>
      </c>
      <c r="E423" s="1" t="s">
        <v>666</v>
      </c>
      <c r="F423" s="3">
        <v>11580</v>
      </c>
      <c r="G423" s="1" t="s">
        <v>21</v>
      </c>
      <c r="H423" s="29" t="s">
        <v>518</v>
      </c>
      <c r="I423" s="1">
        <v>135</v>
      </c>
      <c r="J423" s="1">
        <v>221406</v>
      </c>
      <c r="K423" s="1" t="str">
        <f>CONCATENATE(E423,I423,J423)</f>
        <v>30566108352135221406</v>
      </c>
      <c r="L423" s="4">
        <v>21</v>
      </c>
      <c r="M423" s="5">
        <v>0</v>
      </c>
      <c r="N423" s="5">
        <v>-189625.73</v>
      </c>
      <c r="O423" s="5">
        <v>-39821.4</v>
      </c>
      <c r="P423" s="5">
        <v>-229447.13</v>
      </c>
    </row>
    <row r="424" spans="1:16" x14ac:dyDescent="0.25">
      <c r="A424" s="30">
        <v>45407</v>
      </c>
      <c r="B424" s="31" t="s">
        <v>185</v>
      </c>
      <c r="C424" s="31" t="s">
        <v>186</v>
      </c>
      <c r="D424" s="31" t="s">
        <v>16</v>
      </c>
      <c r="E424" s="31" t="s">
        <v>637</v>
      </c>
      <c r="F424" s="32">
        <v>11616</v>
      </c>
      <c r="G424" s="31" t="s">
        <v>17</v>
      </c>
      <c r="H424" s="31" t="s">
        <v>512</v>
      </c>
      <c r="I424" s="31">
        <v>622</v>
      </c>
      <c r="J424" s="31">
        <v>272491</v>
      </c>
      <c r="K424" s="31" t="str">
        <f>CONCATENATE(E424,I424,J424)</f>
        <v>30682032630622272491</v>
      </c>
      <c r="L424" s="33">
        <v>3</v>
      </c>
      <c r="M424" s="34">
        <v>0</v>
      </c>
      <c r="N424" s="34">
        <v>0</v>
      </c>
      <c r="O424" s="34">
        <v>19903.93</v>
      </c>
      <c r="P424" s="34">
        <v>0</v>
      </c>
    </row>
    <row r="425" spans="1:16" x14ac:dyDescent="0.25">
      <c r="A425" s="2">
        <v>45407</v>
      </c>
      <c r="B425" s="1" t="s">
        <v>185</v>
      </c>
      <c r="C425" s="1" t="s">
        <v>186</v>
      </c>
      <c r="D425" s="1" t="s">
        <v>16</v>
      </c>
      <c r="E425" s="1" t="s">
        <v>637</v>
      </c>
      <c r="F425" s="3">
        <v>11616</v>
      </c>
      <c r="G425" s="1" t="s">
        <v>17</v>
      </c>
      <c r="H425" s="29" t="s">
        <v>512</v>
      </c>
      <c r="I425" s="1">
        <v>622</v>
      </c>
      <c r="J425" s="1">
        <v>272491</v>
      </c>
      <c r="K425" s="1" t="str">
        <f>CONCATENATE(E425,I425,J425)</f>
        <v>30682032630622272491</v>
      </c>
      <c r="L425" s="4">
        <v>21</v>
      </c>
      <c r="M425" s="5">
        <v>0</v>
      </c>
      <c r="N425" s="5">
        <v>663464.24</v>
      </c>
      <c r="O425" s="5">
        <v>139327.49</v>
      </c>
      <c r="P425" s="5">
        <v>855868.87</v>
      </c>
    </row>
    <row r="426" spans="1:16" s="42" customFormat="1" x14ac:dyDescent="0.25">
      <c r="A426" s="37">
        <v>45407</v>
      </c>
      <c r="B426" s="38" t="s">
        <v>107</v>
      </c>
      <c r="C426" s="38" t="s">
        <v>108</v>
      </c>
      <c r="D426" s="38" t="s">
        <v>16</v>
      </c>
      <c r="E426" s="38" t="s">
        <v>613</v>
      </c>
      <c r="F426" s="39">
        <v>11578</v>
      </c>
      <c r="G426" s="38" t="s">
        <v>17</v>
      </c>
      <c r="H426" s="38" t="s">
        <v>513</v>
      </c>
      <c r="I426" s="38">
        <v>5227</v>
      </c>
      <c r="J426" s="38">
        <v>13222</v>
      </c>
      <c r="K426" s="38" t="str">
        <f>CONCATENATE(E426,I426,J426)</f>
        <v>30695542476522713222</v>
      </c>
      <c r="L426" s="40">
        <v>3</v>
      </c>
      <c r="M426" s="41">
        <v>0</v>
      </c>
      <c r="N426" s="41">
        <v>0</v>
      </c>
      <c r="O426" s="41">
        <v>3473.08</v>
      </c>
      <c r="P426" s="41">
        <v>0</v>
      </c>
    </row>
    <row r="427" spans="1:16" s="42" customFormat="1" x14ac:dyDescent="0.25">
      <c r="A427" s="37">
        <v>45407</v>
      </c>
      <c r="B427" s="38" t="s">
        <v>107</v>
      </c>
      <c r="C427" s="38" t="s">
        <v>108</v>
      </c>
      <c r="D427" s="38" t="s">
        <v>16</v>
      </c>
      <c r="E427" s="38" t="s">
        <v>613</v>
      </c>
      <c r="F427" s="39">
        <v>11578</v>
      </c>
      <c r="G427" s="38" t="s">
        <v>17</v>
      </c>
      <c r="H427" s="38" t="s">
        <v>513</v>
      </c>
      <c r="I427" s="38">
        <v>5227</v>
      </c>
      <c r="J427" s="38">
        <v>13222</v>
      </c>
      <c r="K427" s="38" t="str">
        <f>CONCATENATE(E427,I427,J427)</f>
        <v>30695542476522713222</v>
      </c>
      <c r="L427" s="40">
        <v>21</v>
      </c>
      <c r="M427" s="41">
        <v>9919.0300000000007</v>
      </c>
      <c r="N427" s="41">
        <v>115769.38</v>
      </c>
      <c r="O427" s="41">
        <v>24311.57</v>
      </c>
      <c r="P427" s="41">
        <v>153473.06</v>
      </c>
    </row>
    <row r="428" spans="1:16" x14ac:dyDescent="0.25">
      <c r="A428" s="30">
        <v>45407</v>
      </c>
      <c r="B428" s="31" t="s">
        <v>158</v>
      </c>
      <c r="C428" s="31" t="s">
        <v>159</v>
      </c>
      <c r="D428" s="31" t="s">
        <v>16</v>
      </c>
      <c r="E428" s="31" t="s">
        <v>629</v>
      </c>
      <c r="F428" s="32">
        <v>11618</v>
      </c>
      <c r="G428" s="31" t="s">
        <v>17</v>
      </c>
      <c r="H428" s="31" t="s">
        <v>514</v>
      </c>
      <c r="I428" s="31">
        <v>6004</v>
      </c>
      <c r="J428" s="31">
        <v>3600825</v>
      </c>
      <c r="K428" s="31" t="str">
        <f>CONCATENATE(E428,I428,J428)</f>
        <v>3050111624260043600825</v>
      </c>
      <c r="L428" s="33">
        <v>3</v>
      </c>
      <c r="M428" s="34">
        <v>0</v>
      </c>
      <c r="N428" s="34">
        <v>0</v>
      </c>
      <c r="O428" s="34">
        <v>8035.23</v>
      </c>
      <c r="P428" s="34">
        <v>0</v>
      </c>
    </row>
    <row r="429" spans="1:16" x14ac:dyDescent="0.25">
      <c r="A429" s="2">
        <v>45407</v>
      </c>
      <c r="B429" s="1" t="s">
        <v>158</v>
      </c>
      <c r="C429" s="1" t="s">
        <v>159</v>
      </c>
      <c r="D429" s="1" t="s">
        <v>16</v>
      </c>
      <c r="E429" s="1" t="s">
        <v>629</v>
      </c>
      <c r="F429" s="3">
        <v>11618</v>
      </c>
      <c r="G429" s="1" t="s">
        <v>17</v>
      </c>
      <c r="H429" s="29" t="s">
        <v>514</v>
      </c>
      <c r="I429" s="1">
        <v>6004</v>
      </c>
      <c r="J429" s="1">
        <v>3600825</v>
      </c>
      <c r="K429" s="1" t="str">
        <f>CONCATENATE(E429,I429,J429)</f>
        <v>3050111624260043600825</v>
      </c>
      <c r="L429" s="4">
        <v>21</v>
      </c>
      <c r="M429" s="5">
        <v>0</v>
      </c>
      <c r="N429" s="5">
        <v>267841.03000000003</v>
      </c>
      <c r="O429" s="5">
        <v>56246.62</v>
      </c>
      <c r="P429" s="5">
        <v>337479.7</v>
      </c>
    </row>
    <row r="430" spans="1:16" x14ac:dyDescent="0.25">
      <c r="A430" s="30">
        <v>45407</v>
      </c>
      <c r="B430" s="31" t="s">
        <v>19</v>
      </c>
      <c r="C430" s="31" t="s">
        <v>20</v>
      </c>
      <c r="D430" s="31" t="s">
        <v>16</v>
      </c>
      <c r="E430" s="31" t="s">
        <v>589</v>
      </c>
      <c r="F430" s="32">
        <v>11811</v>
      </c>
      <c r="G430" s="31" t="s">
        <v>17</v>
      </c>
      <c r="H430" s="31" t="s">
        <v>515</v>
      </c>
      <c r="I430" s="31">
        <v>6156</v>
      </c>
      <c r="J430" s="31">
        <v>6727576</v>
      </c>
      <c r="K430" s="31" t="str">
        <f>CONCATENATE(E430,I430,J430)</f>
        <v>3054724233161566727576</v>
      </c>
      <c r="L430" s="33">
        <v>3</v>
      </c>
      <c r="M430" s="34">
        <v>0</v>
      </c>
      <c r="N430" s="34">
        <v>0</v>
      </c>
      <c r="O430" s="34">
        <v>21312.43</v>
      </c>
      <c r="P430" s="34">
        <v>0</v>
      </c>
    </row>
    <row r="431" spans="1:16" x14ac:dyDescent="0.25">
      <c r="A431" s="2">
        <v>45407</v>
      </c>
      <c r="B431" s="1" t="s">
        <v>19</v>
      </c>
      <c r="C431" s="1" t="s">
        <v>20</v>
      </c>
      <c r="D431" s="1" t="s">
        <v>16</v>
      </c>
      <c r="E431" s="1" t="s">
        <v>589</v>
      </c>
      <c r="F431" s="3">
        <v>11811</v>
      </c>
      <c r="G431" s="1" t="s">
        <v>17</v>
      </c>
      <c r="H431" s="29" t="s">
        <v>515</v>
      </c>
      <c r="I431" s="1">
        <v>6156</v>
      </c>
      <c r="J431" s="1">
        <v>6727576</v>
      </c>
      <c r="K431" s="1" t="str">
        <f>CONCATENATE(E431,I431,J431)</f>
        <v>3054724233161566727576</v>
      </c>
      <c r="L431" s="4">
        <v>21</v>
      </c>
      <c r="M431" s="5">
        <v>0</v>
      </c>
      <c r="N431" s="5">
        <v>727565.13</v>
      </c>
      <c r="O431" s="5">
        <v>152788.68</v>
      </c>
      <c r="P431" s="5">
        <v>916217.54</v>
      </c>
    </row>
    <row r="432" spans="1:16" x14ac:dyDescent="0.25">
      <c r="A432" s="2">
        <v>45408</v>
      </c>
      <c r="B432" s="1" t="s">
        <v>245</v>
      </c>
      <c r="C432" s="1" t="s">
        <v>246</v>
      </c>
      <c r="D432" s="1" t="s">
        <v>16</v>
      </c>
      <c r="E432" s="1" t="s">
        <v>651</v>
      </c>
      <c r="F432" s="3">
        <v>11703</v>
      </c>
      <c r="G432" s="1" t="s">
        <v>17</v>
      </c>
      <c r="H432" s="29" t="s">
        <v>519</v>
      </c>
      <c r="I432" s="1">
        <v>3</v>
      </c>
      <c r="J432" s="1">
        <v>5224</v>
      </c>
      <c r="K432" s="1" t="str">
        <f>CONCATENATE(E432,I432,J432)</f>
        <v>3371419199935224</v>
      </c>
      <c r="L432" s="4">
        <v>21</v>
      </c>
      <c r="M432" s="5">
        <v>0</v>
      </c>
      <c r="N432" s="5">
        <v>669850</v>
      </c>
      <c r="O432" s="5">
        <v>140668.5</v>
      </c>
      <c r="P432" s="5">
        <v>810518.5</v>
      </c>
    </row>
    <row r="433" spans="1:16" x14ac:dyDescent="0.25">
      <c r="A433" s="2">
        <v>45408</v>
      </c>
      <c r="B433" s="1" t="s">
        <v>277</v>
      </c>
      <c r="C433" s="1" t="s">
        <v>278</v>
      </c>
      <c r="D433" s="1" t="s">
        <v>16</v>
      </c>
      <c r="E433" s="1" t="s">
        <v>659</v>
      </c>
      <c r="F433" s="3">
        <v>11698</v>
      </c>
      <c r="G433" s="1" t="s">
        <v>21</v>
      </c>
      <c r="H433" s="29" t="s">
        <v>532</v>
      </c>
      <c r="I433" s="1">
        <v>5</v>
      </c>
      <c r="J433" s="1">
        <v>98</v>
      </c>
      <c r="K433" s="1" t="str">
        <f>CONCATENATE(E433,I433,J433)</f>
        <v>30713239808598</v>
      </c>
      <c r="L433" s="4">
        <v>21</v>
      </c>
      <c r="M433" s="5">
        <v>0</v>
      </c>
      <c r="N433" s="5">
        <v>-7596288</v>
      </c>
      <c r="O433" s="5">
        <v>-1595220.48</v>
      </c>
      <c r="P433" s="5">
        <v>-9191508.4800000004</v>
      </c>
    </row>
    <row r="434" spans="1:16" x14ac:dyDescent="0.25">
      <c r="A434" s="30">
        <v>45408</v>
      </c>
      <c r="B434" s="31" t="s">
        <v>520</v>
      </c>
      <c r="C434" s="31" t="s">
        <v>521</v>
      </c>
      <c r="D434" s="31" t="s">
        <v>16</v>
      </c>
      <c r="E434" s="31" t="s">
        <v>699</v>
      </c>
      <c r="F434" s="32">
        <v>11633</v>
      </c>
      <c r="G434" s="31" t="s">
        <v>17</v>
      </c>
      <c r="H434" s="31" t="s">
        <v>522</v>
      </c>
      <c r="I434" s="31">
        <v>9</v>
      </c>
      <c r="J434" s="31">
        <v>40487</v>
      </c>
      <c r="K434" s="31" t="str">
        <f>CONCATENATE(E434,I434,J434)</f>
        <v>30585754869940487</v>
      </c>
      <c r="L434" s="33">
        <v>3</v>
      </c>
      <c r="M434" s="34">
        <v>0</v>
      </c>
      <c r="N434" s="34">
        <v>0</v>
      </c>
      <c r="O434" s="34">
        <v>20985.119999999999</v>
      </c>
      <c r="P434" s="34">
        <v>0</v>
      </c>
    </row>
    <row r="435" spans="1:16" x14ac:dyDescent="0.25">
      <c r="A435" s="2">
        <v>45408</v>
      </c>
      <c r="B435" s="1" t="s">
        <v>520</v>
      </c>
      <c r="C435" s="1" t="s">
        <v>521</v>
      </c>
      <c r="D435" s="1" t="s">
        <v>16</v>
      </c>
      <c r="E435" s="1" t="s">
        <v>699</v>
      </c>
      <c r="F435" s="3">
        <v>11633</v>
      </c>
      <c r="G435" s="1" t="s">
        <v>17</v>
      </c>
      <c r="H435" s="29" t="s">
        <v>522</v>
      </c>
      <c r="I435" s="1">
        <v>9</v>
      </c>
      <c r="J435" s="1">
        <v>40487</v>
      </c>
      <c r="K435" s="1" t="str">
        <f>CONCATENATE(E435,I435,J435)</f>
        <v>30585754869940487</v>
      </c>
      <c r="L435" s="4">
        <v>21</v>
      </c>
      <c r="M435" s="5">
        <v>0</v>
      </c>
      <c r="N435" s="5">
        <v>699504.14</v>
      </c>
      <c r="O435" s="5">
        <v>146895.87</v>
      </c>
      <c r="P435" s="5">
        <v>902360.33</v>
      </c>
    </row>
    <row r="436" spans="1:16" s="42" customFormat="1" x14ac:dyDescent="0.25">
      <c r="A436" s="37">
        <v>45408</v>
      </c>
      <c r="B436" s="38" t="s">
        <v>523</v>
      </c>
      <c r="C436" s="38" t="s">
        <v>524</v>
      </c>
      <c r="D436" s="38" t="s">
        <v>16</v>
      </c>
      <c r="E436" s="38" t="s">
        <v>700</v>
      </c>
      <c r="F436" s="39">
        <v>11643</v>
      </c>
      <c r="G436" s="38" t="s">
        <v>17</v>
      </c>
      <c r="H436" s="38" t="s">
        <v>525</v>
      </c>
      <c r="I436" s="38">
        <v>41</v>
      </c>
      <c r="J436" s="38">
        <v>2687</v>
      </c>
      <c r="K436" s="38" t="str">
        <f>CONCATENATE(E436,I436,J436)</f>
        <v>30708251697412687</v>
      </c>
      <c r="L436" s="40">
        <v>21</v>
      </c>
      <c r="M436" s="41">
        <v>2245.4</v>
      </c>
      <c r="N436" s="41">
        <v>22937.69</v>
      </c>
      <c r="O436" s="41">
        <v>4816.91</v>
      </c>
      <c r="P436" s="41">
        <v>30000</v>
      </c>
    </row>
    <row r="437" spans="1:16" x14ac:dyDescent="0.25">
      <c r="A437" s="30">
        <v>45408</v>
      </c>
      <c r="B437" s="31" t="s">
        <v>438</v>
      </c>
      <c r="C437" s="31" t="s">
        <v>439</v>
      </c>
      <c r="D437" s="31" t="s">
        <v>16</v>
      </c>
      <c r="E437" s="31" t="s">
        <v>691</v>
      </c>
      <c r="F437" s="32">
        <v>11701</v>
      </c>
      <c r="G437" s="31" t="s">
        <v>17</v>
      </c>
      <c r="H437" s="31" t="s">
        <v>526</v>
      </c>
      <c r="I437" s="31">
        <v>90</v>
      </c>
      <c r="J437" s="31">
        <v>436576</v>
      </c>
      <c r="K437" s="31" t="str">
        <f>CONCATENATE(E437,I437,J437)</f>
        <v>3070705980690436576</v>
      </c>
      <c r="L437" s="33">
        <v>3</v>
      </c>
      <c r="M437" s="34">
        <v>0</v>
      </c>
      <c r="N437" s="34">
        <v>0</v>
      </c>
      <c r="O437" s="34">
        <v>18868.5</v>
      </c>
      <c r="P437" s="34">
        <v>0</v>
      </c>
    </row>
    <row r="438" spans="1:16" x14ac:dyDescent="0.25">
      <c r="A438" s="2">
        <v>45408</v>
      </c>
      <c r="B438" s="1" t="s">
        <v>438</v>
      </c>
      <c r="C438" s="1" t="s">
        <v>439</v>
      </c>
      <c r="D438" s="1" t="s">
        <v>16</v>
      </c>
      <c r="E438" s="1" t="s">
        <v>691</v>
      </c>
      <c r="F438" s="3">
        <v>11701</v>
      </c>
      <c r="G438" s="1" t="s">
        <v>17</v>
      </c>
      <c r="H438" s="29" t="s">
        <v>526</v>
      </c>
      <c r="I438" s="1">
        <v>90</v>
      </c>
      <c r="J438" s="1">
        <v>436576</v>
      </c>
      <c r="K438" s="1" t="str">
        <f>CONCATENATE(E438,I438,J438)</f>
        <v>3070705980690436576</v>
      </c>
      <c r="L438" s="4">
        <v>21</v>
      </c>
      <c r="M438" s="5">
        <v>0</v>
      </c>
      <c r="N438" s="5">
        <v>628950</v>
      </c>
      <c r="O438" s="5">
        <v>132079.5</v>
      </c>
      <c r="P438" s="5">
        <v>811345.5</v>
      </c>
    </row>
    <row r="439" spans="1:16" x14ac:dyDescent="0.25">
      <c r="A439" s="2">
        <v>45408</v>
      </c>
      <c r="B439" s="1" t="s">
        <v>305</v>
      </c>
      <c r="C439" s="1" t="s">
        <v>306</v>
      </c>
      <c r="D439" s="1" t="s">
        <v>16</v>
      </c>
      <c r="E439" s="1" t="s">
        <v>666</v>
      </c>
      <c r="F439" s="3">
        <v>11637</v>
      </c>
      <c r="G439" s="1" t="s">
        <v>17</v>
      </c>
      <c r="H439" s="29" t="s">
        <v>527</v>
      </c>
      <c r="I439" s="1">
        <v>135</v>
      </c>
      <c r="J439" s="1">
        <v>25844</v>
      </c>
      <c r="K439" s="1" t="str">
        <f>CONCATENATE(E439,I439,J439)</f>
        <v>3056610835213525844</v>
      </c>
      <c r="L439" s="4">
        <v>21</v>
      </c>
      <c r="M439" s="5">
        <v>0</v>
      </c>
      <c r="N439" s="5">
        <v>19991410.190000001</v>
      </c>
      <c r="O439" s="5">
        <v>4198196.1399999997</v>
      </c>
      <c r="P439" s="5">
        <v>25189176.84</v>
      </c>
    </row>
    <row r="440" spans="1:16" x14ac:dyDescent="0.25">
      <c r="A440" s="30">
        <v>45408</v>
      </c>
      <c r="B440" s="31" t="s">
        <v>36</v>
      </c>
      <c r="C440" s="31" t="s">
        <v>37</v>
      </c>
      <c r="D440" s="31" t="s">
        <v>16</v>
      </c>
      <c r="E440" s="31" t="s">
        <v>593</v>
      </c>
      <c r="F440" s="32">
        <v>11619</v>
      </c>
      <c r="G440" s="31" t="s">
        <v>17</v>
      </c>
      <c r="H440" s="31" t="s">
        <v>528</v>
      </c>
      <c r="I440" s="31">
        <v>437</v>
      </c>
      <c r="J440" s="31">
        <v>1653025</v>
      </c>
      <c r="K440" s="31" t="str">
        <f>CONCATENATE(E440,I440,J440)</f>
        <v>305010926964371653025</v>
      </c>
      <c r="L440" s="33">
        <v>3</v>
      </c>
      <c r="M440" s="34">
        <v>0</v>
      </c>
      <c r="N440" s="34">
        <v>0</v>
      </c>
      <c r="O440" s="34">
        <v>367509.99</v>
      </c>
      <c r="P440" s="34">
        <v>0</v>
      </c>
    </row>
    <row r="441" spans="1:16" x14ac:dyDescent="0.25">
      <c r="A441" s="2">
        <v>45408</v>
      </c>
      <c r="B441" s="1" t="s">
        <v>36</v>
      </c>
      <c r="C441" s="1" t="s">
        <v>37</v>
      </c>
      <c r="D441" s="1" t="s">
        <v>16</v>
      </c>
      <c r="E441" s="1" t="s">
        <v>593</v>
      </c>
      <c r="F441" s="3">
        <v>11619</v>
      </c>
      <c r="G441" s="1" t="s">
        <v>17</v>
      </c>
      <c r="H441" s="29" t="s">
        <v>528</v>
      </c>
      <c r="I441" s="1">
        <v>437</v>
      </c>
      <c r="J441" s="1">
        <v>1653025</v>
      </c>
      <c r="K441" s="1" t="str">
        <f>CONCATENATE(E441,I441,J441)</f>
        <v>305010926964371653025</v>
      </c>
      <c r="L441" s="4">
        <v>21</v>
      </c>
      <c r="M441" s="5">
        <v>0</v>
      </c>
      <c r="N441" s="5">
        <v>12250333.029999999</v>
      </c>
      <c r="O441" s="5">
        <v>2572569.94</v>
      </c>
      <c r="P441" s="5">
        <v>15802929.609999999</v>
      </c>
    </row>
    <row r="442" spans="1:16" x14ac:dyDescent="0.25">
      <c r="A442" s="30">
        <v>45408</v>
      </c>
      <c r="B442" s="31" t="s">
        <v>219</v>
      </c>
      <c r="C442" s="31" t="s">
        <v>220</v>
      </c>
      <c r="D442" s="31" t="s">
        <v>16</v>
      </c>
      <c r="E442" s="31" t="s">
        <v>646</v>
      </c>
      <c r="F442" s="32">
        <v>11612</v>
      </c>
      <c r="G442" s="31" t="s">
        <v>17</v>
      </c>
      <c r="H442" s="31" t="s">
        <v>529</v>
      </c>
      <c r="I442" s="31">
        <v>679</v>
      </c>
      <c r="J442" s="31">
        <v>172110</v>
      </c>
      <c r="K442" s="31" t="str">
        <f>CONCATENATE(E442,I442,J442)</f>
        <v>30500858628679172110</v>
      </c>
      <c r="L442" s="33">
        <v>3</v>
      </c>
      <c r="M442" s="34">
        <v>0</v>
      </c>
      <c r="N442" s="34">
        <v>0</v>
      </c>
      <c r="O442" s="34">
        <v>173953.36</v>
      </c>
      <c r="P442" s="34">
        <v>0</v>
      </c>
    </row>
    <row r="443" spans="1:16" x14ac:dyDescent="0.25">
      <c r="A443" s="2">
        <v>45408</v>
      </c>
      <c r="B443" s="1" t="s">
        <v>219</v>
      </c>
      <c r="C443" s="1" t="s">
        <v>220</v>
      </c>
      <c r="D443" s="1" t="s">
        <v>16</v>
      </c>
      <c r="E443" s="1" t="s">
        <v>646</v>
      </c>
      <c r="F443" s="3">
        <v>11612</v>
      </c>
      <c r="G443" s="1" t="s">
        <v>17</v>
      </c>
      <c r="H443" s="29" t="s">
        <v>529</v>
      </c>
      <c r="I443" s="1">
        <v>679</v>
      </c>
      <c r="J443" s="1">
        <v>172110</v>
      </c>
      <c r="K443" s="1" t="str">
        <f>CONCATENATE(E443,I443,J443)</f>
        <v>30500858628679172110</v>
      </c>
      <c r="L443" s="4">
        <v>21</v>
      </c>
      <c r="M443" s="5">
        <v>0</v>
      </c>
      <c r="N443" s="5">
        <v>5798444.8600000003</v>
      </c>
      <c r="O443" s="5">
        <v>1217673.44</v>
      </c>
      <c r="P443" s="5">
        <v>7479993.9100000001</v>
      </c>
    </row>
    <row r="444" spans="1:16" x14ac:dyDescent="0.25">
      <c r="A444" s="30">
        <v>45408</v>
      </c>
      <c r="B444" s="31" t="s">
        <v>219</v>
      </c>
      <c r="C444" s="31" t="s">
        <v>220</v>
      </c>
      <c r="D444" s="31" t="s">
        <v>16</v>
      </c>
      <c r="E444" s="31" t="s">
        <v>646</v>
      </c>
      <c r="F444" s="32">
        <v>11812</v>
      </c>
      <c r="G444" s="31" t="s">
        <v>17</v>
      </c>
      <c r="H444" s="31" t="s">
        <v>530</v>
      </c>
      <c r="I444" s="31">
        <v>702</v>
      </c>
      <c r="J444" s="31">
        <v>422913</v>
      </c>
      <c r="K444" s="31" t="str">
        <f>CONCATENATE(E444,I444,J444)</f>
        <v>30500858628702422913</v>
      </c>
      <c r="L444" s="33">
        <v>3</v>
      </c>
      <c r="M444" s="34">
        <v>0</v>
      </c>
      <c r="N444" s="34">
        <v>0</v>
      </c>
      <c r="O444" s="34">
        <v>279437.06</v>
      </c>
      <c r="P444" s="34">
        <v>0</v>
      </c>
    </row>
    <row r="445" spans="1:16" x14ac:dyDescent="0.25">
      <c r="A445" s="2">
        <v>45408</v>
      </c>
      <c r="B445" s="1" t="s">
        <v>219</v>
      </c>
      <c r="C445" s="1" t="s">
        <v>220</v>
      </c>
      <c r="D445" s="1" t="s">
        <v>16</v>
      </c>
      <c r="E445" s="1" t="s">
        <v>646</v>
      </c>
      <c r="F445" s="3">
        <v>11812</v>
      </c>
      <c r="G445" s="1" t="s">
        <v>17</v>
      </c>
      <c r="H445" s="29" t="s">
        <v>530</v>
      </c>
      <c r="I445" s="1">
        <v>702</v>
      </c>
      <c r="J445" s="1">
        <v>422913</v>
      </c>
      <c r="K445" s="1" t="str">
        <f>CONCATENATE(E445,I445,J445)</f>
        <v>30500858628702422913</v>
      </c>
      <c r="L445" s="4">
        <v>21</v>
      </c>
      <c r="M445" s="5">
        <v>0</v>
      </c>
      <c r="N445" s="5">
        <v>9314568.8200000003</v>
      </c>
      <c r="O445" s="5">
        <v>1956059.45</v>
      </c>
      <c r="P445" s="5">
        <v>12015793.77</v>
      </c>
    </row>
    <row r="446" spans="1:16" x14ac:dyDescent="0.25">
      <c r="A446" s="30">
        <v>45408</v>
      </c>
      <c r="B446" s="31" t="s">
        <v>179</v>
      </c>
      <c r="C446" s="31" t="s">
        <v>180</v>
      </c>
      <c r="D446" s="31" t="s">
        <v>16</v>
      </c>
      <c r="E446" s="31" t="s">
        <v>635</v>
      </c>
      <c r="F446" s="32">
        <v>11702</v>
      </c>
      <c r="G446" s="31" t="s">
        <v>17</v>
      </c>
      <c r="H446" s="31" t="s">
        <v>531</v>
      </c>
      <c r="I446" s="31">
        <v>2002</v>
      </c>
      <c r="J446" s="31">
        <v>284757</v>
      </c>
      <c r="K446" s="31" t="str">
        <f>CONCATENATE(E446,I446,J446)</f>
        <v>305007682622002284757</v>
      </c>
      <c r="L446" s="33">
        <v>3</v>
      </c>
      <c r="M446" s="34">
        <v>0</v>
      </c>
      <c r="N446" s="34">
        <v>0</v>
      </c>
      <c r="O446" s="34">
        <v>117159.13</v>
      </c>
      <c r="P446" s="34">
        <v>0</v>
      </c>
    </row>
    <row r="447" spans="1:16" x14ac:dyDescent="0.25">
      <c r="A447" s="2">
        <v>45408</v>
      </c>
      <c r="B447" s="1" t="s">
        <v>179</v>
      </c>
      <c r="C447" s="1" t="s">
        <v>180</v>
      </c>
      <c r="D447" s="1" t="s">
        <v>16</v>
      </c>
      <c r="E447" s="1" t="s">
        <v>635</v>
      </c>
      <c r="F447" s="3">
        <v>11702</v>
      </c>
      <c r="G447" s="1" t="s">
        <v>17</v>
      </c>
      <c r="H447" s="29" t="s">
        <v>531</v>
      </c>
      <c r="I447" s="1">
        <v>2002</v>
      </c>
      <c r="J447" s="1">
        <v>284757</v>
      </c>
      <c r="K447" s="1" t="str">
        <f>CONCATENATE(E447,I447,J447)</f>
        <v>305007682622002284757</v>
      </c>
      <c r="L447" s="4">
        <v>21</v>
      </c>
      <c r="M447" s="5">
        <v>0</v>
      </c>
      <c r="N447" s="5">
        <v>3905304.49</v>
      </c>
      <c r="O447" s="5">
        <v>820113.95</v>
      </c>
      <c r="P447" s="5">
        <v>5037842.79</v>
      </c>
    </row>
    <row r="448" spans="1:16" x14ac:dyDescent="0.25">
      <c r="A448" s="30">
        <v>45409</v>
      </c>
      <c r="B448" s="31" t="s">
        <v>397</v>
      </c>
      <c r="C448" s="31" t="s">
        <v>398</v>
      </c>
      <c r="D448" s="31" t="s">
        <v>16</v>
      </c>
      <c r="E448" s="31" t="s">
        <v>685</v>
      </c>
      <c r="F448" s="32">
        <v>11632</v>
      </c>
      <c r="G448" s="31" t="s">
        <v>17</v>
      </c>
      <c r="H448" s="31" t="s">
        <v>533</v>
      </c>
      <c r="I448" s="31">
        <v>884</v>
      </c>
      <c r="J448" s="31">
        <v>102668</v>
      </c>
      <c r="K448" s="31" t="str">
        <f>CONCATENATE(E448,I448,J448)</f>
        <v>30507950848884102668</v>
      </c>
      <c r="L448" s="33">
        <v>3</v>
      </c>
      <c r="M448" s="34">
        <v>0</v>
      </c>
      <c r="N448" s="34">
        <v>0</v>
      </c>
      <c r="O448" s="34">
        <v>19362.439999999999</v>
      </c>
      <c r="P448" s="34">
        <v>0</v>
      </c>
    </row>
    <row r="449" spans="1:17" x14ac:dyDescent="0.25">
      <c r="A449" s="2">
        <v>45409</v>
      </c>
      <c r="B449" s="1" t="s">
        <v>397</v>
      </c>
      <c r="C449" s="1" t="s">
        <v>398</v>
      </c>
      <c r="D449" s="1" t="s">
        <v>16</v>
      </c>
      <c r="E449" s="1" t="s">
        <v>685</v>
      </c>
      <c r="F449" s="3">
        <v>11632</v>
      </c>
      <c r="G449" s="1" t="s">
        <v>17</v>
      </c>
      <c r="H449" s="29" t="s">
        <v>533</v>
      </c>
      <c r="I449" s="1">
        <v>884</v>
      </c>
      <c r="J449" s="1">
        <v>102668</v>
      </c>
      <c r="K449" s="1" t="str">
        <f>CONCATENATE(E449,I449,J449)</f>
        <v>30507950848884102668</v>
      </c>
      <c r="L449" s="4">
        <v>21</v>
      </c>
      <c r="M449" s="5">
        <v>0</v>
      </c>
      <c r="N449" s="5">
        <v>645414.54</v>
      </c>
      <c r="O449" s="5">
        <v>135537.04999999999</v>
      </c>
      <c r="P449" s="5">
        <v>832584.76</v>
      </c>
    </row>
    <row r="450" spans="1:17" s="42" customFormat="1" x14ac:dyDescent="0.25">
      <c r="A450" s="37">
        <v>45410</v>
      </c>
      <c r="B450" s="38" t="s">
        <v>107</v>
      </c>
      <c r="C450" s="38" t="s">
        <v>108</v>
      </c>
      <c r="D450" s="38" t="s">
        <v>16</v>
      </c>
      <c r="E450" s="38" t="s">
        <v>613</v>
      </c>
      <c r="F450" s="39">
        <v>11778</v>
      </c>
      <c r="G450" s="38" t="s">
        <v>17</v>
      </c>
      <c r="H450" s="38" t="s">
        <v>534</v>
      </c>
      <c r="I450" s="38">
        <v>5065</v>
      </c>
      <c r="J450" s="38">
        <v>23680</v>
      </c>
      <c r="K450" s="38" t="str">
        <f>CONCATENATE(E450,I450,J450)</f>
        <v>30695542476506523680</v>
      </c>
      <c r="L450" s="40">
        <v>3</v>
      </c>
      <c r="M450" s="41">
        <v>0</v>
      </c>
      <c r="N450" s="41">
        <v>0</v>
      </c>
      <c r="O450" s="41">
        <v>1365.64</v>
      </c>
      <c r="P450" s="41">
        <v>0</v>
      </c>
    </row>
    <row r="451" spans="1:17" s="42" customFormat="1" x14ac:dyDescent="0.25">
      <c r="A451" s="37">
        <v>45410</v>
      </c>
      <c r="B451" s="38" t="s">
        <v>107</v>
      </c>
      <c r="C451" s="38" t="s">
        <v>108</v>
      </c>
      <c r="D451" s="38" t="s">
        <v>16</v>
      </c>
      <c r="E451" s="38" t="s">
        <v>613</v>
      </c>
      <c r="F451" s="39">
        <v>11778</v>
      </c>
      <c r="G451" s="38" t="s">
        <v>17</v>
      </c>
      <c r="H451" s="38" t="s">
        <v>534</v>
      </c>
      <c r="I451" s="38">
        <v>5065</v>
      </c>
      <c r="J451" s="38">
        <v>23680</v>
      </c>
      <c r="K451" s="38" t="str">
        <f>CONCATENATE(E451,I451,J451)</f>
        <v>30695542476506523680</v>
      </c>
      <c r="L451" s="40">
        <v>21</v>
      </c>
      <c r="M451" s="41">
        <v>6419.1</v>
      </c>
      <c r="N451" s="41">
        <v>45521.440000000002</v>
      </c>
      <c r="O451" s="41">
        <v>9559.5</v>
      </c>
      <c r="P451" s="41">
        <v>62865.68</v>
      </c>
    </row>
    <row r="452" spans="1:17" s="26" customFormat="1" x14ac:dyDescent="0.25">
      <c r="A452" s="30">
        <v>45411</v>
      </c>
      <c r="B452" s="31" t="s">
        <v>162</v>
      </c>
      <c r="C452" s="31" t="s">
        <v>163</v>
      </c>
      <c r="D452" s="31" t="s">
        <v>16</v>
      </c>
      <c r="E452" s="31" t="s">
        <v>630</v>
      </c>
      <c r="F452" s="32">
        <v>11654</v>
      </c>
      <c r="G452" s="31" t="s">
        <v>17</v>
      </c>
      <c r="H452" s="31" t="s">
        <v>535</v>
      </c>
      <c r="I452" s="31">
        <v>2024</v>
      </c>
      <c r="J452" s="31">
        <v>19414026</v>
      </c>
      <c r="K452" s="31" t="str">
        <f>CONCATENATE(E452,I452,J452)</f>
        <v>30500001735202419414026</v>
      </c>
      <c r="L452" s="33">
        <v>1.5</v>
      </c>
      <c r="M452" s="34">
        <v>0</v>
      </c>
      <c r="N452" s="34">
        <v>0</v>
      </c>
      <c r="O452" s="34">
        <v>4080.68</v>
      </c>
      <c r="P452" s="34">
        <v>0</v>
      </c>
      <c r="Q452" s="28"/>
    </row>
    <row r="453" spans="1:17" s="26" customFormat="1" x14ac:dyDescent="0.25">
      <c r="A453" s="21">
        <v>45411</v>
      </c>
      <c r="B453" s="22" t="s">
        <v>162</v>
      </c>
      <c r="C453" s="22" t="s">
        <v>163</v>
      </c>
      <c r="D453" s="22" t="s">
        <v>16</v>
      </c>
      <c r="E453" s="22" t="s">
        <v>630</v>
      </c>
      <c r="F453" s="23">
        <v>11654</v>
      </c>
      <c r="G453" s="22" t="s">
        <v>17</v>
      </c>
      <c r="H453" s="22" t="s">
        <v>535</v>
      </c>
      <c r="I453" s="22">
        <v>2024</v>
      </c>
      <c r="J453" s="22">
        <v>19414026</v>
      </c>
      <c r="K453" s="22" t="str">
        <f>CONCATENATE(E453,I453,J453)</f>
        <v>30500001735202419414026</v>
      </c>
      <c r="L453" s="24">
        <v>10.5</v>
      </c>
      <c r="M453" s="25">
        <v>5941.56</v>
      </c>
      <c r="N453" s="25">
        <v>272045.15999999997</v>
      </c>
      <c r="O453" s="25">
        <v>28564.74</v>
      </c>
      <c r="P453" s="25">
        <v>316073.03999999998</v>
      </c>
      <c r="Q453" s="28"/>
    </row>
    <row r="454" spans="1:17" s="26" customFormat="1" x14ac:dyDescent="0.25">
      <c r="A454" s="30">
        <v>45411</v>
      </c>
      <c r="B454" s="31" t="s">
        <v>123</v>
      </c>
      <c r="C454" s="31" t="s">
        <v>124</v>
      </c>
      <c r="D454" s="31" t="s">
        <v>16</v>
      </c>
      <c r="E454" s="31" t="s">
        <v>618</v>
      </c>
      <c r="F454" s="32">
        <v>11592</v>
      </c>
      <c r="G454" s="31" t="s">
        <v>17</v>
      </c>
      <c r="H454" s="31" t="s">
        <v>536</v>
      </c>
      <c r="I454" s="31">
        <v>2024</v>
      </c>
      <c r="J454" s="31">
        <v>90020301</v>
      </c>
      <c r="K454" s="31" t="str">
        <f>CONCATENATE(E454,I454,J454)</f>
        <v>30500008454202490020301</v>
      </c>
      <c r="L454" s="33">
        <v>1.5</v>
      </c>
      <c r="M454" s="34">
        <v>0</v>
      </c>
      <c r="N454" s="34">
        <v>0</v>
      </c>
      <c r="O454" s="34">
        <v>13542.65</v>
      </c>
      <c r="P454" s="34">
        <v>0</v>
      </c>
      <c r="Q454" s="28"/>
    </row>
    <row r="455" spans="1:17" s="26" customFormat="1" x14ac:dyDescent="0.25">
      <c r="A455" s="21">
        <v>45411</v>
      </c>
      <c r="B455" s="22" t="s">
        <v>123</v>
      </c>
      <c r="C455" s="22" t="s">
        <v>124</v>
      </c>
      <c r="D455" s="22" t="s">
        <v>16</v>
      </c>
      <c r="E455" s="22" t="s">
        <v>618</v>
      </c>
      <c r="F455" s="23">
        <v>11592</v>
      </c>
      <c r="G455" s="22" t="s">
        <v>17</v>
      </c>
      <c r="H455" s="22" t="s">
        <v>536</v>
      </c>
      <c r="I455" s="22">
        <v>2024</v>
      </c>
      <c r="J455" s="22">
        <v>90020301</v>
      </c>
      <c r="K455" s="22" t="str">
        <f>CONCATENATE(E455,I455,J455)</f>
        <v>30500008454202490020301</v>
      </c>
      <c r="L455" s="24">
        <v>10.5</v>
      </c>
      <c r="M455" s="25">
        <v>27659.279999999999</v>
      </c>
      <c r="N455" s="25">
        <v>916674.54</v>
      </c>
      <c r="O455" s="25">
        <v>96327.79</v>
      </c>
      <c r="P455" s="25">
        <v>1072261.1200000001</v>
      </c>
      <c r="Q455" s="28"/>
    </row>
    <row r="456" spans="1:17" s="26" customFormat="1" x14ac:dyDescent="0.25">
      <c r="A456" s="30">
        <v>45411</v>
      </c>
      <c r="B456" s="31" t="s">
        <v>123</v>
      </c>
      <c r="C456" s="31" t="s">
        <v>124</v>
      </c>
      <c r="D456" s="31" t="s">
        <v>16</v>
      </c>
      <c r="E456" s="31" t="s">
        <v>618</v>
      </c>
      <c r="F456" s="32">
        <v>11593</v>
      </c>
      <c r="G456" s="31" t="s">
        <v>17</v>
      </c>
      <c r="H456" s="31" t="s">
        <v>537</v>
      </c>
      <c r="I456" s="31">
        <v>2024</v>
      </c>
      <c r="J456" s="31">
        <v>90025001</v>
      </c>
      <c r="K456" s="31" t="str">
        <f>CONCATENATE(E456,I456,J456)</f>
        <v>30500008454202490025001</v>
      </c>
      <c r="L456" s="33">
        <v>1.5</v>
      </c>
      <c r="M456" s="34">
        <v>0</v>
      </c>
      <c r="N456" s="34">
        <v>0</v>
      </c>
      <c r="O456" s="34">
        <v>327.3</v>
      </c>
      <c r="P456" s="34">
        <v>0</v>
      </c>
      <c r="Q456" s="28"/>
    </row>
    <row r="457" spans="1:17" s="26" customFormat="1" x14ac:dyDescent="0.25">
      <c r="A457" s="21">
        <v>45411</v>
      </c>
      <c r="B457" s="22" t="s">
        <v>123</v>
      </c>
      <c r="C457" s="22" t="s">
        <v>124</v>
      </c>
      <c r="D457" s="22" t="s">
        <v>16</v>
      </c>
      <c r="E457" s="22" t="s">
        <v>618</v>
      </c>
      <c r="F457" s="23">
        <v>11593</v>
      </c>
      <c r="G457" s="22" t="s">
        <v>17</v>
      </c>
      <c r="H457" s="22" t="s">
        <v>537</v>
      </c>
      <c r="I457" s="22">
        <v>2024</v>
      </c>
      <c r="J457" s="22">
        <v>90025001</v>
      </c>
      <c r="K457" s="22" t="str">
        <f>CONCATENATE(E457,I457,J457)</f>
        <v>30500008454202490025001</v>
      </c>
      <c r="L457" s="24">
        <v>10.5</v>
      </c>
      <c r="M457" s="25">
        <v>640.98</v>
      </c>
      <c r="N457" s="25">
        <v>23351.01</v>
      </c>
      <c r="O457" s="25">
        <v>2451.86</v>
      </c>
      <c r="P457" s="25">
        <v>27207.55</v>
      </c>
      <c r="Q457" s="28"/>
    </row>
    <row r="458" spans="1:17" s="26" customFormat="1" x14ac:dyDescent="0.25">
      <c r="A458" s="30">
        <v>45411</v>
      </c>
      <c r="B458" s="31" t="s">
        <v>123</v>
      </c>
      <c r="C458" s="31" t="s">
        <v>124</v>
      </c>
      <c r="D458" s="31" t="s">
        <v>16</v>
      </c>
      <c r="E458" s="31" t="s">
        <v>618</v>
      </c>
      <c r="F458" s="32">
        <v>11594</v>
      </c>
      <c r="G458" s="31" t="s">
        <v>17</v>
      </c>
      <c r="H458" s="31" t="s">
        <v>538</v>
      </c>
      <c r="I458" s="31">
        <v>2024</v>
      </c>
      <c r="J458" s="31">
        <v>90031201</v>
      </c>
      <c r="K458" s="31" t="str">
        <f>CONCATENATE(E458,I458,J458)</f>
        <v>30500008454202490031201</v>
      </c>
      <c r="L458" s="33">
        <v>1.5</v>
      </c>
      <c r="M458" s="34">
        <v>0</v>
      </c>
      <c r="N458" s="34">
        <v>0</v>
      </c>
      <c r="O458" s="34">
        <v>1448.77</v>
      </c>
      <c r="P458" s="34">
        <v>0</v>
      </c>
      <c r="Q458" s="28"/>
    </row>
    <row r="459" spans="1:17" s="26" customFormat="1" x14ac:dyDescent="0.25">
      <c r="A459" s="21">
        <v>45411</v>
      </c>
      <c r="B459" s="22" t="s">
        <v>123</v>
      </c>
      <c r="C459" s="22" t="s">
        <v>124</v>
      </c>
      <c r="D459" s="22" t="s">
        <v>16</v>
      </c>
      <c r="E459" s="22" t="s">
        <v>618</v>
      </c>
      <c r="F459" s="23">
        <v>11594</v>
      </c>
      <c r="G459" s="22" t="s">
        <v>17</v>
      </c>
      <c r="H459" s="22" t="s">
        <v>538</v>
      </c>
      <c r="I459" s="22">
        <v>2024</v>
      </c>
      <c r="J459" s="22">
        <v>90031201</v>
      </c>
      <c r="K459" s="22" t="str">
        <f>CONCATENATE(E459,I459,J459)</f>
        <v>30500008454202490031201</v>
      </c>
      <c r="L459" s="24">
        <v>10.5</v>
      </c>
      <c r="M459" s="25">
        <v>2991.78</v>
      </c>
      <c r="N459" s="25">
        <v>96584.66</v>
      </c>
      <c r="O459" s="25">
        <v>10141.39</v>
      </c>
      <c r="P459" s="25">
        <v>113098.29</v>
      </c>
      <c r="Q459" s="28"/>
    </row>
    <row r="460" spans="1:17" s="26" customFormat="1" x14ac:dyDescent="0.25">
      <c r="A460" s="30">
        <v>45411</v>
      </c>
      <c r="B460" s="31" t="s">
        <v>123</v>
      </c>
      <c r="C460" s="31" t="s">
        <v>124</v>
      </c>
      <c r="D460" s="31" t="s">
        <v>16</v>
      </c>
      <c r="E460" s="31" t="s">
        <v>618</v>
      </c>
      <c r="F460" s="32">
        <v>11595</v>
      </c>
      <c r="G460" s="31" t="s">
        <v>17</v>
      </c>
      <c r="H460" s="31" t="s">
        <v>539</v>
      </c>
      <c r="I460" s="31">
        <v>2024</v>
      </c>
      <c r="J460" s="31">
        <v>90031301</v>
      </c>
      <c r="K460" s="31" t="str">
        <f>CONCATENATE(E460,I460,J460)</f>
        <v>30500008454202490031301</v>
      </c>
      <c r="L460" s="33">
        <v>1.5</v>
      </c>
      <c r="M460" s="34">
        <v>0</v>
      </c>
      <c r="N460" s="34">
        <v>0</v>
      </c>
      <c r="O460" s="34">
        <v>4234.87</v>
      </c>
      <c r="P460" s="34">
        <v>0</v>
      </c>
      <c r="Q460" s="28"/>
    </row>
    <row r="461" spans="1:17" s="26" customFormat="1" x14ac:dyDescent="0.25">
      <c r="A461" s="21">
        <v>45411</v>
      </c>
      <c r="B461" s="22" t="s">
        <v>123</v>
      </c>
      <c r="C461" s="22" t="s">
        <v>124</v>
      </c>
      <c r="D461" s="22" t="s">
        <v>16</v>
      </c>
      <c r="E461" s="22" t="s">
        <v>618</v>
      </c>
      <c r="F461" s="23">
        <v>11595</v>
      </c>
      <c r="G461" s="22" t="s">
        <v>17</v>
      </c>
      <c r="H461" s="22" t="s">
        <v>539</v>
      </c>
      <c r="I461" s="22">
        <v>2024</v>
      </c>
      <c r="J461" s="22">
        <v>90031301</v>
      </c>
      <c r="K461" s="22" t="str">
        <f>CONCATENATE(E461,I461,J461)</f>
        <v>30500008454202490031301</v>
      </c>
      <c r="L461" s="24">
        <v>10.5</v>
      </c>
      <c r="M461" s="25">
        <v>8745.2000000000007</v>
      </c>
      <c r="N461" s="25">
        <v>282324.39</v>
      </c>
      <c r="O461" s="25">
        <v>29644.06</v>
      </c>
      <c r="P461" s="25">
        <v>330595</v>
      </c>
      <c r="Q461" s="28"/>
    </row>
    <row r="462" spans="1:17" x14ac:dyDescent="0.25">
      <c r="A462" s="2">
        <v>45411</v>
      </c>
      <c r="B462" s="1" t="s">
        <v>540</v>
      </c>
      <c r="C462" s="1" t="s">
        <v>541</v>
      </c>
      <c r="D462" s="1" t="s">
        <v>16</v>
      </c>
      <c r="E462" s="1" t="s">
        <v>701</v>
      </c>
      <c r="F462" s="3">
        <v>11815</v>
      </c>
      <c r="G462" s="1" t="s">
        <v>17</v>
      </c>
      <c r="H462" s="29" t="s">
        <v>542</v>
      </c>
      <c r="I462" s="1">
        <v>2</v>
      </c>
      <c r="J462" s="1">
        <v>145</v>
      </c>
      <c r="K462" s="1" t="str">
        <f>CONCATENATE(E462,I462,J462)</f>
        <v>233070028092145</v>
      </c>
      <c r="L462" s="4">
        <v>21</v>
      </c>
      <c r="M462" s="5">
        <v>0</v>
      </c>
      <c r="N462" s="5">
        <v>103600</v>
      </c>
      <c r="O462" s="5">
        <v>21756</v>
      </c>
      <c r="P462" s="5">
        <v>125356</v>
      </c>
    </row>
    <row r="463" spans="1:17" x14ac:dyDescent="0.25">
      <c r="A463" s="30">
        <v>45411</v>
      </c>
      <c r="B463" s="31" t="s">
        <v>543</v>
      </c>
      <c r="C463" s="31" t="s">
        <v>544</v>
      </c>
      <c r="D463" s="31" t="s">
        <v>16</v>
      </c>
      <c r="E463" s="31" t="s">
        <v>702</v>
      </c>
      <c r="F463" s="32">
        <v>11747</v>
      </c>
      <c r="G463" s="31" t="s">
        <v>17</v>
      </c>
      <c r="H463" s="31" t="s">
        <v>545</v>
      </c>
      <c r="I463" s="31">
        <v>2</v>
      </c>
      <c r="J463" s="31">
        <v>39584</v>
      </c>
      <c r="K463" s="31" t="str">
        <f>CONCATENATE(E463,I463,J463)</f>
        <v>30582634021239584</v>
      </c>
      <c r="L463" s="33">
        <v>3</v>
      </c>
      <c r="M463" s="34">
        <v>0</v>
      </c>
      <c r="N463" s="34">
        <v>0</v>
      </c>
      <c r="O463" s="34">
        <v>24095.8</v>
      </c>
      <c r="P463" s="34">
        <v>0</v>
      </c>
    </row>
    <row r="464" spans="1:17" x14ac:dyDescent="0.25">
      <c r="A464" s="2">
        <v>45411</v>
      </c>
      <c r="B464" s="1" t="s">
        <v>543</v>
      </c>
      <c r="C464" s="1" t="s">
        <v>544</v>
      </c>
      <c r="D464" s="1" t="s">
        <v>16</v>
      </c>
      <c r="E464" s="1" t="s">
        <v>702</v>
      </c>
      <c r="F464" s="3">
        <v>11747</v>
      </c>
      <c r="G464" s="1" t="s">
        <v>17</v>
      </c>
      <c r="H464" s="29" t="s">
        <v>545</v>
      </c>
      <c r="I464" s="1">
        <v>2</v>
      </c>
      <c r="J464" s="1">
        <v>39584</v>
      </c>
      <c r="K464" s="1" t="str">
        <f>CONCATENATE(E464,I464,J464)</f>
        <v>30582634021239584</v>
      </c>
      <c r="L464" s="4">
        <v>21</v>
      </c>
      <c r="M464" s="5">
        <v>0</v>
      </c>
      <c r="N464" s="5">
        <v>803193.3</v>
      </c>
      <c r="O464" s="5">
        <v>168670.59</v>
      </c>
      <c r="P464" s="5">
        <v>1036119.36</v>
      </c>
    </row>
    <row r="465" spans="1:17" x14ac:dyDescent="0.25">
      <c r="A465" s="30">
        <v>45411</v>
      </c>
      <c r="B465" s="31" t="s">
        <v>205</v>
      </c>
      <c r="C465" s="31" t="s">
        <v>206</v>
      </c>
      <c r="D465" s="31" t="s">
        <v>16</v>
      </c>
      <c r="E465" s="31" t="s">
        <v>643</v>
      </c>
      <c r="F465" s="32">
        <v>11816</v>
      </c>
      <c r="G465" s="31" t="s">
        <v>17</v>
      </c>
      <c r="H465" s="31" t="s">
        <v>546</v>
      </c>
      <c r="I465" s="31">
        <v>10</v>
      </c>
      <c r="J465" s="31">
        <v>153812</v>
      </c>
      <c r="K465" s="31" t="str">
        <f>CONCATENATE(E465,I465,J465)</f>
        <v>3064221935510153812</v>
      </c>
      <c r="L465" s="33">
        <v>3</v>
      </c>
      <c r="M465" s="34">
        <v>0</v>
      </c>
      <c r="N465" s="34">
        <v>0</v>
      </c>
      <c r="O465" s="34">
        <v>58392.86</v>
      </c>
      <c r="P465" s="34">
        <v>0</v>
      </c>
    </row>
    <row r="466" spans="1:17" x14ac:dyDescent="0.25">
      <c r="A466" s="2">
        <v>45411</v>
      </c>
      <c r="B466" s="1" t="s">
        <v>205</v>
      </c>
      <c r="C466" s="1" t="s">
        <v>206</v>
      </c>
      <c r="D466" s="1" t="s">
        <v>16</v>
      </c>
      <c r="E466" s="1" t="s">
        <v>643</v>
      </c>
      <c r="F466" s="3">
        <v>11816</v>
      </c>
      <c r="G466" s="1" t="s">
        <v>17</v>
      </c>
      <c r="H466" s="29" t="s">
        <v>546</v>
      </c>
      <c r="I466" s="1">
        <v>10</v>
      </c>
      <c r="J466" s="1">
        <v>153812</v>
      </c>
      <c r="K466" s="1" t="str">
        <f>CONCATENATE(E466,I466,J466)</f>
        <v>3064221935510153812</v>
      </c>
      <c r="L466" s="4">
        <v>21</v>
      </c>
      <c r="M466" s="5">
        <v>0</v>
      </c>
      <c r="N466" s="5">
        <v>1946428.75</v>
      </c>
      <c r="O466" s="5">
        <v>408750.04</v>
      </c>
      <c r="P466" s="5">
        <v>2510893.09</v>
      </c>
    </row>
    <row r="467" spans="1:17" x14ac:dyDescent="0.25">
      <c r="A467" s="30">
        <v>45411</v>
      </c>
      <c r="B467" s="31" t="s">
        <v>547</v>
      </c>
      <c r="C467" s="31" t="s">
        <v>548</v>
      </c>
      <c r="D467" s="31" t="s">
        <v>16</v>
      </c>
      <c r="E467" s="31" t="s">
        <v>703</v>
      </c>
      <c r="F467" s="32">
        <v>11639</v>
      </c>
      <c r="G467" s="31" t="s">
        <v>17</v>
      </c>
      <c r="H467" s="31" t="s">
        <v>549</v>
      </c>
      <c r="I467" s="31">
        <v>32</v>
      </c>
      <c r="J467" s="31">
        <v>81935</v>
      </c>
      <c r="K467" s="31" t="str">
        <f>CONCATENATE(E467,I467,J467)</f>
        <v>305012142793281935</v>
      </c>
      <c r="L467" s="33">
        <v>3</v>
      </c>
      <c r="M467" s="34">
        <v>0</v>
      </c>
      <c r="N467" s="34">
        <v>0</v>
      </c>
      <c r="O467" s="34">
        <v>18049.34</v>
      </c>
      <c r="P467" s="34">
        <v>0</v>
      </c>
    </row>
    <row r="468" spans="1:17" x14ac:dyDescent="0.25">
      <c r="A468" s="2">
        <v>45411</v>
      </c>
      <c r="B468" s="1" t="s">
        <v>547</v>
      </c>
      <c r="C468" s="1" t="s">
        <v>548</v>
      </c>
      <c r="D468" s="1" t="s">
        <v>16</v>
      </c>
      <c r="E468" s="1" t="s">
        <v>703</v>
      </c>
      <c r="F468" s="3">
        <v>11639</v>
      </c>
      <c r="G468" s="1" t="s">
        <v>17</v>
      </c>
      <c r="H468" s="29" t="s">
        <v>549</v>
      </c>
      <c r="I468" s="1">
        <v>32</v>
      </c>
      <c r="J468" s="1">
        <v>81935</v>
      </c>
      <c r="K468" s="1" t="str">
        <f>CONCATENATE(E468,I468,J468)</f>
        <v>305012142793281935</v>
      </c>
      <c r="L468" s="4">
        <v>21</v>
      </c>
      <c r="M468" s="5">
        <v>0</v>
      </c>
      <c r="N468" s="5">
        <v>601644.81999999995</v>
      </c>
      <c r="O468" s="5">
        <v>126345.41</v>
      </c>
      <c r="P468" s="5">
        <v>776121.81</v>
      </c>
    </row>
    <row r="469" spans="1:17" x14ac:dyDescent="0.25">
      <c r="A469" s="30">
        <v>45411</v>
      </c>
      <c r="B469" s="31" t="s">
        <v>144</v>
      </c>
      <c r="C469" s="31" t="s">
        <v>145</v>
      </c>
      <c r="D469" s="31" t="s">
        <v>16</v>
      </c>
      <c r="E469" s="31" t="s">
        <v>625</v>
      </c>
      <c r="F469" s="32">
        <v>11705</v>
      </c>
      <c r="G469" s="31" t="s">
        <v>17</v>
      </c>
      <c r="H469" s="31" t="s">
        <v>550</v>
      </c>
      <c r="I469" s="31">
        <v>46</v>
      </c>
      <c r="J469" s="31">
        <v>399975</v>
      </c>
      <c r="K469" s="31" t="str">
        <f>CONCATENATE(E469,I469,J469)</f>
        <v>3053214979346399975</v>
      </c>
      <c r="L469" s="33">
        <v>3</v>
      </c>
      <c r="M469" s="34">
        <v>0</v>
      </c>
      <c r="N469" s="34">
        <v>0</v>
      </c>
      <c r="O469" s="34">
        <v>10350</v>
      </c>
      <c r="P469" s="34">
        <v>0</v>
      </c>
    </row>
    <row r="470" spans="1:17" x14ac:dyDescent="0.25">
      <c r="A470" s="2">
        <v>45411</v>
      </c>
      <c r="B470" s="1" t="s">
        <v>144</v>
      </c>
      <c r="C470" s="1" t="s">
        <v>145</v>
      </c>
      <c r="D470" s="1" t="s">
        <v>16</v>
      </c>
      <c r="E470" s="1" t="s">
        <v>625</v>
      </c>
      <c r="F470" s="3">
        <v>11705</v>
      </c>
      <c r="G470" s="1" t="s">
        <v>17</v>
      </c>
      <c r="H470" s="29" t="s">
        <v>550</v>
      </c>
      <c r="I470" s="1">
        <v>46</v>
      </c>
      <c r="J470" s="1">
        <v>399975</v>
      </c>
      <c r="K470" s="1" t="str">
        <f>CONCATENATE(E470,I470,J470)</f>
        <v>3053214979346399975</v>
      </c>
      <c r="L470" s="4">
        <v>21</v>
      </c>
      <c r="M470" s="5">
        <v>0</v>
      </c>
      <c r="N470" s="5">
        <v>345000</v>
      </c>
      <c r="O470" s="5">
        <v>72450</v>
      </c>
      <c r="P470" s="5">
        <v>434700</v>
      </c>
    </row>
    <row r="471" spans="1:17" x14ac:dyDescent="0.25">
      <c r="A471" s="30">
        <v>45411</v>
      </c>
      <c r="B471" s="31" t="s">
        <v>36</v>
      </c>
      <c r="C471" s="31" t="s">
        <v>37</v>
      </c>
      <c r="D471" s="31" t="s">
        <v>16</v>
      </c>
      <c r="E471" s="31" t="s">
        <v>593</v>
      </c>
      <c r="F471" s="32">
        <v>11817</v>
      </c>
      <c r="G471" s="31" t="s">
        <v>17</v>
      </c>
      <c r="H471" s="31" t="s">
        <v>551</v>
      </c>
      <c r="I471" s="31">
        <v>437</v>
      </c>
      <c r="J471" s="31">
        <v>1654380</v>
      </c>
      <c r="K471" s="31" t="str">
        <f>CONCATENATE(E471,I471,J471)</f>
        <v>305010926964371654380</v>
      </c>
      <c r="L471" s="33">
        <v>3</v>
      </c>
      <c r="M471" s="34">
        <v>0</v>
      </c>
      <c r="N471" s="34">
        <v>0</v>
      </c>
      <c r="O471" s="34">
        <v>1075771.56</v>
      </c>
      <c r="P471" s="34">
        <v>0</v>
      </c>
    </row>
    <row r="472" spans="1:17" x14ac:dyDescent="0.25">
      <c r="A472" s="2">
        <v>45411</v>
      </c>
      <c r="B472" s="1" t="s">
        <v>36</v>
      </c>
      <c r="C472" s="1" t="s">
        <v>37</v>
      </c>
      <c r="D472" s="1" t="s">
        <v>16</v>
      </c>
      <c r="E472" s="1" t="s">
        <v>593</v>
      </c>
      <c r="F472" s="3">
        <v>11817</v>
      </c>
      <c r="G472" s="1" t="s">
        <v>17</v>
      </c>
      <c r="H472" s="29" t="s">
        <v>551</v>
      </c>
      <c r="I472" s="1">
        <v>437</v>
      </c>
      <c r="J472" s="1">
        <v>1654380</v>
      </c>
      <c r="K472" s="1" t="str">
        <f>CONCATENATE(E472,I472,J472)</f>
        <v>305010926964371654380</v>
      </c>
      <c r="L472" s="4">
        <v>21</v>
      </c>
      <c r="M472" s="5">
        <v>0</v>
      </c>
      <c r="N472" s="5">
        <v>35859051.93</v>
      </c>
      <c r="O472" s="5">
        <v>7530400.9199999999</v>
      </c>
      <c r="P472" s="5">
        <v>45258177.009999998</v>
      </c>
    </row>
    <row r="473" spans="1:17" x14ac:dyDescent="0.25">
      <c r="A473" s="2">
        <v>45411</v>
      </c>
      <c r="B473" s="1" t="s">
        <v>292</v>
      </c>
      <c r="C473" s="1" t="s">
        <v>293</v>
      </c>
      <c r="D473" s="1" t="s">
        <v>16</v>
      </c>
      <c r="E473" s="1" t="s">
        <v>663</v>
      </c>
      <c r="F473" s="3">
        <v>11630</v>
      </c>
      <c r="G473" s="1" t="s">
        <v>17</v>
      </c>
      <c r="H473" s="29" t="s">
        <v>552</v>
      </c>
      <c r="I473" s="1">
        <v>1001</v>
      </c>
      <c r="J473" s="1">
        <v>2756</v>
      </c>
      <c r="K473" s="1" t="str">
        <f>CONCATENATE(E473,I473,J473)</f>
        <v>3050343016510012756</v>
      </c>
      <c r="L473" s="4">
        <v>21</v>
      </c>
      <c r="M473" s="5">
        <v>0</v>
      </c>
      <c r="N473" s="5">
        <v>1629463.75</v>
      </c>
      <c r="O473" s="5">
        <v>342187.39</v>
      </c>
      <c r="P473" s="5">
        <v>1971651.14</v>
      </c>
    </row>
    <row r="474" spans="1:17" x14ac:dyDescent="0.25">
      <c r="A474" s="30">
        <v>45411</v>
      </c>
      <c r="B474" s="31" t="s">
        <v>150</v>
      </c>
      <c r="C474" s="31" t="s">
        <v>151</v>
      </c>
      <c r="D474" s="31" t="s">
        <v>16</v>
      </c>
      <c r="E474" s="31" t="s">
        <v>627</v>
      </c>
      <c r="F474" s="32">
        <v>11627</v>
      </c>
      <c r="G474" s="31" t="s">
        <v>17</v>
      </c>
      <c r="H474" s="31" t="s">
        <v>553</v>
      </c>
      <c r="I474" s="31">
        <v>1001</v>
      </c>
      <c r="J474" s="31">
        <v>235246</v>
      </c>
      <c r="K474" s="31" t="str">
        <f>CONCATENATE(E474,I474,J474)</f>
        <v>305866115221001235246</v>
      </c>
      <c r="L474" s="33">
        <v>3</v>
      </c>
      <c r="M474" s="34">
        <v>0</v>
      </c>
      <c r="N474" s="34">
        <v>0</v>
      </c>
      <c r="O474" s="34">
        <v>121003.48</v>
      </c>
      <c r="P474" s="34">
        <v>0</v>
      </c>
    </row>
    <row r="475" spans="1:17" x14ac:dyDescent="0.25">
      <c r="A475" s="2">
        <v>45411</v>
      </c>
      <c r="B475" s="1" t="s">
        <v>150</v>
      </c>
      <c r="C475" s="1" t="s">
        <v>151</v>
      </c>
      <c r="D475" s="1" t="s">
        <v>16</v>
      </c>
      <c r="E475" s="1" t="s">
        <v>627</v>
      </c>
      <c r="F475" s="3">
        <v>11627</v>
      </c>
      <c r="G475" s="1" t="s">
        <v>17</v>
      </c>
      <c r="H475" s="29" t="s">
        <v>553</v>
      </c>
      <c r="I475" s="1">
        <v>1001</v>
      </c>
      <c r="J475" s="1">
        <v>235246</v>
      </c>
      <c r="K475" s="1" t="str">
        <f>CONCATENATE(E475,I475,J475)</f>
        <v>305866115221001235246</v>
      </c>
      <c r="L475" s="4">
        <v>21</v>
      </c>
      <c r="M475" s="5">
        <v>0</v>
      </c>
      <c r="N475" s="5">
        <v>4033449.2</v>
      </c>
      <c r="O475" s="5">
        <v>847024.33</v>
      </c>
      <c r="P475" s="5">
        <v>5203149.47</v>
      </c>
    </row>
    <row r="476" spans="1:17" x14ac:dyDescent="0.25">
      <c r="A476" s="30">
        <v>45411</v>
      </c>
      <c r="B476" s="31" t="s">
        <v>150</v>
      </c>
      <c r="C476" s="31" t="s">
        <v>151</v>
      </c>
      <c r="D476" s="31" t="s">
        <v>16</v>
      </c>
      <c r="E476" s="31" t="s">
        <v>627</v>
      </c>
      <c r="F476" s="32">
        <v>11628</v>
      </c>
      <c r="G476" s="31" t="s">
        <v>17</v>
      </c>
      <c r="H476" s="31" t="s">
        <v>554</v>
      </c>
      <c r="I476" s="31">
        <v>1001</v>
      </c>
      <c r="J476" s="31">
        <v>235247</v>
      </c>
      <c r="K476" s="31" t="str">
        <f>CONCATENATE(E476,I476,J476)</f>
        <v>305866115221001235247</v>
      </c>
      <c r="L476" s="33">
        <v>3</v>
      </c>
      <c r="M476" s="34">
        <v>0</v>
      </c>
      <c r="N476" s="34">
        <v>0</v>
      </c>
      <c r="O476" s="34">
        <v>29272.75</v>
      </c>
      <c r="P476" s="34">
        <v>0</v>
      </c>
    </row>
    <row r="477" spans="1:17" x14ac:dyDescent="0.25">
      <c r="A477" s="2">
        <v>45411</v>
      </c>
      <c r="B477" s="1" t="s">
        <v>150</v>
      </c>
      <c r="C477" s="1" t="s">
        <v>151</v>
      </c>
      <c r="D477" s="1" t="s">
        <v>16</v>
      </c>
      <c r="E477" s="1" t="s">
        <v>627</v>
      </c>
      <c r="F477" s="3">
        <v>11628</v>
      </c>
      <c r="G477" s="1" t="s">
        <v>17</v>
      </c>
      <c r="H477" s="29" t="s">
        <v>554</v>
      </c>
      <c r="I477" s="1">
        <v>1001</v>
      </c>
      <c r="J477" s="1">
        <v>235247</v>
      </c>
      <c r="K477" s="1" t="str">
        <f>CONCATENATE(E477,I477,J477)</f>
        <v>305866115221001235247</v>
      </c>
      <c r="L477" s="4">
        <v>21</v>
      </c>
      <c r="M477" s="5">
        <v>0</v>
      </c>
      <c r="N477" s="5">
        <v>975758.4</v>
      </c>
      <c r="O477" s="5">
        <v>204909.26</v>
      </c>
      <c r="P477" s="5">
        <v>1258728.33</v>
      </c>
    </row>
    <row r="478" spans="1:17" s="26" customFormat="1" x14ac:dyDescent="0.25">
      <c r="A478" s="30">
        <v>45411</v>
      </c>
      <c r="B478" s="31" t="s">
        <v>555</v>
      </c>
      <c r="C478" s="31" t="s">
        <v>556</v>
      </c>
      <c r="D478" s="31" t="s">
        <v>16</v>
      </c>
      <c r="E478" s="31" t="s">
        <v>704</v>
      </c>
      <c r="F478" s="32">
        <v>11764</v>
      </c>
      <c r="G478" s="31" t="s">
        <v>17</v>
      </c>
      <c r="H478" s="31" t="s">
        <v>557</v>
      </c>
      <c r="I478" s="31">
        <v>2024</v>
      </c>
      <c r="J478" s="31">
        <v>3321895</v>
      </c>
      <c r="K478" s="31" t="str">
        <f>CONCATENATE(E478,I478,J478)</f>
        <v>3060473101820243321895</v>
      </c>
      <c r="L478" s="33">
        <v>1.5</v>
      </c>
      <c r="M478" s="34">
        <v>0</v>
      </c>
      <c r="N478" s="34">
        <v>0</v>
      </c>
      <c r="O478" s="34">
        <v>3750</v>
      </c>
      <c r="P478" s="34">
        <v>0</v>
      </c>
      <c r="Q478" s="28"/>
    </row>
    <row r="479" spans="1:17" s="26" customFormat="1" x14ac:dyDescent="0.25">
      <c r="A479" s="21">
        <v>45411</v>
      </c>
      <c r="B479" s="22" t="s">
        <v>555</v>
      </c>
      <c r="C479" s="22" t="s">
        <v>556</v>
      </c>
      <c r="D479" s="22" t="s">
        <v>16</v>
      </c>
      <c r="E479" s="22" t="s">
        <v>704</v>
      </c>
      <c r="F479" s="23">
        <v>11764</v>
      </c>
      <c r="G479" s="22" t="s">
        <v>17</v>
      </c>
      <c r="H479" s="22" t="s">
        <v>557</v>
      </c>
      <c r="I479" s="22">
        <v>2024</v>
      </c>
      <c r="J479" s="22">
        <v>3321895</v>
      </c>
      <c r="K479" s="22" t="str">
        <f>CONCATENATE(E479,I479,J479)</f>
        <v>3060473101820243321895</v>
      </c>
      <c r="L479" s="24">
        <v>10.5</v>
      </c>
      <c r="M479" s="25">
        <v>300000</v>
      </c>
      <c r="N479" s="25">
        <v>250000</v>
      </c>
      <c r="O479" s="25">
        <v>26250</v>
      </c>
      <c r="P479" s="25">
        <v>585000</v>
      </c>
      <c r="Q479" s="28"/>
    </row>
    <row r="480" spans="1:17" s="26" customFormat="1" x14ac:dyDescent="0.25">
      <c r="A480" s="21">
        <v>45411</v>
      </c>
      <c r="B480" s="22" t="s">
        <v>103</v>
      </c>
      <c r="C480" s="22" t="s">
        <v>104</v>
      </c>
      <c r="D480" s="22" t="s">
        <v>28</v>
      </c>
      <c r="E480" s="22" t="s">
        <v>612</v>
      </c>
      <c r="F480" s="23">
        <v>11792</v>
      </c>
      <c r="G480" s="22" t="s">
        <v>17</v>
      </c>
      <c r="H480" s="22" t="s">
        <v>558</v>
      </c>
      <c r="I480" s="22">
        <v>2024</v>
      </c>
      <c r="J480" s="22">
        <v>15239919</v>
      </c>
      <c r="K480" s="22" t="str">
        <f>CONCATENATE(E480,I480,J480)</f>
        <v>33999242109202415239919</v>
      </c>
      <c r="L480" s="24">
        <v>0</v>
      </c>
      <c r="M480" s="25">
        <v>53135.27</v>
      </c>
      <c r="N480" s="25">
        <v>0</v>
      </c>
      <c r="O480" s="25">
        <v>0</v>
      </c>
      <c r="P480" s="25">
        <v>54197.97</v>
      </c>
      <c r="Q480" s="28"/>
    </row>
    <row r="481" spans="1:17" s="26" customFormat="1" x14ac:dyDescent="0.25">
      <c r="A481" s="21">
        <v>45411</v>
      </c>
      <c r="B481" s="22" t="s">
        <v>103</v>
      </c>
      <c r="C481" s="22" t="s">
        <v>104</v>
      </c>
      <c r="D481" s="22" t="s">
        <v>28</v>
      </c>
      <c r="E481" s="22" t="s">
        <v>612</v>
      </c>
      <c r="F481" s="23">
        <v>11791</v>
      </c>
      <c r="G481" s="22" t="s">
        <v>17</v>
      </c>
      <c r="H481" s="22" t="s">
        <v>559</v>
      </c>
      <c r="I481" s="22">
        <v>2024</v>
      </c>
      <c r="J481" s="22">
        <v>15240096</v>
      </c>
      <c r="K481" s="22" t="str">
        <f>CONCATENATE(E481,I481,J481)</f>
        <v>33999242109202415240096</v>
      </c>
      <c r="L481" s="24">
        <v>0</v>
      </c>
      <c r="M481" s="25">
        <v>81062.429999999993</v>
      </c>
      <c r="N481" s="25">
        <v>0</v>
      </c>
      <c r="O481" s="25">
        <v>0</v>
      </c>
      <c r="P481" s="25">
        <v>82683.63</v>
      </c>
      <c r="Q481" s="28"/>
    </row>
    <row r="482" spans="1:17" s="26" customFormat="1" x14ac:dyDescent="0.25">
      <c r="A482" s="30">
        <v>45411</v>
      </c>
      <c r="B482" s="31" t="s">
        <v>555</v>
      </c>
      <c r="C482" s="31" t="s">
        <v>556</v>
      </c>
      <c r="D482" s="31" t="s">
        <v>16</v>
      </c>
      <c r="E482" s="31" t="s">
        <v>704</v>
      </c>
      <c r="F482" s="32">
        <v>11760</v>
      </c>
      <c r="G482" s="31" t="s">
        <v>17</v>
      </c>
      <c r="H482" s="31" t="s">
        <v>560</v>
      </c>
      <c r="I482" s="31">
        <v>2024</v>
      </c>
      <c r="J482" s="31">
        <v>33218721</v>
      </c>
      <c r="K482" s="31" t="str">
        <f>CONCATENATE(E482,I482,J482)</f>
        <v>30604731018202433218721</v>
      </c>
      <c r="L482" s="33">
        <v>1.5</v>
      </c>
      <c r="M482" s="34">
        <v>0</v>
      </c>
      <c r="N482" s="34">
        <v>0</v>
      </c>
      <c r="O482" s="34">
        <v>32918.629999999997</v>
      </c>
      <c r="P482" s="34">
        <v>0</v>
      </c>
      <c r="Q482" s="28"/>
    </row>
    <row r="483" spans="1:17" s="26" customFormat="1" x14ac:dyDescent="0.25">
      <c r="A483" s="21">
        <v>45411</v>
      </c>
      <c r="B483" s="22" t="s">
        <v>555</v>
      </c>
      <c r="C483" s="22" t="s">
        <v>556</v>
      </c>
      <c r="D483" s="22" t="s">
        <v>16</v>
      </c>
      <c r="E483" s="22" t="s">
        <v>704</v>
      </c>
      <c r="F483" s="23">
        <v>11760</v>
      </c>
      <c r="G483" s="22" t="s">
        <v>17</v>
      </c>
      <c r="H483" s="22" t="s">
        <v>560</v>
      </c>
      <c r="I483" s="22">
        <v>2024</v>
      </c>
      <c r="J483" s="22">
        <v>33218721</v>
      </c>
      <c r="K483" s="22" t="str">
        <f>CONCATENATE(E483,I483,J483)</f>
        <v>30604731018202433218721</v>
      </c>
      <c r="L483" s="24">
        <v>10.5</v>
      </c>
      <c r="M483" s="25">
        <v>1694717.04</v>
      </c>
      <c r="N483" s="25">
        <v>2194574.92</v>
      </c>
      <c r="O483" s="25">
        <v>230430.37</v>
      </c>
      <c r="P483" s="25">
        <v>4196532.46</v>
      </c>
      <c r="Q483" s="28"/>
    </row>
    <row r="484" spans="1:17" x14ac:dyDescent="0.25">
      <c r="A484" s="2">
        <v>45411</v>
      </c>
      <c r="B484" s="1" t="s">
        <v>30</v>
      </c>
      <c r="C484" s="1" t="s">
        <v>31</v>
      </c>
      <c r="D484" s="1" t="s">
        <v>16</v>
      </c>
      <c r="E484" s="1" t="s">
        <v>592</v>
      </c>
      <c r="F484" s="3">
        <v>11649</v>
      </c>
      <c r="G484" s="1" t="s">
        <v>17</v>
      </c>
      <c r="H484" s="29" t="s">
        <v>561</v>
      </c>
      <c r="I484" s="1">
        <v>7008</v>
      </c>
      <c r="J484" s="1">
        <v>22666</v>
      </c>
      <c r="K484" s="1" t="str">
        <f>CONCATENATE(E484,I484,J484)</f>
        <v>30678774495700822666</v>
      </c>
      <c r="L484" s="4">
        <v>21</v>
      </c>
      <c r="M484" s="5">
        <v>5984.64</v>
      </c>
      <c r="N484" s="5">
        <v>69026.789999999994</v>
      </c>
      <c r="O484" s="5">
        <v>14495.63</v>
      </c>
      <c r="P484" s="5">
        <v>91757.4</v>
      </c>
    </row>
    <row r="485" spans="1:17" s="26" customFormat="1" x14ac:dyDescent="0.25">
      <c r="A485" s="21">
        <v>45412</v>
      </c>
      <c r="B485" s="22" t="s">
        <v>103</v>
      </c>
      <c r="C485" s="22" t="s">
        <v>104</v>
      </c>
      <c r="D485" s="22" t="s">
        <v>28</v>
      </c>
      <c r="E485" s="22" t="s">
        <v>612</v>
      </c>
      <c r="F485" s="23">
        <v>11754</v>
      </c>
      <c r="G485" s="22" t="s">
        <v>17</v>
      </c>
      <c r="H485" s="22" t="s">
        <v>562</v>
      </c>
      <c r="I485" s="22">
        <v>2024</v>
      </c>
      <c r="J485" s="22">
        <v>30042024</v>
      </c>
      <c r="K485" s="22" t="str">
        <f>CONCATENATE(E485,I485,J485)</f>
        <v>33999242109202430042024</v>
      </c>
      <c r="L485" s="24">
        <v>0</v>
      </c>
      <c r="M485" s="25">
        <v>11497.24</v>
      </c>
      <c r="N485" s="25">
        <v>0</v>
      </c>
      <c r="O485" s="25">
        <v>0</v>
      </c>
      <c r="P485" s="25">
        <v>248801.64</v>
      </c>
      <c r="Q485" s="28"/>
    </row>
    <row r="486" spans="1:17" s="26" customFormat="1" x14ac:dyDescent="0.25">
      <c r="A486" s="30">
        <v>45412</v>
      </c>
      <c r="B486" s="31" t="s">
        <v>123</v>
      </c>
      <c r="C486" s="31" t="s">
        <v>124</v>
      </c>
      <c r="D486" s="31" t="s">
        <v>16</v>
      </c>
      <c r="E486" s="31" t="s">
        <v>618</v>
      </c>
      <c r="F486" s="32">
        <v>11756</v>
      </c>
      <c r="G486" s="31" t="s">
        <v>17</v>
      </c>
      <c r="H486" s="31" t="s">
        <v>562</v>
      </c>
      <c r="I486" s="31">
        <v>2024</v>
      </c>
      <c r="J486" s="31">
        <v>30042024</v>
      </c>
      <c r="K486" s="31" t="str">
        <f>CONCATENATE(E486,I486,J486)</f>
        <v>30500008454202430042024</v>
      </c>
      <c r="L486" s="33">
        <v>1.5</v>
      </c>
      <c r="M486" s="34">
        <v>0</v>
      </c>
      <c r="N486" s="34">
        <v>0</v>
      </c>
      <c r="O486" s="34">
        <v>826.27</v>
      </c>
      <c r="P486" s="34">
        <v>0</v>
      </c>
      <c r="Q486" s="28"/>
    </row>
    <row r="487" spans="1:17" s="26" customFormat="1" x14ac:dyDescent="0.25">
      <c r="A487" s="30">
        <v>45412</v>
      </c>
      <c r="B487" s="31" t="s">
        <v>162</v>
      </c>
      <c r="C487" s="31" t="s">
        <v>163</v>
      </c>
      <c r="D487" s="31" t="s">
        <v>16</v>
      </c>
      <c r="E487" s="31" t="s">
        <v>630</v>
      </c>
      <c r="F487" s="32">
        <v>11749</v>
      </c>
      <c r="G487" s="31" t="s">
        <v>17</v>
      </c>
      <c r="H487" s="31" t="s">
        <v>562</v>
      </c>
      <c r="I487" s="31">
        <v>2024</v>
      </c>
      <c r="J487" s="31">
        <v>30042024</v>
      </c>
      <c r="K487" s="31" t="str">
        <f>CONCATENATE(E487,I487,J487)</f>
        <v>30500001735202430042024</v>
      </c>
      <c r="L487" s="33">
        <v>3</v>
      </c>
      <c r="M487" s="34">
        <v>0</v>
      </c>
      <c r="N487" s="34">
        <v>0</v>
      </c>
      <c r="O487" s="34">
        <v>5157.7</v>
      </c>
      <c r="P487" s="34">
        <v>0</v>
      </c>
      <c r="Q487" s="28"/>
    </row>
    <row r="488" spans="1:17" s="26" customFormat="1" x14ac:dyDescent="0.25">
      <c r="A488" s="30">
        <v>45412</v>
      </c>
      <c r="B488" s="31" t="s">
        <v>555</v>
      </c>
      <c r="C488" s="31" t="s">
        <v>556</v>
      </c>
      <c r="D488" s="31" t="s">
        <v>16</v>
      </c>
      <c r="E488" s="31" t="s">
        <v>704</v>
      </c>
      <c r="F488" s="32">
        <v>11752</v>
      </c>
      <c r="G488" s="31" t="s">
        <v>17</v>
      </c>
      <c r="H488" s="31" t="s">
        <v>562</v>
      </c>
      <c r="I488" s="31">
        <v>2024</v>
      </c>
      <c r="J488" s="31">
        <v>30042024</v>
      </c>
      <c r="K488" s="31" t="str">
        <f>CONCATENATE(E488,I488,J488)</f>
        <v>30604731018202430042024</v>
      </c>
      <c r="L488" s="33">
        <v>3</v>
      </c>
      <c r="M488" s="34">
        <v>0</v>
      </c>
      <c r="N488" s="34">
        <v>0</v>
      </c>
      <c r="O488" s="34">
        <v>875.91</v>
      </c>
      <c r="P488" s="34">
        <v>0</v>
      </c>
      <c r="Q488" s="28"/>
    </row>
    <row r="489" spans="1:17" s="26" customFormat="1" x14ac:dyDescent="0.25">
      <c r="A489" s="30">
        <v>45412</v>
      </c>
      <c r="B489" s="31" t="s">
        <v>123</v>
      </c>
      <c r="C489" s="31" t="s">
        <v>124</v>
      </c>
      <c r="D489" s="31" t="s">
        <v>16</v>
      </c>
      <c r="E489" s="31" t="s">
        <v>618</v>
      </c>
      <c r="F489" s="32">
        <v>11756</v>
      </c>
      <c r="G489" s="31" t="s">
        <v>17</v>
      </c>
      <c r="H489" s="31" t="s">
        <v>562</v>
      </c>
      <c r="I489" s="31">
        <v>2024</v>
      </c>
      <c r="J489" s="31">
        <v>30042024</v>
      </c>
      <c r="K489" s="31" t="str">
        <f>CONCATENATE(E489,I489,J489)</f>
        <v>30500008454202430042024</v>
      </c>
      <c r="L489" s="33">
        <v>3</v>
      </c>
      <c r="M489" s="34">
        <v>0</v>
      </c>
      <c r="N489" s="34">
        <v>0</v>
      </c>
      <c r="O489" s="34">
        <v>11068.78</v>
      </c>
      <c r="P489" s="34">
        <v>0</v>
      </c>
      <c r="Q489" s="28"/>
    </row>
    <row r="490" spans="1:17" s="26" customFormat="1" x14ac:dyDescent="0.25">
      <c r="A490" s="21">
        <v>45412</v>
      </c>
      <c r="B490" s="22" t="s">
        <v>162</v>
      </c>
      <c r="C490" s="22" t="s">
        <v>163</v>
      </c>
      <c r="D490" s="22" t="s">
        <v>16</v>
      </c>
      <c r="E490" s="22" t="s">
        <v>630</v>
      </c>
      <c r="F490" s="23">
        <v>11749</v>
      </c>
      <c r="G490" s="22" t="s">
        <v>17</v>
      </c>
      <c r="H490" s="22" t="s">
        <v>562</v>
      </c>
      <c r="I490" s="22">
        <v>2024</v>
      </c>
      <c r="J490" s="22">
        <v>30042024</v>
      </c>
      <c r="K490" s="22" t="str">
        <f>CONCATENATE(E490,I490,J490)</f>
        <v>30500001735202430042024</v>
      </c>
      <c r="L490" s="24">
        <v>10.5</v>
      </c>
      <c r="M490" s="25">
        <v>0</v>
      </c>
      <c r="N490" s="25">
        <f>O489*100/21</f>
        <v>52708.476190476191</v>
      </c>
      <c r="O490" s="25">
        <v>9469.18</v>
      </c>
      <c r="P490" s="25">
        <v>0</v>
      </c>
      <c r="Q490" s="28"/>
    </row>
    <row r="491" spans="1:17" s="26" customFormat="1" x14ac:dyDescent="0.25">
      <c r="A491" s="21">
        <v>45412</v>
      </c>
      <c r="B491" s="22" t="s">
        <v>123</v>
      </c>
      <c r="C491" s="22" t="s">
        <v>124</v>
      </c>
      <c r="D491" s="22" t="s">
        <v>16</v>
      </c>
      <c r="E491" s="22" t="s">
        <v>618</v>
      </c>
      <c r="F491" s="23">
        <v>11756</v>
      </c>
      <c r="G491" s="22" t="s">
        <v>17</v>
      </c>
      <c r="H491" s="22" t="s">
        <v>562</v>
      </c>
      <c r="I491" s="22">
        <v>2024</v>
      </c>
      <c r="J491" s="22">
        <v>30042024</v>
      </c>
      <c r="K491" s="22" t="str">
        <f>CONCATENATE(E491,I491,J491)</f>
        <v>30500008454202430042024</v>
      </c>
      <c r="L491" s="24">
        <v>10.5</v>
      </c>
      <c r="M491" s="25">
        <v>0</v>
      </c>
      <c r="N491" s="25">
        <f>O490*100/21</f>
        <v>45091.333333333336</v>
      </c>
      <c r="O491" s="25">
        <v>5783.87</v>
      </c>
      <c r="P491" s="25">
        <v>0</v>
      </c>
      <c r="Q491" s="28"/>
    </row>
    <row r="492" spans="1:17" s="26" customFormat="1" x14ac:dyDescent="0.25">
      <c r="A492" s="21">
        <v>45412</v>
      </c>
      <c r="B492" s="22" t="s">
        <v>162</v>
      </c>
      <c r="C492" s="22" t="s">
        <v>163</v>
      </c>
      <c r="D492" s="22" t="s">
        <v>16</v>
      </c>
      <c r="E492" s="22" t="s">
        <v>630</v>
      </c>
      <c r="F492" s="23">
        <v>11749</v>
      </c>
      <c r="G492" s="22" t="s">
        <v>17</v>
      </c>
      <c r="H492" s="22" t="s">
        <v>562</v>
      </c>
      <c r="I492" s="22">
        <v>2024</v>
      </c>
      <c r="J492" s="22">
        <v>30042024</v>
      </c>
      <c r="K492" s="22" t="str">
        <f>CONCATENATE(E492,I492,J492)</f>
        <v>30500001735202430042024</v>
      </c>
      <c r="L492" s="24">
        <v>21</v>
      </c>
      <c r="M492" s="25">
        <v>659.87</v>
      </c>
      <c r="N492" s="25">
        <v>110826.69</v>
      </c>
      <c r="O492" s="25">
        <v>4335.24</v>
      </c>
      <c r="P492" s="25">
        <v>134009.13</v>
      </c>
      <c r="Q492" s="28"/>
    </row>
    <row r="493" spans="1:17" s="26" customFormat="1" x14ac:dyDescent="0.25">
      <c r="A493" s="21">
        <v>45412</v>
      </c>
      <c r="B493" s="22" t="s">
        <v>555</v>
      </c>
      <c r="C493" s="22" t="s">
        <v>556</v>
      </c>
      <c r="D493" s="22" t="s">
        <v>16</v>
      </c>
      <c r="E493" s="22" t="s">
        <v>704</v>
      </c>
      <c r="F493" s="23">
        <v>11752</v>
      </c>
      <c r="G493" s="22" t="s">
        <v>17</v>
      </c>
      <c r="H493" s="22" t="s">
        <v>562</v>
      </c>
      <c r="I493" s="22">
        <v>2024</v>
      </c>
      <c r="J493" s="22">
        <v>30042024</v>
      </c>
      <c r="K493" s="22" t="str">
        <f>CONCATENATE(E493,I493,J493)</f>
        <v>30604731018202430042024</v>
      </c>
      <c r="L493" s="24">
        <v>21</v>
      </c>
      <c r="M493" s="25">
        <v>0</v>
      </c>
      <c r="N493" s="25">
        <v>30691</v>
      </c>
      <c r="O493" s="25">
        <v>6445.11</v>
      </c>
      <c r="P493" s="25">
        <v>38012.019999999997</v>
      </c>
      <c r="Q493" s="28"/>
    </row>
    <row r="494" spans="1:17" s="26" customFormat="1" x14ac:dyDescent="0.25">
      <c r="A494" s="21">
        <v>45412</v>
      </c>
      <c r="B494" s="22" t="s">
        <v>123</v>
      </c>
      <c r="C494" s="22" t="s">
        <v>124</v>
      </c>
      <c r="D494" s="22" t="s">
        <v>16</v>
      </c>
      <c r="E494" s="22" t="s">
        <v>618</v>
      </c>
      <c r="F494" s="23">
        <v>11756</v>
      </c>
      <c r="G494" s="22" t="s">
        <v>17</v>
      </c>
      <c r="H494" s="22" t="s">
        <v>562</v>
      </c>
      <c r="I494" s="22">
        <v>2024</v>
      </c>
      <c r="J494" s="22">
        <v>30042024</v>
      </c>
      <c r="K494" s="22" t="str">
        <f>CONCATENATE(E494,I494,J494)</f>
        <v>30500008454202430042024</v>
      </c>
      <c r="L494" s="24">
        <v>21</v>
      </c>
      <c r="M494" s="25">
        <v>498.8</v>
      </c>
      <c r="N494" s="25">
        <v>477253.08</v>
      </c>
      <c r="O494" s="25">
        <v>88655.4</v>
      </c>
      <c r="P494" s="25">
        <v>592337.82999999996</v>
      </c>
      <c r="Q494" s="28"/>
    </row>
    <row r="495" spans="1:17" s="26" customFormat="1" x14ac:dyDescent="0.25">
      <c r="A495" s="30">
        <v>45412</v>
      </c>
      <c r="B495" s="31" t="s">
        <v>123</v>
      </c>
      <c r="C495" s="31" t="s">
        <v>124</v>
      </c>
      <c r="D495" s="31" t="s">
        <v>16</v>
      </c>
      <c r="E495" s="31" t="s">
        <v>618</v>
      </c>
      <c r="F495" s="32">
        <v>11606</v>
      </c>
      <c r="G495" s="31" t="s">
        <v>17</v>
      </c>
      <c r="H495" s="31" t="s">
        <v>563</v>
      </c>
      <c r="I495" s="31">
        <v>2024</v>
      </c>
      <c r="J495" s="31">
        <v>80001001</v>
      </c>
      <c r="K495" s="31" t="str">
        <f>CONCATENATE(E495,I495,J495)</f>
        <v>30500008454202480001001</v>
      </c>
      <c r="L495" s="33">
        <v>1.5</v>
      </c>
      <c r="M495" s="34">
        <v>0</v>
      </c>
      <c r="N495" s="34">
        <v>0</v>
      </c>
      <c r="O495" s="34">
        <v>5462.29</v>
      </c>
      <c r="P495" s="34">
        <v>0</v>
      </c>
      <c r="Q495" s="28"/>
    </row>
    <row r="496" spans="1:17" s="26" customFormat="1" x14ac:dyDescent="0.25">
      <c r="A496" s="21">
        <v>45412</v>
      </c>
      <c r="B496" s="22" t="s">
        <v>123</v>
      </c>
      <c r="C496" s="22" t="s">
        <v>124</v>
      </c>
      <c r="D496" s="22" t="s">
        <v>16</v>
      </c>
      <c r="E496" s="22" t="s">
        <v>618</v>
      </c>
      <c r="F496" s="23">
        <v>11606</v>
      </c>
      <c r="G496" s="22" t="s">
        <v>17</v>
      </c>
      <c r="H496" s="22" t="s">
        <v>563</v>
      </c>
      <c r="I496" s="22">
        <v>2024</v>
      </c>
      <c r="J496" s="22">
        <v>80001001</v>
      </c>
      <c r="K496" s="22" t="str">
        <f>CONCATENATE(E496,I496,J496)</f>
        <v>30500008454202480001001</v>
      </c>
      <c r="L496" s="24">
        <v>10.5</v>
      </c>
      <c r="M496" s="25">
        <v>10697.28</v>
      </c>
      <c r="N496" s="25">
        <v>364153.68</v>
      </c>
      <c r="O496" s="25">
        <v>38236.129999999997</v>
      </c>
      <c r="P496" s="25">
        <v>425832.44</v>
      </c>
      <c r="Q496" s="28"/>
    </row>
    <row r="497" spans="1:17" s="26" customFormat="1" x14ac:dyDescent="0.25">
      <c r="A497" s="30">
        <v>45412</v>
      </c>
      <c r="B497" s="31" t="s">
        <v>123</v>
      </c>
      <c r="C497" s="31" t="s">
        <v>124</v>
      </c>
      <c r="D497" s="31" t="s">
        <v>16</v>
      </c>
      <c r="E497" s="31" t="s">
        <v>618</v>
      </c>
      <c r="F497" s="32">
        <v>11607</v>
      </c>
      <c r="G497" s="31" t="s">
        <v>17</v>
      </c>
      <c r="H497" s="31" t="s">
        <v>564</v>
      </c>
      <c r="I497" s="31">
        <v>2024</v>
      </c>
      <c r="J497" s="31">
        <v>90031601</v>
      </c>
      <c r="K497" s="31" t="str">
        <f>CONCATENATE(E497,I497,J497)</f>
        <v>30500008454202490031601</v>
      </c>
      <c r="L497" s="33">
        <v>1.5</v>
      </c>
      <c r="M497" s="34">
        <v>0</v>
      </c>
      <c r="N497" s="34">
        <v>0</v>
      </c>
      <c r="O497" s="34">
        <v>382.07</v>
      </c>
      <c r="P497" s="34">
        <v>0</v>
      </c>
      <c r="Q497" s="28"/>
    </row>
    <row r="498" spans="1:17" s="26" customFormat="1" x14ac:dyDescent="0.25">
      <c r="A498" s="21">
        <v>45412</v>
      </c>
      <c r="B498" s="22" t="s">
        <v>123</v>
      </c>
      <c r="C498" s="22" t="s">
        <v>124</v>
      </c>
      <c r="D498" s="22" t="s">
        <v>16</v>
      </c>
      <c r="E498" s="22" t="s">
        <v>618</v>
      </c>
      <c r="F498" s="23">
        <v>11607</v>
      </c>
      <c r="G498" s="22" t="s">
        <v>17</v>
      </c>
      <c r="H498" s="22" t="s">
        <v>564</v>
      </c>
      <c r="I498" s="22">
        <v>2024</v>
      </c>
      <c r="J498" s="22">
        <v>90031601</v>
      </c>
      <c r="K498" s="22" t="str">
        <f>CONCATENATE(E498,I498,J498)</f>
        <v>30500008454202490031601</v>
      </c>
      <c r="L498" s="24">
        <v>10.5</v>
      </c>
      <c r="M498" s="25">
        <v>748.23</v>
      </c>
      <c r="N498" s="25">
        <v>25471.23</v>
      </c>
      <c r="O498" s="25">
        <v>2674.47</v>
      </c>
      <c r="P498" s="25">
        <v>29785.43</v>
      </c>
      <c r="Q498" s="28"/>
    </row>
    <row r="499" spans="1:17" s="42" customFormat="1" x14ac:dyDescent="0.25">
      <c r="A499" s="37">
        <v>45412</v>
      </c>
      <c r="B499" s="38" t="s">
        <v>565</v>
      </c>
      <c r="C499" s="38" t="s">
        <v>566</v>
      </c>
      <c r="D499" s="38" t="s">
        <v>16</v>
      </c>
      <c r="E499" s="38" t="s">
        <v>705</v>
      </c>
      <c r="F499" s="39">
        <v>11655</v>
      </c>
      <c r="G499" s="38" t="s">
        <v>17</v>
      </c>
      <c r="H499" s="38" t="s">
        <v>567</v>
      </c>
      <c r="I499" s="38">
        <v>7</v>
      </c>
      <c r="J499" s="38">
        <v>19372</v>
      </c>
      <c r="K499" s="38" t="str">
        <f>CONCATENATE(E499,I499,J499)</f>
        <v>30715760475719372</v>
      </c>
      <c r="L499" s="40">
        <v>21</v>
      </c>
      <c r="M499" s="41">
        <v>5089.6000000000004</v>
      </c>
      <c r="N499" s="41">
        <v>59511.51</v>
      </c>
      <c r="O499" s="41">
        <v>12497.42</v>
      </c>
      <c r="P499" s="41">
        <v>77098.53</v>
      </c>
    </row>
    <row r="500" spans="1:17" x14ac:dyDescent="0.25">
      <c r="A500" s="30">
        <v>45412</v>
      </c>
      <c r="B500" s="31" t="s">
        <v>138</v>
      </c>
      <c r="C500" s="31" t="s">
        <v>139</v>
      </c>
      <c r="D500" s="31" t="s">
        <v>16</v>
      </c>
      <c r="E500" s="31" t="s">
        <v>623</v>
      </c>
      <c r="F500" s="32">
        <v>11699</v>
      </c>
      <c r="G500" s="31" t="s">
        <v>17</v>
      </c>
      <c r="H500" s="31" t="s">
        <v>568</v>
      </c>
      <c r="I500" s="31">
        <v>12</v>
      </c>
      <c r="J500" s="31">
        <v>79837</v>
      </c>
      <c r="K500" s="31" t="str">
        <f>CONCATENATE(E500,I500,J500)</f>
        <v>306976466271279837</v>
      </c>
      <c r="L500" s="33">
        <v>3</v>
      </c>
      <c r="M500" s="34">
        <v>0</v>
      </c>
      <c r="N500" s="34">
        <v>0</v>
      </c>
      <c r="O500" s="34">
        <v>390991.42</v>
      </c>
      <c r="P500" s="34">
        <v>0</v>
      </c>
    </row>
    <row r="501" spans="1:17" x14ac:dyDescent="0.25">
      <c r="A501" s="2">
        <v>45412</v>
      </c>
      <c r="B501" s="1" t="s">
        <v>138</v>
      </c>
      <c r="C501" s="1" t="s">
        <v>139</v>
      </c>
      <c r="D501" s="1" t="s">
        <v>16</v>
      </c>
      <c r="E501" s="1" t="s">
        <v>623</v>
      </c>
      <c r="F501" s="3">
        <v>11699</v>
      </c>
      <c r="G501" s="1" t="s">
        <v>17</v>
      </c>
      <c r="H501" s="29" t="s">
        <v>568</v>
      </c>
      <c r="I501" s="1">
        <v>12</v>
      </c>
      <c r="J501" s="1">
        <v>79837</v>
      </c>
      <c r="K501" s="1" t="str">
        <f>CONCATENATE(E501,I501,J501)</f>
        <v>306976466271279837</v>
      </c>
      <c r="L501" s="4">
        <v>21</v>
      </c>
      <c r="M501" s="5">
        <v>0</v>
      </c>
      <c r="N501" s="5">
        <v>13033047.26</v>
      </c>
      <c r="O501" s="5">
        <v>2736939.92</v>
      </c>
      <c r="P501" s="5">
        <v>16160978.6</v>
      </c>
    </row>
    <row r="502" spans="1:17" x14ac:dyDescent="0.25">
      <c r="A502" s="30">
        <v>45412</v>
      </c>
      <c r="B502" s="31" t="s">
        <v>254</v>
      </c>
      <c r="C502" s="31" t="s">
        <v>255</v>
      </c>
      <c r="D502" s="31" t="s">
        <v>16</v>
      </c>
      <c r="E502" s="31" t="s">
        <v>654</v>
      </c>
      <c r="F502" s="32">
        <v>11802</v>
      </c>
      <c r="G502" s="31" t="s">
        <v>17</v>
      </c>
      <c r="H502" s="31" t="s">
        <v>569</v>
      </c>
      <c r="I502" s="31">
        <v>18</v>
      </c>
      <c r="J502" s="31">
        <v>5701</v>
      </c>
      <c r="K502" s="31" t="str">
        <f>CONCATENATE(E502,I502,J502)</f>
        <v>30624419193185701</v>
      </c>
      <c r="L502" s="33">
        <v>3</v>
      </c>
      <c r="M502" s="34">
        <v>0</v>
      </c>
      <c r="N502" s="34">
        <v>0</v>
      </c>
      <c r="O502" s="34">
        <v>324000</v>
      </c>
      <c r="P502" s="34">
        <v>0</v>
      </c>
    </row>
    <row r="503" spans="1:17" x14ac:dyDescent="0.25">
      <c r="A503" s="2">
        <v>45412</v>
      </c>
      <c r="B503" s="1" t="s">
        <v>254</v>
      </c>
      <c r="C503" s="1" t="s">
        <v>255</v>
      </c>
      <c r="D503" s="1" t="s">
        <v>16</v>
      </c>
      <c r="E503" s="1" t="s">
        <v>654</v>
      </c>
      <c r="F503" s="3">
        <v>11802</v>
      </c>
      <c r="G503" s="1" t="s">
        <v>17</v>
      </c>
      <c r="H503" s="29" t="s">
        <v>569</v>
      </c>
      <c r="I503" s="1">
        <v>18</v>
      </c>
      <c r="J503" s="1">
        <v>5701</v>
      </c>
      <c r="K503" s="1" t="str">
        <f>CONCATENATE(E503,I503,J503)</f>
        <v>30624419193185701</v>
      </c>
      <c r="L503" s="4">
        <v>21</v>
      </c>
      <c r="M503" s="5">
        <v>0</v>
      </c>
      <c r="N503" s="5">
        <v>10800000</v>
      </c>
      <c r="O503" s="5">
        <v>2268000</v>
      </c>
      <c r="P503" s="5">
        <v>13608000</v>
      </c>
    </row>
    <row r="504" spans="1:17" x14ac:dyDescent="0.25">
      <c r="A504" s="30">
        <v>45412</v>
      </c>
      <c r="B504" s="31" t="s">
        <v>182</v>
      </c>
      <c r="C504" s="31" t="s">
        <v>183</v>
      </c>
      <c r="D504" s="31" t="s">
        <v>16</v>
      </c>
      <c r="E504" s="31" t="s">
        <v>636</v>
      </c>
      <c r="F504" s="32">
        <v>11700</v>
      </c>
      <c r="G504" s="31" t="s">
        <v>17</v>
      </c>
      <c r="H504" s="31" t="s">
        <v>570</v>
      </c>
      <c r="I504" s="31">
        <v>43</v>
      </c>
      <c r="J504" s="31">
        <v>293465</v>
      </c>
      <c r="K504" s="31" t="str">
        <f>CONCATENATE(E504,I504,J504)</f>
        <v>3050097982443293465</v>
      </c>
      <c r="L504" s="33">
        <v>3</v>
      </c>
      <c r="M504" s="34">
        <v>0</v>
      </c>
      <c r="N504" s="34">
        <v>0</v>
      </c>
      <c r="O504" s="34">
        <v>36626.18</v>
      </c>
      <c r="P504" s="34">
        <v>0</v>
      </c>
    </row>
    <row r="505" spans="1:17" x14ac:dyDescent="0.25">
      <c r="A505" s="2">
        <v>45412</v>
      </c>
      <c r="B505" s="1" t="s">
        <v>182</v>
      </c>
      <c r="C505" s="1" t="s">
        <v>183</v>
      </c>
      <c r="D505" s="1" t="s">
        <v>16</v>
      </c>
      <c r="E505" s="1" t="s">
        <v>636</v>
      </c>
      <c r="F505" s="3">
        <v>11700</v>
      </c>
      <c r="G505" s="1" t="s">
        <v>17</v>
      </c>
      <c r="H505" s="29" t="s">
        <v>570</v>
      </c>
      <c r="I505" s="1">
        <v>43</v>
      </c>
      <c r="J505" s="1">
        <v>293465</v>
      </c>
      <c r="K505" s="1" t="str">
        <f>CONCATENATE(E505,I505,J505)</f>
        <v>3050097982443293465</v>
      </c>
      <c r="L505" s="4">
        <v>21</v>
      </c>
      <c r="M505" s="5">
        <v>0</v>
      </c>
      <c r="N505" s="5">
        <v>1220872.5</v>
      </c>
      <c r="O505" s="5">
        <v>256383.23</v>
      </c>
      <c r="P505" s="5">
        <v>1574925.54</v>
      </c>
    </row>
    <row r="506" spans="1:17" x14ac:dyDescent="0.25">
      <c r="A506" s="2">
        <v>45412</v>
      </c>
      <c r="B506" s="1" t="s">
        <v>571</v>
      </c>
      <c r="C506" s="1" t="s">
        <v>572</v>
      </c>
      <c r="D506" s="1" t="s">
        <v>16</v>
      </c>
      <c r="E506" s="1" t="s">
        <v>706</v>
      </c>
      <c r="F506" s="3">
        <v>11742</v>
      </c>
      <c r="G506" s="1" t="s">
        <v>17</v>
      </c>
      <c r="H506" s="29" t="s">
        <v>573</v>
      </c>
      <c r="I506" s="1">
        <v>50</v>
      </c>
      <c r="J506" s="1">
        <v>3599412</v>
      </c>
      <c r="K506" s="1" t="str">
        <f>CONCATENATE(E506,I506,J506)</f>
        <v>30714112836503599412</v>
      </c>
      <c r="L506" s="4">
        <v>21</v>
      </c>
      <c r="M506" s="5">
        <v>0</v>
      </c>
      <c r="N506" s="5">
        <v>1818.18</v>
      </c>
      <c r="O506" s="5">
        <v>381.82</v>
      </c>
      <c r="P506" s="5">
        <v>2200</v>
      </c>
    </row>
    <row r="507" spans="1:17" x14ac:dyDescent="0.25">
      <c r="A507" s="30">
        <v>45412</v>
      </c>
      <c r="B507" s="31" t="s">
        <v>571</v>
      </c>
      <c r="C507" s="31" t="s">
        <v>572</v>
      </c>
      <c r="D507" s="31" t="s">
        <v>16</v>
      </c>
      <c r="E507" s="31" t="s">
        <v>706</v>
      </c>
      <c r="F507" s="32">
        <v>11743</v>
      </c>
      <c r="G507" s="31" t="s">
        <v>17</v>
      </c>
      <c r="H507" s="31" t="s">
        <v>574</v>
      </c>
      <c r="I507" s="31">
        <v>50</v>
      </c>
      <c r="J507" s="31">
        <v>3600471</v>
      </c>
      <c r="K507" s="31" t="str">
        <f>CONCATENATE(E507,I507,J507)</f>
        <v>30714112836503600471</v>
      </c>
      <c r="L507" s="33">
        <v>3</v>
      </c>
      <c r="M507" s="34">
        <v>0</v>
      </c>
      <c r="N507" s="34">
        <v>0</v>
      </c>
      <c r="O507" s="34">
        <v>74.38</v>
      </c>
      <c r="P507" s="34">
        <v>0</v>
      </c>
    </row>
    <row r="508" spans="1:17" x14ac:dyDescent="0.25">
      <c r="A508" s="2">
        <v>45412</v>
      </c>
      <c r="B508" s="1" t="s">
        <v>571</v>
      </c>
      <c r="C508" s="1" t="s">
        <v>572</v>
      </c>
      <c r="D508" s="1" t="s">
        <v>16</v>
      </c>
      <c r="E508" s="1" t="s">
        <v>706</v>
      </c>
      <c r="F508" s="3">
        <v>11743</v>
      </c>
      <c r="G508" s="1" t="s">
        <v>17</v>
      </c>
      <c r="H508" s="29" t="s">
        <v>574</v>
      </c>
      <c r="I508" s="1">
        <v>50</v>
      </c>
      <c r="J508" s="1">
        <v>3600471</v>
      </c>
      <c r="K508" s="1" t="str">
        <f>CONCATENATE(E508,I508,J508)</f>
        <v>30714112836503600471</v>
      </c>
      <c r="L508" s="4">
        <v>21</v>
      </c>
      <c r="M508" s="5">
        <v>0</v>
      </c>
      <c r="N508" s="5">
        <v>2479.34</v>
      </c>
      <c r="O508" s="5">
        <v>520.66</v>
      </c>
      <c r="P508" s="5">
        <v>3074.38</v>
      </c>
    </row>
    <row r="509" spans="1:17" x14ac:dyDescent="0.25">
      <c r="A509" s="30">
        <v>45412</v>
      </c>
      <c r="B509" s="31" t="s">
        <v>571</v>
      </c>
      <c r="C509" s="31" t="s">
        <v>572</v>
      </c>
      <c r="D509" s="31" t="s">
        <v>16</v>
      </c>
      <c r="E509" s="31" t="s">
        <v>706</v>
      </c>
      <c r="F509" s="32">
        <v>11744</v>
      </c>
      <c r="G509" s="31" t="s">
        <v>17</v>
      </c>
      <c r="H509" s="31" t="s">
        <v>575</v>
      </c>
      <c r="I509" s="31">
        <v>50</v>
      </c>
      <c r="J509" s="31">
        <v>3601261</v>
      </c>
      <c r="K509" s="31" t="str">
        <f>CONCATENATE(E509,I509,J509)</f>
        <v>30714112836503601261</v>
      </c>
      <c r="L509" s="33">
        <v>3</v>
      </c>
      <c r="M509" s="34">
        <v>0</v>
      </c>
      <c r="N509" s="34">
        <v>0</v>
      </c>
      <c r="O509" s="34">
        <v>679.71</v>
      </c>
      <c r="P509" s="34">
        <v>0</v>
      </c>
    </row>
    <row r="510" spans="1:17" x14ac:dyDescent="0.25">
      <c r="A510" s="2">
        <v>45412</v>
      </c>
      <c r="B510" s="1" t="s">
        <v>571</v>
      </c>
      <c r="C510" s="1" t="s">
        <v>572</v>
      </c>
      <c r="D510" s="1" t="s">
        <v>16</v>
      </c>
      <c r="E510" s="1" t="s">
        <v>706</v>
      </c>
      <c r="F510" s="3">
        <v>11744</v>
      </c>
      <c r="G510" s="1" t="s">
        <v>17</v>
      </c>
      <c r="H510" s="29" t="s">
        <v>575</v>
      </c>
      <c r="I510" s="1">
        <v>50</v>
      </c>
      <c r="J510" s="1">
        <v>3601261</v>
      </c>
      <c r="K510" s="1" t="str">
        <f>CONCATENATE(E510,I510,J510)</f>
        <v>30714112836503601261</v>
      </c>
      <c r="L510" s="4">
        <v>21</v>
      </c>
      <c r="M510" s="5">
        <v>0</v>
      </c>
      <c r="N510" s="5">
        <v>22657.03</v>
      </c>
      <c r="O510" s="5">
        <v>4757.97</v>
      </c>
      <c r="P510" s="5">
        <v>29227.56</v>
      </c>
    </row>
    <row r="511" spans="1:17" x14ac:dyDescent="0.25">
      <c r="A511" s="2">
        <v>45412</v>
      </c>
      <c r="B511" s="1" t="s">
        <v>305</v>
      </c>
      <c r="C511" s="1" t="s">
        <v>306</v>
      </c>
      <c r="D511" s="1" t="s">
        <v>16</v>
      </c>
      <c r="E511" s="1" t="s">
        <v>666</v>
      </c>
      <c r="F511" s="3">
        <v>11638</v>
      </c>
      <c r="G511" s="1" t="s">
        <v>21</v>
      </c>
      <c r="H511" s="29" t="s">
        <v>586</v>
      </c>
      <c r="I511" s="1">
        <v>135</v>
      </c>
      <c r="J511" s="1">
        <v>221779</v>
      </c>
      <c r="K511" s="1" t="str">
        <f>CONCATENATE(E511,I511,J511)</f>
        <v>30566108352135221779</v>
      </c>
      <c r="L511" s="4">
        <v>21</v>
      </c>
      <c r="M511" s="5">
        <v>0</v>
      </c>
      <c r="N511" s="5">
        <v>-3620729.41</v>
      </c>
      <c r="O511" s="5">
        <v>-760353.18</v>
      </c>
      <c r="P511" s="5">
        <v>-4381082.59</v>
      </c>
    </row>
    <row r="512" spans="1:17" x14ac:dyDescent="0.25">
      <c r="A512" s="30">
        <v>45412</v>
      </c>
      <c r="B512" s="31" t="s">
        <v>86</v>
      </c>
      <c r="C512" s="31" t="s">
        <v>87</v>
      </c>
      <c r="D512" s="31" t="s">
        <v>16</v>
      </c>
      <c r="E512" s="31" t="s">
        <v>608</v>
      </c>
      <c r="F512" s="32">
        <v>11755</v>
      </c>
      <c r="G512" s="31" t="s">
        <v>17</v>
      </c>
      <c r="H512" s="31" t="s">
        <v>576</v>
      </c>
      <c r="I512" s="31">
        <v>601</v>
      </c>
      <c r="J512" s="31">
        <v>262150</v>
      </c>
      <c r="K512" s="31" t="str">
        <f>CONCATENATE(E512,I512,J512)</f>
        <v>30525390086601262150</v>
      </c>
      <c r="L512" s="33">
        <v>3</v>
      </c>
      <c r="M512" s="34">
        <v>0</v>
      </c>
      <c r="N512" s="34">
        <v>0</v>
      </c>
      <c r="O512" s="34">
        <v>16462.919999999998</v>
      </c>
      <c r="P512" s="34">
        <v>0</v>
      </c>
    </row>
    <row r="513" spans="1:16" x14ac:dyDescent="0.25">
      <c r="A513" s="2">
        <v>45412</v>
      </c>
      <c r="B513" s="1" t="s">
        <v>86</v>
      </c>
      <c r="C513" s="1" t="s">
        <v>87</v>
      </c>
      <c r="D513" s="1" t="s">
        <v>16</v>
      </c>
      <c r="E513" s="1" t="s">
        <v>608</v>
      </c>
      <c r="F513" s="3">
        <v>11755</v>
      </c>
      <c r="G513" s="1" t="s">
        <v>17</v>
      </c>
      <c r="H513" s="29" t="s">
        <v>576</v>
      </c>
      <c r="I513" s="1">
        <v>601</v>
      </c>
      <c r="J513" s="1">
        <v>262150</v>
      </c>
      <c r="K513" s="1" t="str">
        <f>CONCATENATE(E513,I513,J513)</f>
        <v>30525390086601262150</v>
      </c>
      <c r="L513" s="4">
        <v>21</v>
      </c>
      <c r="M513" s="5">
        <v>36886.78</v>
      </c>
      <c r="N513" s="5">
        <v>548763.93999999994</v>
      </c>
      <c r="O513" s="5">
        <v>115240.42</v>
      </c>
      <c r="P513" s="5">
        <v>729067.08</v>
      </c>
    </row>
    <row r="514" spans="1:16" x14ac:dyDescent="0.25">
      <c r="A514" s="30">
        <v>45412</v>
      </c>
      <c r="B514" s="31" t="s">
        <v>158</v>
      </c>
      <c r="C514" s="31" t="s">
        <v>159</v>
      </c>
      <c r="D514" s="31" t="s">
        <v>16</v>
      </c>
      <c r="E514" s="31" t="s">
        <v>629</v>
      </c>
      <c r="F514" s="32">
        <v>11631</v>
      </c>
      <c r="G514" s="31" t="s">
        <v>17</v>
      </c>
      <c r="H514" s="31" t="s">
        <v>577</v>
      </c>
      <c r="I514" s="31">
        <v>6004</v>
      </c>
      <c r="J514" s="31">
        <v>3607093</v>
      </c>
      <c r="K514" s="31" t="str">
        <f>CONCATENATE(E514,I514,J514)</f>
        <v>3050111624260043607093</v>
      </c>
      <c r="L514" s="33">
        <v>3</v>
      </c>
      <c r="M514" s="34">
        <v>0</v>
      </c>
      <c r="N514" s="34">
        <v>0</v>
      </c>
      <c r="O514" s="34">
        <v>36131.71</v>
      </c>
      <c r="P514" s="34">
        <v>0</v>
      </c>
    </row>
    <row r="515" spans="1:16" x14ac:dyDescent="0.25">
      <c r="A515" s="2">
        <v>45412</v>
      </c>
      <c r="B515" s="1" t="s">
        <v>158</v>
      </c>
      <c r="C515" s="1" t="s">
        <v>159</v>
      </c>
      <c r="D515" s="1" t="s">
        <v>16</v>
      </c>
      <c r="E515" s="1" t="s">
        <v>629</v>
      </c>
      <c r="F515" s="3">
        <v>11631</v>
      </c>
      <c r="G515" s="1" t="s">
        <v>17</v>
      </c>
      <c r="H515" s="29" t="s">
        <v>577</v>
      </c>
      <c r="I515" s="1">
        <v>6004</v>
      </c>
      <c r="J515" s="1">
        <v>3607093</v>
      </c>
      <c r="K515" s="1" t="str">
        <f>CONCATENATE(E515,I515,J515)</f>
        <v>3050111624260043607093</v>
      </c>
      <c r="L515" s="4">
        <v>21</v>
      </c>
      <c r="M515" s="5">
        <v>0</v>
      </c>
      <c r="N515" s="5">
        <v>1204390.33</v>
      </c>
      <c r="O515" s="5">
        <v>252921.97</v>
      </c>
      <c r="P515" s="5">
        <v>1517531.82</v>
      </c>
    </row>
    <row r="516" spans="1:16" x14ac:dyDescent="0.25">
      <c r="A516" s="2">
        <v>45412</v>
      </c>
      <c r="B516" s="1" t="s">
        <v>19</v>
      </c>
      <c r="C516" s="1" t="s">
        <v>20</v>
      </c>
      <c r="D516" s="1" t="s">
        <v>16</v>
      </c>
      <c r="E516" s="1" t="s">
        <v>589</v>
      </c>
      <c r="F516" s="3">
        <v>11629</v>
      </c>
      <c r="G516" s="1" t="s">
        <v>17</v>
      </c>
      <c r="H516" s="29" t="s">
        <v>578</v>
      </c>
      <c r="I516" s="1">
        <v>6156</v>
      </c>
      <c r="J516" s="1">
        <v>6737586</v>
      </c>
      <c r="K516" s="1" t="str">
        <f>CONCATENATE(E516,I516,J516)</f>
        <v>3054724233161566737586</v>
      </c>
      <c r="L516" s="4">
        <v>21</v>
      </c>
      <c r="M516" s="5">
        <v>0</v>
      </c>
      <c r="N516" s="5">
        <v>19294.740000000002</v>
      </c>
      <c r="O516" s="5">
        <v>4051.9</v>
      </c>
      <c r="P516" s="5">
        <v>23732.53</v>
      </c>
    </row>
    <row r="517" spans="1:16" x14ac:dyDescent="0.25">
      <c r="A517" s="30">
        <v>45412</v>
      </c>
      <c r="B517" s="31" t="s">
        <v>266</v>
      </c>
      <c r="C517" s="31" t="s">
        <v>267</v>
      </c>
      <c r="D517" s="31" t="s">
        <v>16</v>
      </c>
      <c r="E517" s="31" t="s">
        <v>656</v>
      </c>
      <c r="F517" s="32">
        <v>11680</v>
      </c>
      <c r="G517" s="31" t="s">
        <v>17</v>
      </c>
      <c r="H517" s="31" t="s">
        <v>579</v>
      </c>
      <c r="I517" s="31">
        <v>6364</v>
      </c>
      <c r="J517" s="31">
        <v>8290087</v>
      </c>
      <c r="K517" s="31" t="str">
        <f>CONCATENATE(E517,I517,J517)</f>
        <v>3063945373863648290087</v>
      </c>
      <c r="L517" s="33">
        <v>3</v>
      </c>
      <c r="M517" s="34">
        <v>0</v>
      </c>
      <c r="N517" s="34">
        <v>0</v>
      </c>
      <c r="O517" s="34">
        <v>6810.12</v>
      </c>
      <c r="P517" s="34">
        <v>0</v>
      </c>
    </row>
    <row r="518" spans="1:16" x14ac:dyDescent="0.25">
      <c r="A518" s="2">
        <v>45412</v>
      </c>
      <c r="B518" s="1" t="s">
        <v>266</v>
      </c>
      <c r="C518" s="1" t="s">
        <v>267</v>
      </c>
      <c r="D518" s="1" t="s">
        <v>16</v>
      </c>
      <c r="E518" s="1" t="s">
        <v>656</v>
      </c>
      <c r="F518" s="3">
        <v>11680</v>
      </c>
      <c r="G518" s="1" t="s">
        <v>17</v>
      </c>
      <c r="H518" s="29" t="s">
        <v>579</v>
      </c>
      <c r="I518" s="1">
        <v>6364</v>
      </c>
      <c r="J518" s="1">
        <v>8290087</v>
      </c>
      <c r="K518" s="1" t="str">
        <f>CONCATENATE(E518,I518,J518)</f>
        <v>3063945373863648290087</v>
      </c>
      <c r="L518" s="4">
        <v>21</v>
      </c>
      <c r="M518" s="5">
        <v>59.93</v>
      </c>
      <c r="N518" s="5">
        <v>227003.84</v>
      </c>
      <c r="O518" s="5">
        <v>47222.91</v>
      </c>
      <c r="P518" s="5">
        <v>288679.38</v>
      </c>
    </row>
    <row r="519" spans="1:16" x14ac:dyDescent="0.25">
      <c r="A519" s="2">
        <v>45412</v>
      </c>
      <c r="B519" s="1" t="s">
        <v>266</v>
      </c>
      <c r="C519" s="1" t="s">
        <v>267</v>
      </c>
      <c r="D519" s="1" t="s">
        <v>16</v>
      </c>
      <c r="E519" s="1" t="s">
        <v>656</v>
      </c>
      <c r="F519" s="3">
        <v>11680</v>
      </c>
      <c r="G519" s="1" t="s">
        <v>17</v>
      </c>
      <c r="H519" s="1" t="s">
        <v>579</v>
      </c>
      <c r="I519" s="1">
        <v>6364</v>
      </c>
      <c r="J519" s="1">
        <v>8290087</v>
      </c>
      <c r="K519" s="1" t="str">
        <f>CONCATENATE(E519,I519,J519)</f>
        <v>3063945373863648290087</v>
      </c>
      <c r="L519" s="4">
        <v>27</v>
      </c>
      <c r="M519" s="5">
        <v>0</v>
      </c>
      <c r="N519" s="5">
        <v>0</v>
      </c>
      <c r="O519" s="5">
        <v>575.87</v>
      </c>
      <c r="P519" s="5">
        <v>0</v>
      </c>
    </row>
    <row r="520" spans="1:16" x14ac:dyDescent="0.25">
      <c r="A520" s="2">
        <v>45412</v>
      </c>
      <c r="B520" s="1" t="s">
        <v>117</v>
      </c>
      <c r="C520" s="1" t="s">
        <v>118</v>
      </c>
      <c r="D520" s="1" t="s">
        <v>112</v>
      </c>
      <c r="E520" s="1" t="s">
        <v>616</v>
      </c>
      <c r="F520" s="3">
        <v>11688</v>
      </c>
      <c r="G520" s="1" t="s">
        <v>21</v>
      </c>
      <c r="H520" s="1" t="s">
        <v>587</v>
      </c>
      <c r="I520" s="1">
        <v>2</v>
      </c>
      <c r="J520" s="1">
        <v>6</v>
      </c>
      <c r="K520" s="1" t="str">
        <f>CONCATENATE(E520,I520,J520)</f>
        <v>2033006598326</v>
      </c>
      <c r="L520" s="4">
        <v>0</v>
      </c>
      <c r="M520" s="5">
        <v>-150250</v>
      </c>
      <c r="N520" s="5">
        <v>0</v>
      </c>
      <c r="O520" s="5">
        <v>0</v>
      </c>
      <c r="P520" s="5">
        <v>-150250</v>
      </c>
    </row>
    <row r="521" spans="1:16" x14ac:dyDescent="0.25">
      <c r="A521" s="2">
        <v>45412</v>
      </c>
      <c r="B521" s="1" t="s">
        <v>117</v>
      </c>
      <c r="C521" s="1" t="s">
        <v>118</v>
      </c>
      <c r="D521" s="1" t="s">
        <v>112</v>
      </c>
      <c r="E521" s="1" t="s">
        <v>616</v>
      </c>
      <c r="F521" s="3">
        <v>11686</v>
      </c>
      <c r="G521" s="1" t="s">
        <v>17</v>
      </c>
      <c r="H521" s="1" t="s">
        <v>580</v>
      </c>
      <c r="I521" s="1">
        <v>2</v>
      </c>
      <c r="J521" s="1">
        <v>189</v>
      </c>
      <c r="K521" s="1" t="str">
        <f>CONCATENATE(E521,I521,J521)</f>
        <v>203300659832189</v>
      </c>
      <c r="L521" s="4">
        <v>0</v>
      </c>
      <c r="M521" s="5">
        <v>150250</v>
      </c>
      <c r="N521" s="5">
        <v>0</v>
      </c>
      <c r="O521" s="5">
        <v>0</v>
      </c>
      <c r="P521" s="5">
        <v>150250</v>
      </c>
    </row>
    <row r="522" spans="1:16" x14ac:dyDescent="0.25">
      <c r="A522" s="2">
        <v>45412</v>
      </c>
      <c r="B522" s="1" t="s">
        <v>581</v>
      </c>
      <c r="C522" s="1" t="s">
        <v>582</v>
      </c>
      <c r="D522" s="1" t="s">
        <v>112</v>
      </c>
      <c r="E522" s="1" t="s">
        <v>707</v>
      </c>
      <c r="F522" s="3">
        <v>11682</v>
      </c>
      <c r="G522" s="1" t="s">
        <v>17</v>
      </c>
      <c r="H522" s="1" t="s">
        <v>583</v>
      </c>
      <c r="I522" s="1">
        <v>2</v>
      </c>
      <c r="J522" s="1">
        <v>352</v>
      </c>
      <c r="K522" s="1" t="str">
        <f>CONCATENATE(E522,I522,J522)</f>
        <v>202452948252352</v>
      </c>
      <c r="L522" s="4">
        <v>0</v>
      </c>
      <c r="M522" s="5">
        <v>24000</v>
      </c>
      <c r="N522" s="5">
        <v>0</v>
      </c>
      <c r="O522" s="5">
        <v>0</v>
      </c>
      <c r="P522" s="5">
        <v>24000</v>
      </c>
    </row>
    <row r="523" spans="1:16" x14ac:dyDescent="0.25">
      <c r="A523" s="2">
        <v>45412</v>
      </c>
      <c r="B523" s="1" t="s">
        <v>258</v>
      </c>
      <c r="C523" s="1" t="s">
        <v>259</v>
      </c>
      <c r="D523" s="1" t="s">
        <v>112</v>
      </c>
      <c r="E523" s="1" t="s">
        <v>655</v>
      </c>
      <c r="F523" s="3">
        <v>11584</v>
      </c>
      <c r="G523" s="1" t="s">
        <v>17</v>
      </c>
      <c r="H523" s="1" t="s">
        <v>584</v>
      </c>
      <c r="I523" s="1">
        <v>7</v>
      </c>
      <c r="J523" s="1">
        <v>72</v>
      </c>
      <c r="K523" s="1" t="str">
        <f>CONCATENATE(E523,I523,J523)</f>
        <v>27316244918772</v>
      </c>
      <c r="L523" s="4">
        <v>0</v>
      </c>
      <c r="M523" s="5">
        <v>250000</v>
      </c>
      <c r="N523" s="5">
        <v>0</v>
      </c>
      <c r="O523" s="5">
        <v>0</v>
      </c>
      <c r="P523" s="5">
        <v>250000</v>
      </c>
    </row>
    <row r="524" spans="1:16" x14ac:dyDescent="0.25">
      <c r="A524" s="2">
        <v>45412</v>
      </c>
      <c r="B524" s="1" t="s">
        <v>258</v>
      </c>
      <c r="C524" s="1" t="s">
        <v>259</v>
      </c>
      <c r="D524" s="1" t="s">
        <v>112</v>
      </c>
      <c r="E524" s="1" t="s">
        <v>655</v>
      </c>
      <c r="F524" s="3">
        <v>11585</v>
      </c>
      <c r="G524" s="1" t="s">
        <v>17</v>
      </c>
      <c r="H524" s="1" t="s">
        <v>585</v>
      </c>
      <c r="I524" s="1">
        <v>7</v>
      </c>
      <c r="J524" s="1">
        <v>73</v>
      </c>
      <c r="K524" s="1" t="str">
        <f>CONCATENATE(E524,I524,J524)</f>
        <v>27316244918773</v>
      </c>
      <c r="L524" s="4">
        <v>0</v>
      </c>
      <c r="M524" s="5">
        <v>100000</v>
      </c>
      <c r="N524" s="5">
        <v>0</v>
      </c>
      <c r="O524" s="5">
        <v>0</v>
      </c>
      <c r="P524" s="5">
        <v>100000</v>
      </c>
    </row>
    <row r="525" spans="1:16" ht="15.75" x14ac:dyDescent="0.25">
      <c r="A525" s="2"/>
      <c r="F525" s="3"/>
      <c r="L525" s="4"/>
      <c r="M525" s="20">
        <f>SUBTOTAL(109,Tabla1[IMP_EXENTO])</f>
        <v>40084894.320000015</v>
      </c>
      <c r="N525" s="20">
        <f>SUBTOTAL(109,Tabla1[IMP_NETO])</f>
        <v>502158167.52952349</v>
      </c>
      <c r="O525" s="20">
        <f>SUBTOTAL(109,Tabla1[IMP_IVA])</f>
        <v>112660697.44000007</v>
      </c>
      <c r="P525" s="20">
        <f>SUBTOTAL(109,Tabla1[IMP_TOTAL])</f>
        <v>669383947.70999968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45"/>
  <sheetViews>
    <sheetView workbookViewId="0">
      <selection activeCell="J9" sqref="J9"/>
    </sheetView>
  </sheetViews>
  <sheetFormatPr baseColWidth="10" defaultRowHeight="15" x14ac:dyDescent="0.25"/>
  <cols>
    <col min="2" max="2" width="20.28515625" bestFit="1" customWidth="1"/>
    <col min="5" max="5" width="23.28515625" bestFit="1" customWidth="1"/>
    <col min="6" max="6" width="19" bestFit="1" customWidth="1"/>
    <col min="8" max="8" width="17.85546875" bestFit="1" customWidth="1"/>
    <col min="10" max="10" width="20.140625" bestFit="1" customWidth="1"/>
    <col min="15" max="15" width="12.7109375" bestFit="1" customWidth="1"/>
    <col min="16" max="16" width="13.140625" style="28" bestFit="1" customWidth="1"/>
  </cols>
  <sheetData>
    <row r="1" spans="1:18" x14ac:dyDescent="0.25">
      <c r="A1" s="6" t="s">
        <v>708</v>
      </c>
      <c r="B1" s="6" t="s">
        <v>709</v>
      </c>
      <c r="C1" s="6" t="s">
        <v>710</v>
      </c>
      <c r="D1" s="6" t="s">
        <v>711</v>
      </c>
      <c r="E1" s="7" t="s">
        <v>712</v>
      </c>
      <c r="F1" s="6" t="s">
        <v>713</v>
      </c>
      <c r="G1" s="6" t="s">
        <v>714</v>
      </c>
      <c r="H1" s="6" t="s">
        <v>715</v>
      </c>
      <c r="I1" s="6" t="s">
        <v>716</v>
      </c>
      <c r="J1" s="11" t="s">
        <v>717</v>
      </c>
      <c r="K1" s="11" t="s">
        <v>718</v>
      </c>
      <c r="L1" s="11" t="s">
        <v>719</v>
      </c>
      <c r="M1" s="11" t="s">
        <v>720</v>
      </c>
      <c r="N1" s="11" t="s">
        <v>721</v>
      </c>
      <c r="O1" s="11" t="s">
        <v>722</v>
      </c>
      <c r="P1" s="27"/>
    </row>
    <row r="2" spans="1:18" x14ac:dyDescent="0.25">
      <c r="A2" t="s">
        <v>723</v>
      </c>
      <c r="B2" t="s">
        <v>724</v>
      </c>
      <c r="C2" s="3">
        <v>3</v>
      </c>
      <c r="D2" s="3">
        <v>1360</v>
      </c>
      <c r="E2" s="8" t="s">
        <v>725</v>
      </c>
      <c r="F2" s="3">
        <v>74156171065324</v>
      </c>
      <c r="G2" t="s">
        <v>726</v>
      </c>
      <c r="H2" s="3">
        <v>30714746436</v>
      </c>
      <c r="I2" t="s">
        <v>197</v>
      </c>
      <c r="J2" s="12">
        <v>2695114.82</v>
      </c>
      <c r="K2" s="12">
        <v>0</v>
      </c>
      <c r="L2" s="12">
        <v>0</v>
      </c>
      <c r="M2" s="12">
        <v>0</v>
      </c>
      <c r="N2" s="12">
        <v>565974.11</v>
      </c>
      <c r="O2" s="12">
        <v>3261088.93</v>
      </c>
      <c r="P2" s="27"/>
      <c r="R2" s="12"/>
    </row>
    <row r="3" spans="1:18" x14ac:dyDescent="0.25">
      <c r="A3" t="s">
        <v>727</v>
      </c>
      <c r="B3" t="s">
        <v>724</v>
      </c>
      <c r="C3" s="3">
        <v>3</v>
      </c>
      <c r="D3" s="3">
        <v>1366</v>
      </c>
      <c r="E3" s="8" t="s">
        <v>728</v>
      </c>
      <c r="F3" s="3">
        <v>74156541553391</v>
      </c>
      <c r="G3" t="s">
        <v>726</v>
      </c>
      <c r="H3" s="3">
        <v>30714746436</v>
      </c>
      <c r="I3" t="s">
        <v>197</v>
      </c>
      <c r="J3" s="12">
        <v>20400087.57</v>
      </c>
      <c r="K3" s="12">
        <v>0</v>
      </c>
      <c r="L3" s="12">
        <v>0</v>
      </c>
      <c r="M3" s="12">
        <v>0</v>
      </c>
      <c r="N3" s="12">
        <v>4284018.3899999997</v>
      </c>
      <c r="O3" s="12">
        <v>24684105.960000001</v>
      </c>
      <c r="P3" s="27"/>
      <c r="R3" s="12"/>
    </row>
    <row r="4" spans="1:18" x14ac:dyDescent="0.25">
      <c r="A4" t="s">
        <v>729</v>
      </c>
      <c r="B4" t="s">
        <v>724</v>
      </c>
      <c r="C4" s="3">
        <v>3</v>
      </c>
      <c r="D4" s="3">
        <v>1371</v>
      </c>
      <c r="E4" s="8" t="s">
        <v>730</v>
      </c>
      <c r="F4" s="3">
        <v>74166014708642</v>
      </c>
      <c r="G4" t="s">
        <v>726</v>
      </c>
      <c r="H4" s="3">
        <v>30714746436</v>
      </c>
      <c r="I4" t="s">
        <v>197</v>
      </c>
      <c r="J4" s="12">
        <v>458291.74</v>
      </c>
      <c r="K4" s="12">
        <v>0</v>
      </c>
      <c r="L4" s="12">
        <v>0</v>
      </c>
      <c r="M4" s="12">
        <v>0</v>
      </c>
      <c r="N4" s="12">
        <v>96241.27</v>
      </c>
      <c r="O4" s="12">
        <v>554533.01</v>
      </c>
      <c r="P4" s="27"/>
      <c r="R4" s="12"/>
    </row>
    <row r="5" spans="1:18" x14ac:dyDescent="0.25">
      <c r="A5" t="s">
        <v>731</v>
      </c>
      <c r="B5" t="s">
        <v>724</v>
      </c>
      <c r="C5" s="3">
        <v>12</v>
      </c>
      <c r="D5" s="3">
        <v>1586</v>
      </c>
      <c r="E5" s="8" t="s">
        <v>732</v>
      </c>
      <c r="F5" s="3">
        <v>74171647095626</v>
      </c>
      <c r="G5" t="s">
        <v>726</v>
      </c>
      <c r="H5" s="3">
        <v>30709151041</v>
      </c>
      <c r="I5" t="s">
        <v>733</v>
      </c>
      <c r="J5" s="12">
        <v>116004</v>
      </c>
      <c r="K5" s="12">
        <v>0</v>
      </c>
      <c r="L5" s="12">
        <v>0</v>
      </c>
      <c r="M5" s="12">
        <v>0</v>
      </c>
      <c r="N5" s="12">
        <v>24360.84</v>
      </c>
      <c r="O5" s="12">
        <v>140364.84</v>
      </c>
      <c r="P5" s="27"/>
      <c r="R5" s="12"/>
    </row>
    <row r="6" spans="1:18" x14ac:dyDescent="0.25">
      <c r="A6" t="s">
        <v>729</v>
      </c>
      <c r="B6" t="s">
        <v>724</v>
      </c>
      <c r="C6" s="3">
        <v>1</v>
      </c>
      <c r="D6" s="3">
        <v>441</v>
      </c>
      <c r="E6" s="8" t="s">
        <v>734</v>
      </c>
      <c r="F6" s="3">
        <v>74169009699668</v>
      </c>
      <c r="G6" t="s">
        <v>726</v>
      </c>
      <c r="H6" s="3">
        <v>33717710229</v>
      </c>
      <c r="I6" t="s">
        <v>328</v>
      </c>
      <c r="J6" s="12">
        <v>9000000</v>
      </c>
      <c r="K6" s="12">
        <v>0</v>
      </c>
      <c r="L6" s="12">
        <v>0</v>
      </c>
      <c r="M6" s="12">
        <v>0</v>
      </c>
      <c r="N6" s="12">
        <v>1890000</v>
      </c>
      <c r="O6" s="12">
        <v>10890000</v>
      </c>
      <c r="P6" s="27"/>
      <c r="R6" s="12"/>
    </row>
    <row r="7" spans="1:18" x14ac:dyDescent="0.25">
      <c r="A7" t="s">
        <v>735</v>
      </c>
      <c r="B7" t="s">
        <v>724</v>
      </c>
      <c r="C7" s="3">
        <v>3</v>
      </c>
      <c r="D7" s="3">
        <v>8263</v>
      </c>
      <c r="E7" s="8" t="s">
        <v>736</v>
      </c>
      <c r="F7" s="3">
        <v>74142736386211</v>
      </c>
      <c r="G7" t="s">
        <v>726</v>
      </c>
      <c r="H7" s="3">
        <v>30715113852</v>
      </c>
      <c r="I7" t="s">
        <v>130</v>
      </c>
      <c r="J7" s="12">
        <v>14297.52</v>
      </c>
      <c r="K7" s="12">
        <v>0</v>
      </c>
      <c r="L7" s="12">
        <v>0</v>
      </c>
      <c r="M7" s="12">
        <v>0</v>
      </c>
      <c r="N7" s="12">
        <v>3002.48</v>
      </c>
      <c r="O7" s="12">
        <v>17300</v>
      </c>
      <c r="P7" s="27"/>
      <c r="R7" s="12"/>
    </row>
    <row r="8" spans="1:18" x14ac:dyDescent="0.25">
      <c r="A8" s="14" t="s">
        <v>737</v>
      </c>
      <c r="B8" s="14" t="s">
        <v>724</v>
      </c>
      <c r="C8" s="15">
        <v>10</v>
      </c>
      <c r="D8" s="15">
        <v>693460</v>
      </c>
      <c r="E8" s="14" t="s">
        <v>738</v>
      </c>
      <c r="F8" s="15">
        <v>74147424940782</v>
      </c>
      <c r="G8" s="14" t="s">
        <v>726</v>
      </c>
      <c r="H8" s="15">
        <v>30707760237</v>
      </c>
      <c r="I8" s="14" t="s">
        <v>739</v>
      </c>
      <c r="J8" s="16">
        <v>156363</v>
      </c>
      <c r="K8" s="16">
        <v>0</v>
      </c>
      <c r="L8" s="16">
        <v>0</v>
      </c>
      <c r="M8" s="16">
        <v>0</v>
      </c>
      <c r="N8" s="16">
        <v>32130.21</v>
      </c>
      <c r="O8" s="16">
        <v>191620.47</v>
      </c>
      <c r="P8" s="27"/>
      <c r="R8" s="12"/>
    </row>
    <row r="9" spans="1:18" x14ac:dyDescent="0.25">
      <c r="A9" s="14" t="s">
        <v>740</v>
      </c>
      <c r="B9" s="14" t="s">
        <v>741</v>
      </c>
      <c r="C9" s="15">
        <v>10</v>
      </c>
      <c r="D9" s="15">
        <v>66624</v>
      </c>
      <c r="E9" s="14" t="s">
        <v>742</v>
      </c>
      <c r="F9" s="15">
        <v>74147650867601</v>
      </c>
      <c r="G9" s="14" t="s">
        <v>726</v>
      </c>
      <c r="H9" s="15">
        <v>30707760237</v>
      </c>
      <c r="I9" s="14" t="s">
        <v>739</v>
      </c>
      <c r="J9" s="16">
        <v>156363</v>
      </c>
      <c r="K9" s="16">
        <v>0</v>
      </c>
      <c r="L9" s="16">
        <v>0</v>
      </c>
      <c r="M9" s="16">
        <v>0</v>
      </c>
      <c r="N9" s="16">
        <v>32130.21</v>
      </c>
      <c r="O9" s="16">
        <v>191620.47</v>
      </c>
      <c r="P9" s="27"/>
      <c r="R9" s="12"/>
    </row>
    <row r="10" spans="1:18" x14ac:dyDescent="0.25">
      <c r="A10" t="s">
        <v>737</v>
      </c>
      <c r="B10" t="s">
        <v>724</v>
      </c>
      <c r="C10" s="3">
        <v>1326</v>
      </c>
      <c r="D10" s="3">
        <v>694755</v>
      </c>
      <c r="E10" s="8" t="s">
        <v>743</v>
      </c>
      <c r="F10" s="3">
        <v>74147691538467</v>
      </c>
      <c r="G10" t="s">
        <v>726</v>
      </c>
      <c r="H10" s="3">
        <v>30663288497</v>
      </c>
      <c r="I10" t="s">
        <v>57</v>
      </c>
      <c r="J10" s="12">
        <v>19100</v>
      </c>
      <c r="K10" s="12">
        <v>0</v>
      </c>
      <c r="L10" s="12">
        <v>0</v>
      </c>
      <c r="M10" s="12">
        <v>0</v>
      </c>
      <c r="N10" s="12">
        <v>4023</v>
      </c>
      <c r="O10" s="12">
        <v>24078</v>
      </c>
      <c r="P10" s="27"/>
      <c r="R10" s="12"/>
    </row>
    <row r="11" spans="1:18" x14ac:dyDescent="0.25">
      <c r="A11" t="s">
        <v>740</v>
      </c>
      <c r="B11" t="s">
        <v>744</v>
      </c>
      <c r="C11" s="3">
        <v>1</v>
      </c>
      <c r="D11" s="3">
        <v>25</v>
      </c>
      <c r="E11" s="8" t="s">
        <v>745</v>
      </c>
      <c r="F11" s="3">
        <v>74140637641193</v>
      </c>
      <c r="G11" t="s">
        <v>726</v>
      </c>
      <c r="H11" s="3">
        <v>20345349600</v>
      </c>
      <c r="I11" t="s">
        <v>111</v>
      </c>
      <c r="J11" s="12"/>
      <c r="K11" s="12"/>
      <c r="L11" s="12"/>
      <c r="M11" s="12">
        <v>0</v>
      </c>
      <c r="N11" s="12"/>
      <c r="O11" s="12">
        <v>653500</v>
      </c>
      <c r="P11" s="27"/>
      <c r="R11" s="12"/>
    </row>
    <row r="12" spans="1:18" x14ac:dyDescent="0.25">
      <c r="A12" t="s">
        <v>723</v>
      </c>
      <c r="B12" t="s">
        <v>744</v>
      </c>
      <c r="C12" s="3">
        <v>1</v>
      </c>
      <c r="D12" s="3">
        <v>26</v>
      </c>
      <c r="E12" s="8" t="s">
        <v>746</v>
      </c>
      <c r="F12" s="3">
        <v>74150204566303</v>
      </c>
      <c r="G12" t="s">
        <v>726</v>
      </c>
      <c r="H12" s="3">
        <v>20345349600</v>
      </c>
      <c r="I12" t="s">
        <v>111</v>
      </c>
      <c r="J12" s="12"/>
      <c r="K12" s="12"/>
      <c r="L12" s="12"/>
      <c r="M12" s="12">
        <v>0</v>
      </c>
      <c r="N12" s="12"/>
      <c r="O12" s="12">
        <v>510700</v>
      </c>
      <c r="P12" s="27"/>
      <c r="R12" s="12"/>
    </row>
    <row r="13" spans="1:18" x14ac:dyDescent="0.25">
      <c r="A13" t="s">
        <v>747</v>
      </c>
      <c r="B13" t="s">
        <v>724</v>
      </c>
      <c r="C13" s="3">
        <v>50</v>
      </c>
      <c r="D13" s="3">
        <v>3600471</v>
      </c>
      <c r="E13" s="8" t="s">
        <v>748</v>
      </c>
      <c r="F13" s="3">
        <v>74186867599684</v>
      </c>
      <c r="G13" t="s">
        <v>726</v>
      </c>
      <c r="H13" s="3">
        <v>30714112836</v>
      </c>
      <c r="I13" t="s">
        <v>572</v>
      </c>
      <c r="J13" s="12">
        <v>2479.34</v>
      </c>
      <c r="K13" s="12">
        <v>0</v>
      </c>
      <c r="L13" s="12">
        <v>0</v>
      </c>
      <c r="M13" s="12">
        <v>0</v>
      </c>
      <c r="N13" s="12">
        <v>520.66</v>
      </c>
      <c r="O13" s="12">
        <v>3074.38</v>
      </c>
      <c r="P13" s="27"/>
      <c r="R13" s="12"/>
    </row>
    <row r="14" spans="1:18" x14ac:dyDescent="0.25">
      <c r="A14" t="s">
        <v>747</v>
      </c>
      <c r="B14" t="s">
        <v>724</v>
      </c>
      <c r="C14" s="3">
        <v>50</v>
      </c>
      <c r="D14" s="3">
        <v>3599412</v>
      </c>
      <c r="E14" s="8" t="s">
        <v>749</v>
      </c>
      <c r="F14" s="3">
        <v>74186867457036</v>
      </c>
      <c r="G14" t="s">
        <v>726</v>
      </c>
      <c r="H14" s="3">
        <v>30714112836</v>
      </c>
      <c r="I14" t="s">
        <v>572</v>
      </c>
      <c r="J14" s="12">
        <v>1818.18</v>
      </c>
      <c r="K14" s="12">
        <v>0</v>
      </c>
      <c r="L14" s="12">
        <v>0</v>
      </c>
      <c r="M14" s="12">
        <v>0</v>
      </c>
      <c r="N14" s="12">
        <v>381.82</v>
      </c>
      <c r="O14" s="12">
        <v>2200</v>
      </c>
      <c r="P14" s="27"/>
      <c r="R14" s="12"/>
    </row>
    <row r="15" spans="1:18" x14ac:dyDescent="0.25">
      <c r="A15" t="s">
        <v>747</v>
      </c>
      <c r="B15" t="s">
        <v>724</v>
      </c>
      <c r="C15" s="3">
        <v>50</v>
      </c>
      <c r="D15" s="3">
        <v>3601261</v>
      </c>
      <c r="E15" s="8" t="s">
        <v>750</v>
      </c>
      <c r="F15" s="3">
        <v>74186867716974</v>
      </c>
      <c r="G15" t="s">
        <v>726</v>
      </c>
      <c r="H15" s="3">
        <v>30714112836</v>
      </c>
      <c r="I15" t="s">
        <v>572</v>
      </c>
      <c r="J15" s="12">
        <v>22657.03</v>
      </c>
      <c r="K15" s="12">
        <v>0</v>
      </c>
      <c r="L15" s="12">
        <v>0</v>
      </c>
      <c r="M15" s="12">
        <v>0</v>
      </c>
      <c r="N15" s="12">
        <v>4757.97</v>
      </c>
      <c r="O15" s="12">
        <v>29227.56</v>
      </c>
      <c r="P15" s="27"/>
      <c r="R15" s="12"/>
    </row>
    <row r="16" spans="1:18" x14ac:dyDescent="0.25">
      <c r="A16" t="s">
        <v>740</v>
      </c>
      <c r="B16" t="s">
        <v>724</v>
      </c>
      <c r="C16" s="3">
        <v>711</v>
      </c>
      <c r="D16" s="3">
        <v>5547334</v>
      </c>
      <c r="E16" s="8" t="s">
        <v>751</v>
      </c>
      <c r="F16" s="3">
        <v>34139832464946</v>
      </c>
      <c r="G16" t="s">
        <v>726</v>
      </c>
      <c r="H16" s="3">
        <v>30677237119</v>
      </c>
      <c r="I16" t="s">
        <v>752</v>
      </c>
      <c r="J16" s="12">
        <v>6818.1</v>
      </c>
      <c r="K16" s="12">
        <v>0</v>
      </c>
      <c r="L16" s="12">
        <v>204.54</v>
      </c>
      <c r="M16" s="12">
        <v>0</v>
      </c>
      <c r="N16" s="12">
        <v>1431.9</v>
      </c>
      <c r="O16" s="12">
        <v>8795.44</v>
      </c>
      <c r="P16" s="27"/>
      <c r="R16" s="12"/>
    </row>
    <row r="17" spans="1:18" x14ac:dyDescent="0.25">
      <c r="A17" t="s">
        <v>740</v>
      </c>
      <c r="B17" t="s">
        <v>724</v>
      </c>
      <c r="C17" s="3">
        <v>711</v>
      </c>
      <c r="D17" s="3">
        <v>5552104</v>
      </c>
      <c r="E17" s="8" t="s">
        <v>753</v>
      </c>
      <c r="F17" s="3">
        <v>34139832464946</v>
      </c>
      <c r="G17" t="s">
        <v>726</v>
      </c>
      <c r="H17" s="3">
        <v>30677237119</v>
      </c>
      <c r="I17" t="s">
        <v>752</v>
      </c>
      <c r="J17" s="12">
        <v>26694.04</v>
      </c>
      <c r="K17" s="12">
        <v>0</v>
      </c>
      <c r="L17" s="12">
        <v>800.82</v>
      </c>
      <c r="M17" s="12">
        <v>0</v>
      </c>
      <c r="N17" s="12">
        <v>5605.96</v>
      </c>
      <c r="O17" s="12">
        <v>34435.519999999997</v>
      </c>
      <c r="P17" s="27"/>
      <c r="R17" s="12"/>
    </row>
    <row r="18" spans="1:18" x14ac:dyDescent="0.25">
      <c r="A18" t="s">
        <v>740</v>
      </c>
      <c r="B18" t="s">
        <v>724</v>
      </c>
      <c r="C18" s="3">
        <v>711</v>
      </c>
      <c r="D18" s="3">
        <v>5550256</v>
      </c>
      <c r="E18" s="8" t="s">
        <v>754</v>
      </c>
      <c r="F18" s="3">
        <v>34139832464946</v>
      </c>
      <c r="G18" t="s">
        <v>726</v>
      </c>
      <c r="H18" s="3">
        <v>30677237119</v>
      </c>
      <c r="I18" t="s">
        <v>752</v>
      </c>
      <c r="J18" s="12">
        <v>9999.9699999999993</v>
      </c>
      <c r="K18" s="12">
        <v>0</v>
      </c>
      <c r="L18" s="12">
        <v>300</v>
      </c>
      <c r="M18" s="12">
        <v>0</v>
      </c>
      <c r="N18" s="12">
        <v>2100.0300000000002</v>
      </c>
      <c r="O18" s="12">
        <v>12900</v>
      </c>
      <c r="P18" s="27"/>
      <c r="R18" s="12"/>
    </row>
    <row r="19" spans="1:18" x14ac:dyDescent="0.25">
      <c r="A19" t="s">
        <v>755</v>
      </c>
      <c r="B19" t="s">
        <v>724</v>
      </c>
      <c r="C19" s="3">
        <v>711</v>
      </c>
      <c r="D19" s="3">
        <v>5606934</v>
      </c>
      <c r="E19" s="8" t="s">
        <v>756</v>
      </c>
      <c r="F19" s="3">
        <v>34159263768224</v>
      </c>
      <c r="G19" t="s">
        <v>726</v>
      </c>
      <c r="H19" s="3">
        <v>30677237119</v>
      </c>
      <c r="I19" t="s">
        <v>752</v>
      </c>
      <c r="J19" s="12">
        <v>14173.53</v>
      </c>
      <c r="K19" s="12">
        <v>0</v>
      </c>
      <c r="L19" s="12">
        <v>425.21</v>
      </c>
      <c r="M19" s="12">
        <v>0</v>
      </c>
      <c r="N19" s="12">
        <v>2976.47</v>
      </c>
      <c r="O19" s="12">
        <v>18283.89</v>
      </c>
      <c r="P19" s="27"/>
      <c r="R19" s="12"/>
    </row>
    <row r="20" spans="1:18" x14ac:dyDescent="0.25">
      <c r="A20" t="s">
        <v>755</v>
      </c>
      <c r="B20" t="s">
        <v>724</v>
      </c>
      <c r="C20" s="3">
        <v>711</v>
      </c>
      <c r="D20" s="3">
        <v>5604053</v>
      </c>
      <c r="E20" s="8" t="s">
        <v>757</v>
      </c>
      <c r="F20" s="3">
        <v>34159263768224</v>
      </c>
      <c r="G20" t="s">
        <v>726</v>
      </c>
      <c r="H20" s="3">
        <v>30677237119</v>
      </c>
      <c r="I20" t="s">
        <v>752</v>
      </c>
      <c r="J20" s="12">
        <v>4669.3599999999997</v>
      </c>
      <c r="K20" s="12">
        <v>0</v>
      </c>
      <c r="L20" s="12">
        <v>140.08000000000001</v>
      </c>
      <c r="M20" s="12">
        <v>0</v>
      </c>
      <c r="N20" s="12">
        <v>980.64</v>
      </c>
      <c r="O20" s="12">
        <v>6023.55</v>
      </c>
      <c r="P20" s="27"/>
      <c r="R20" s="12"/>
    </row>
    <row r="21" spans="1:18" x14ac:dyDescent="0.25">
      <c r="A21" t="s">
        <v>755</v>
      </c>
      <c r="B21" t="s">
        <v>724</v>
      </c>
      <c r="C21" s="3">
        <v>711</v>
      </c>
      <c r="D21" s="3">
        <v>5608770</v>
      </c>
      <c r="E21" s="8" t="s">
        <v>758</v>
      </c>
      <c r="F21" s="3">
        <v>34159263768224</v>
      </c>
      <c r="G21" t="s">
        <v>726</v>
      </c>
      <c r="H21" s="3">
        <v>30677237119</v>
      </c>
      <c r="I21" t="s">
        <v>752</v>
      </c>
      <c r="J21" s="12">
        <v>25908.94</v>
      </c>
      <c r="K21" s="12">
        <v>0</v>
      </c>
      <c r="L21" s="12">
        <v>777.27</v>
      </c>
      <c r="M21" s="12">
        <v>0</v>
      </c>
      <c r="N21" s="12">
        <v>5441.06</v>
      </c>
      <c r="O21" s="12">
        <v>33422.720000000001</v>
      </c>
      <c r="P21" s="27"/>
      <c r="R21" s="12"/>
    </row>
    <row r="22" spans="1:18" x14ac:dyDescent="0.25">
      <c r="A22" t="s">
        <v>735</v>
      </c>
      <c r="B22" t="s">
        <v>724</v>
      </c>
      <c r="C22" s="3">
        <v>5011</v>
      </c>
      <c r="D22" s="3">
        <v>594555</v>
      </c>
      <c r="E22" s="8" t="s">
        <v>759</v>
      </c>
      <c r="F22" s="3">
        <v>74144723504945</v>
      </c>
      <c r="G22" t="s">
        <v>726</v>
      </c>
      <c r="H22" s="3">
        <v>30574876474</v>
      </c>
      <c r="I22" t="s">
        <v>154</v>
      </c>
      <c r="J22" s="12">
        <v>7519.35</v>
      </c>
      <c r="K22" s="12">
        <v>0</v>
      </c>
      <c r="L22" s="12">
        <v>0</v>
      </c>
      <c r="M22" s="12">
        <v>0</v>
      </c>
      <c r="N22" s="12">
        <v>1579.05</v>
      </c>
      <c r="O22" s="12">
        <v>10075.93</v>
      </c>
      <c r="P22" s="27"/>
      <c r="R22" s="12"/>
    </row>
    <row r="23" spans="1:18" x14ac:dyDescent="0.25">
      <c r="A23" t="s">
        <v>735</v>
      </c>
      <c r="B23" t="s">
        <v>724</v>
      </c>
      <c r="C23" s="3">
        <v>5015</v>
      </c>
      <c r="D23" s="3">
        <v>598327</v>
      </c>
      <c r="E23" s="8" t="s">
        <v>760</v>
      </c>
      <c r="F23" s="3">
        <v>74144780559060</v>
      </c>
      <c r="G23" t="s">
        <v>726</v>
      </c>
      <c r="H23" s="3">
        <v>30574876474</v>
      </c>
      <c r="I23" t="s">
        <v>154</v>
      </c>
      <c r="J23" s="12">
        <v>694.99</v>
      </c>
      <c r="K23" s="12">
        <v>0</v>
      </c>
      <c r="L23" s="12">
        <v>0</v>
      </c>
      <c r="M23" s="12">
        <v>0</v>
      </c>
      <c r="N23" s="12">
        <v>145.94999999999999</v>
      </c>
      <c r="O23" s="12">
        <v>910.44</v>
      </c>
      <c r="P23" s="27"/>
      <c r="R23" s="12"/>
    </row>
    <row r="24" spans="1:18" x14ac:dyDescent="0.25">
      <c r="A24" t="s">
        <v>755</v>
      </c>
      <c r="B24" t="s">
        <v>724</v>
      </c>
      <c r="C24" s="3">
        <v>5011</v>
      </c>
      <c r="D24" s="3">
        <v>603880</v>
      </c>
      <c r="E24" s="8" t="s">
        <v>761</v>
      </c>
      <c r="F24" s="3">
        <v>74164144579075</v>
      </c>
      <c r="G24" t="s">
        <v>726</v>
      </c>
      <c r="H24" s="3">
        <v>30574876474</v>
      </c>
      <c r="I24" t="s">
        <v>154</v>
      </c>
      <c r="J24" s="12">
        <v>13649.28</v>
      </c>
      <c r="K24" s="12">
        <v>0</v>
      </c>
      <c r="L24" s="12">
        <v>0</v>
      </c>
      <c r="M24" s="12">
        <v>0</v>
      </c>
      <c r="N24" s="12">
        <v>2866.33</v>
      </c>
      <c r="O24" s="12">
        <v>18290.03</v>
      </c>
      <c r="P24" s="27"/>
      <c r="R24" s="12"/>
    </row>
    <row r="25" spans="1:18" x14ac:dyDescent="0.25">
      <c r="A25" t="s">
        <v>755</v>
      </c>
      <c r="B25" t="s">
        <v>724</v>
      </c>
      <c r="C25" s="3">
        <v>5014</v>
      </c>
      <c r="D25" s="3">
        <v>604125</v>
      </c>
      <c r="E25" s="8" t="s">
        <v>762</v>
      </c>
      <c r="F25" s="3">
        <v>74164141213632</v>
      </c>
      <c r="G25" t="s">
        <v>726</v>
      </c>
      <c r="H25" s="3">
        <v>30574876474</v>
      </c>
      <c r="I25" t="s">
        <v>154</v>
      </c>
      <c r="J25" s="12">
        <v>4801.74</v>
      </c>
      <c r="K25" s="12">
        <v>0</v>
      </c>
      <c r="L25" s="12">
        <v>0</v>
      </c>
      <c r="M25" s="12">
        <v>0</v>
      </c>
      <c r="N25" s="12">
        <v>1008.36</v>
      </c>
      <c r="O25" s="12">
        <v>6434.33</v>
      </c>
      <c r="P25" s="27"/>
      <c r="R25" s="12"/>
    </row>
    <row r="26" spans="1:18" x14ac:dyDescent="0.25">
      <c r="A26" t="s">
        <v>740</v>
      </c>
      <c r="B26" t="s">
        <v>724</v>
      </c>
      <c r="C26" s="3">
        <v>3</v>
      </c>
      <c r="D26" s="3">
        <v>5143</v>
      </c>
      <c r="E26" s="8" t="s">
        <v>763</v>
      </c>
      <c r="F26" s="3">
        <v>74147723012872</v>
      </c>
      <c r="G26" t="s">
        <v>726</v>
      </c>
      <c r="H26" s="3">
        <v>30708481137</v>
      </c>
      <c r="I26" t="s">
        <v>69</v>
      </c>
      <c r="J26" s="12">
        <v>5129466.12</v>
      </c>
      <c r="K26" s="12">
        <v>0</v>
      </c>
      <c r="L26" s="12">
        <v>0</v>
      </c>
      <c r="M26" s="12">
        <v>0</v>
      </c>
      <c r="N26" s="12">
        <v>1077187.8899999999</v>
      </c>
      <c r="O26" s="12">
        <v>6360537.9900000002</v>
      </c>
      <c r="P26" s="27"/>
      <c r="R26" s="12"/>
    </row>
    <row r="27" spans="1:18" x14ac:dyDescent="0.25">
      <c r="A27" t="s">
        <v>764</v>
      </c>
      <c r="B27" t="s">
        <v>724</v>
      </c>
      <c r="C27" s="3">
        <v>3</v>
      </c>
      <c r="D27" s="3">
        <v>5146</v>
      </c>
      <c r="E27" s="8" t="s">
        <v>765</v>
      </c>
      <c r="F27" s="3">
        <v>74147996176576</v>
      </c>
      <c r="G27" t="s">
        <v>726</v>
      </c>
      <c r="H27" s="3">
        <v>30708481137</v>
      </c>
      <c r="I27" t="s">
        <v>69</v>
      </c>
      <c r="J27" s="12">
        <v>7626706.2000000002</v>
      </c>
      <c r="K27" s="12">
        <v>0</v>
      </c>
      <c r="L27" s="12">
        <v>0</v>
      </c>
      <c r="M27" s="12">
        <v>0</v>
      </c>
      <c r="N27" s="12">
        <v>1601608.3</v>
      </c>
      <c r="O27" s="12">
        <v>9457115.6899999995</v>
      </c>
      <c r="P27" s="27"/>
      <c r="R27" s="12"/>
    </row>
    <row r="28" spans="1:18" x14ac:dyDescent="0.25">
      <c r="A28" t="s">
        <v>766</v>
      </c>
      <c r="B28" t="s">
        <v>724</v>
      </c>
      <c r="C28" s="3">
        <v>3</v>
      </c>
      <c r="D28" s="3">
        <v>5151</v>
      </c>
      <c r="E28" s="8" t="s">
        <v>767</v>
      </c>
      <c r="F28" s="3">
        <v>74157256743699</v>
      </c>
      <c r="G28" t="s">
        <v>726</v>
      </c>
      <c r="H28" s="3">
        <v>30708481137</v>
      </c>
      <c r="I28" t="s">
        <v>69</v>
      </c>
      <c r="J28" s="12">
        <v>2362254.13</v>
      </c>
      <c r="K28" s="12">
        <v>0</v>
      </c>
      <c r="L28" s="12">
        <v>0</v>
      </c>
      <c r="M28" s="12">
        <v>0</v>
      </c>
      <c r="N28" s="12">
        <v>496073.37</v>
      </c>
      <c r="O28" s="12">
        <v>2929195.12</v>
      </c>
      <c r="P28" s="27"/>
      <c r="R28" s="12"/>
    </row>
    <row r="29" spans="1:18" x14ac:dyDescent="0.25">
      <c r="A29" t="s">
        <v>729</v>
      </c>
      <c r="B29" t="s">
        <v>724</v>
      </c>
      <c r="C29" s="3">
        <v>3</v>
      </c>
      <c r="D29" s="3">
        <v>5156</v>
      </c>
      <c r="E29" s="8" t="s">
        <v>768</v>
      </c>
      <c r="F29" s="3">
        <v>74167004856629</v>
      </c>
      <c r="G29" t="s">
        <v>726</v>
      </c>
      <c r="H29" s="3">
        <v>30708481137</v>
      </c>
      <c r="I29" t="s">
        <v>69</v>
      </c>
      <c r="J29" s="12">
        <v>2834704.96</v>
      </c>
      <c r="K29" s="12">
        <v>0</v>
      </c>
      <c r="L29" s="12">
        <v>0</v>
      </c>
      <c r="M29" s="12">
        <v>0</v>
      </c>
      <c r="N29" s="12">
        <v>595288.04</v>
      </c>
      <c r="O29" s="12">
        <v>3515034.15</v>
      </c>
      <c r="P29" s="27"/>
      <c r="R29" s="12"/>
    </row>
    <row r="30" spans="1:18" x14ac:dyDescent="0.25">
      <c r="A30" t="s">
        <v>766</v>
      </c>
      <c r="B30" t="s">
        <v>741</v>
      </c>
      <c r="C30" s="3">
        <v>4</v>
      </c>
      <c r="D30" s="3">
        <v>295</v>
      </c>
      <c r="E30" s="8" t="s">
        <v>769</v>
      </c>
      <c r="F30" s="3">
        <v>74157292539526</v>
      </c>
      <c r="G30" t="s">
        <v>726</v>
      </c>
      <c r="H30" s="3">
        <v>20243348677</v>
      </c>
      <c r="I30" t="s">
        <v>27</v>
      </c>
      <c r="J30" s="12">
        <v>204250</v>
      </c>
      <c r="K30" s="12">
        <v>0</v>
      </c>
      <c r="L30" s="12">
        <v>0</v>
      </c>
      <c r="M30" s="12">
        <v>0</v>
      </c>
      <c r="N30" s="12">
        <v>26010.6</v>
      </c>
      <c r="O30" s="12">
        <v>230260.6</v>
      </c>
      <c r="P30" s="27"/>
      <c r="R30" s="12"/>
    </row>
    <row r="31" spans="1:18" x14ac:dyDescent="0.25">
      <c r="A31" t="s">
        <v>766</v>
      </c>
      <c r="B31" t="s">
        <v>741</v>
      </c>
      <c r="C31" s="3">
        <v>4</v>
      </c>
      <c r="D31" s="3">
        <v>296</v>
      </c>
      <c r="E31" s="8" t="s">
        <v>770</v>
      </c>
      <c r="F31" s="3">
        <v>74157293618959</v>
      </c>
      <c r="G31" t="s">
        <v>726</v>
      </c>
      <c r="H31" s="3">
        <v>20243348677</v>
      </c>
      <c r="I31" t="s">
        <v>27</v>
      </c>
      <c r="J31" s="12">
        <v>43850</v>
      </c>
      <c r="K31" s="12">
        <v>0</v>
      </c>
      <c r="L31" s="12">
        <v>0</v>
      </c>
      <c r="M31" s="12">
        <v>0</v>
      </c>
      <c r="N31" s="12">
        <v>5722.5</v>
      </c>
      <c r="O31" s="12">
        <v>49572.5</v>
      </c>
      <c r="P31" s="27"/>
      <c r="R31" s="12"/>
    </row>
    <row r="32" spans="1:18" x14ac:dyDescent="0.25">
      <c r="A32" t="s">
        <v>729</v>
      </c>
      <c r="B32" t="s">
        <v>724</v>
      </c>
      <c r="C32" s="3">
        <v>4</v>
      </c>
      <c r="D32" s="3">
        <v>1408</v>
      </c>
      <c r="E32" s="8" t="s">
        <v>771</v>
      </c>
      <c r="F32" s="3">
        <v>74167015899141</v>
      </c>
      <c r="G32" t="s">
        <v>726</v>
      </c>
      <c r="H32" s="3">
        <v>20243348677</v>
      </c>
      <c r="I32" t="s">
        <v>27</v>
      </c>
      <c r="J32" s="12">
        <v>150000</v>
      </c>
      <c r="K32" s="12">
        <v>0</v>
      </c>
      <c r="L32" s="12">
        <v>0</v>
      </c>
      <c r="M32" s="12">
        <v>0</v>
      </c>
      <c r="N32" s="12">
        <v>22837.5</v>
      </c>
      <c r="O32" s="12">
        <v>172837.5</v>
      </c>
      <c r="P32" s="27"/>
      <c r="R32" s="12"/>
    </row>
    <row r="33" spans="1:18" x14ac:dyDescent="0.25">
      <c r="A33" t="s">
        <v>729</v>
      </c>
      <c r="B33" t="s">
        <v>724</v>
      </c>
      <c r="C33" s="3">
        <v>4</v>
      </c>
      <c r="D33" s="3">
        <v>1409</v>
      </c>
      <c r="E33" s="8" t="s">
        <v>772</v>
      </c>
      <c r="F33" s="3">
        <v>74167016323022</v>
      </c>
      <c r="G33" t="s">
        <v>726</v>
      </c>
      <c r="H33" s="3">
        <v>20243348677</v>
      </c>
      <c r="I33" t="s">
        <v>27</v>
      </c>
      <c r="J33" s="12">
        <v>1431000</v>
      </c>
      <c r="K33" s="12">
        <v>0</v>
      </c>
      <c r="L33" s="12">
        <v>0</v>
      </c>
      <c r="M33" s="12">
        <v>0</v>
      </c>
      <c r="N33" s="12">
        <v>190575</v>
      </c>
      <c r="O33" s="12">
        <v>1621575</v>
      </c>
      <c r="P33" s="27"/>
      <c r="R33" s="12"/>
    </row>
    <row r="34" spans="1:18" x14ac:dyDescent="0.25">
      <c r="A34" t="s">
        <v>773</v>
      </c>
      <c r="B34" t="s">
        <v>724</v>
      </c>
      <c r="C34" s="3">
        <v>4</v>
      </c>
      <c r="D34" s="3">
        <v>1428</v>
      </c>
      <c r="E34" s="8" t="s">
        <v>774</v>
      </c>
      <c r="F34" s="3">
        <v>74177989183625</v>
      </c>
      <c r="G34" t="s">
        <v>726</v>
      </c>
      <c r="H34" s="3">
        <v>20243348677</v>
      </c>
      <c r="I34" t="s">
        <v>27</v>
      </c>
      <c r="J34" s="12">
        <v>3270000</v>
      </c>
      <c r="K34" s="12">
        <v>0</v>
      </c>
      <c r="L34" s="12">
        <v>0</v>
      </c>
      <c r="M34" s="12">
        <v>0</v>
      </c>
      <c r="N34" s="12">
        <v>343350</v>
      </c>
      <c r="O34" s="12">
        <v>3613350</v>
      </c>
      <c r="P34" s="27"/>
      <c r="R34" s="12"/>
    </row>
    <row r="35" spans="1:18" x14ac:dyDescent="0.25">
      <c r="A35" t="s">
        <v>764</v>
      </c>
      <c r="B35" t="s">
        <v>724</v>
      </c>
      <c r="C35" s="3">
        <v>3</v>
      </c>
      <c r="D35" s="3">
        <v>1101</v>
      </c>
      <c r="E35" s="8" t="s">
        <v>775</v>
      </c>
      <c r="F35" s="3">
        <v>74142886232002</v>
      </c>
      <c r="G35" t="s">
        <v>726</v>
      </c>
      <c r="H35" s="3">
        <v>30711928592</v>
      </c>
      <c r="I35" t="s">
        <v>170</v>
      </c>
      <c r="J35" s="12">
        <v>1752000</v>
      </c>
      <c r="K35" s="12">
        <v>0</v>
      </c>
      <c r="L35" s="12">
        <v>0</v>
      </c>
      <c r="M35" s="12">
        <v>0</v>
      </c>
      <c r="N35" s="12">
        <v>183960</v>
      </c>
      <c r="O35" s="12">
        <v>1935960</v>
      </c>
      <c r="P35" s="27"/>
      <c r="R35" s="12"/>
    </row>
    <row r="36" spans="1:18" x14ac:dyDescent="0.25">
      <c r="A36" t="s">
        <v>740</v>
      </c>
      <c r="B36" t="s">
        <v>724</v>
      </c>
      <c r="C36" s="3">
        <v>115</v>
      </c>
      <c r="D36" s="3">
        <v>140776</v>
      </c>
      <c r="E36" s="8" t="s">
        <v>776</v>
      </c>
      <c r="F36" s="3">
        <v>74148637203775</v>
      </c>
      <c r="G36" t="s">
        <v>726</v>
      </c>
      <c r="H36" s="3">
        <v>30629646708</v>
      </c>
      <c r="I36" t="s">
        <v>777</v>
      </c>
      <c r="J36" s="12">
        <v>3632385.38</v>
      </c>
      <c r="K36" s="12">
        <v>0</v>
      </c>
      <c r="L36" s="12">
        <v>0</v>
      </c>
      <c r="M36" s="12">
        <v>0</v>
      </c>
      <c r="N36" s="12">
        <v>762800.93</v>
      </c>
      <c r="O36" s="12">
        <v>4685777.16</v>
      </c>
      <c r="P36" s="27"/>
      <c r="R36" s="12"/>
    </row>
    <row r="37" spans="1:18" x14ac:dyDescent="0.25">
      <c r="A37" t="s">
        <v>740</v>
      </c>
      <c r="B37" t="s">
        <v>724</v>
      </c>
      <c r="C37" s="3">
        <v>115</v>
      </c>
      <c r="D37" s="3">
        <v>140775</v>
      </c>
      <c r="E37" s="8" t="s">
        <v>778</v>
      </c>
      <c r="F37" s="3">
        <v>74148637198246</v>
      </c>
      <c r="G37" t="s">
        <v>726</v>
      </c>
      <c r="H37" s="3">
        <v>30629646708</v>
      </c>
      <c r="I37" t="s">
        <v>777</v>
      </c>
      <c r="J37" s="12">
        <v>40625.050000000003</v>
      </c>
      <c r="K37" s="12">
        <v>0</v>
      </c>
      <c r="L37" s="12">
        <v>0</v>
      </c>
      <c r="M37" s="12">
        <v>0</v>
      </c>
      <c r="N37" s="12">
        <v>4265.63</v>
      </c>
      <c r="O37" s="12">
        <v>46109.440000000002</v>
      </c>
      <c r="P37" s="27"/>
      <c r="R37" s="12"/>
    </row>
    <row r="38" spans="1:18" x14ac:dyDescent="0.25">
      <c r="A38" t="s">
        <v>740</v>
      </c>
      <c r="B38" t="s">
        <v>724</v>
      </c>
      <c r="C38" s="3">
        <v>115</v>
      </c>
      <c r="D38" s="3">
        <v>140773</v>
      </c>
      <c r="E38" s="8" t="s">
        <v>779</v>
      </c>
      <c r="F38" s="3">
        <v>74148637186911</v>
      </c>
      <c r="G38" t="s">
        <v>726</v>
      </c>
      <c r="H38" s="3">
        <v>30629646708</v>
      </c>
      <c r="I38" t="s">
        <v>777</v>
      </c>
      <c r="J38" s="12">
        <v>223393.81</v>
      </c>
      <c r="K38" s="12">
        <v>0</v>
      </c>
      <c r="L38" s="12">
        <v>0</v>
      </c>
      <c r="M38" s="12">
        <v>0</v>
      </c>
      <c r="N38" s="12">
        <v>23456.35</v>
      </c>
      <c r="O38" s="12">
        <v>261370.76</v>
      </c>
      <c r="P38" s="27"/>
      <c r="R38" s="12"/>
    </row>
    <row r="39" spans="1:18" x14ac:dyDescent="0.25">
      <c r="A39" t="s">
        <v>740</v>
      </c>
      <c r="B39" t="s">
        <v>724</v>
      </c>
      <c r="C39" s="3">
        <v>115</v>
      </c>
      <c r="D39" s="3">
        <v>140774</v>
      </c>
      <c r="E39" s="8" t="s">
        <v>780</v>
      </c>
      <c r="F39" s="3">
        <v>74148637193330</v>
      </c>
      <c r="G39" t="s">
        <v>726</v>
      </c>
      <c r="H39" s="3">
        <v>30629646708</v>
      </c>
      <c r="I39" t="s">
        <v>777</v>
      </c>
      <c r="J39" s="12">
        <v>2410507.62</v>
      </c>
      <c r="K39" s="12">
        <v>0</v>
      </c>
      <c r="L39" s="12">
        <v>0</v>
      </c>
      <c r="M39" s="12">
        <v>0</v>
      </c>
      <c r="N39" s="12">
        <v>506206.6</v>
      </c>
      <c r="O39" s="12">
        <v>3109554.83</v>
      </c>
      <c r="P39" s="27"/>
      <c r="R39" s="12"/>
    </row>
    <row r="40" spans="1:18" x14ac:dyDescent="0.25">
      <c r="A40" t="s">
        <v>723</v>
      </c>
      <c r="B40" t="s">
        <v>724</v>
      </c>
      <c r="C40" s="3">
        <v>115</v>
      </c>
      <c r="D40" s="3">
        <v>140934</v>
      </c>
      <c r="E40" s="8" t="s">
        <v>781</v>
      </c>
      <c r="F40" s="3">
        <v>74158178861748</v>
      </c>
      <c r="G40" t="s">
        <v>726</v>
      </c>
      <c r="H40" s="3">
        <v>30629646708</v>
      </c>
      <c r="I40" t="s">
        <v>777</v>
      </c>
      <c r="J40" s="12">
        <v>2044172.86</v>
      </c>
      <c r="K40" s="12">
        <v>0</v>
      </c>
      <c r="L40" s="12">
        <v>0</v>
      </c>
      <c r="M40" s="12">
        <v>0</v>
      </c>
      <c r="N40" s="12">
        <v>429276.3</v>
      </c>
      <c r="O40" s="12">
        <v>2636982.9900000002</v>
      </c>
      <c r="P40" s="27"/>
      <c r="R40" s="12"/>
    </row>
    <row r="41" spans="1:18" x14ac:dyDescent="0.25">
      <c r="A41" t="s">
        <v>755</v>
      </c>
      <c r="B41" t="s">
        <v>741</v>
      </c>
      <c r="C41" s="3">
        <v>115</v>
      </c>
      <c r="D41" s="3">
        <v>31068</v>
      </c>
      <c r="E41" s="8" t="s">
        <v>782</v>
      </c>
      <c r="F41" s="3">
        <v>74168128375099</v>
      </c>
      <c r="G41" t="s">
        <v>726</v>
      </c>
      <c r="H41" s="3">
        <v>30629646708</v>
      </c>
      <c r="I41" t="s">
        <v>777</v>
      </c>
      <c r="J41" s="12">
        <v>432161.14</v>
      </c>
      <c r="K41" s="12">
        <v>0</v>
      </c>
      <c r="L41" s="12">
        <v>0</v>
      </c>
      <c r="M41" s="12">
        <v>0</v>
      </c>
      <c r="N41" s="12">
        <v>90753.84</v>
      </c>
      <c r="O41" s="12">
        <v>535879.81000000006</v>
      </c>
      <c r="P41" s="27"/>
      <c r="R41" s="12"/>
    </row>
    <row r="42" spans="1:18" x14ac:dyDescent="0.25">
      <c r="A42" t="s">
        <v>731</v>
      </c>
      <c r="B42" t="s">
        <v>724</v>
      </c>
      <c r="C42" s="3">
        <v>115</v>
      </c>
      <c r="D42" s="3">
        <v>141612</v>
      </c>
      <c r="E42" s="8" t="s">
        <v>783</v>
      </c>
      <c r="F42" s="3">
        <v>74178668132174</v>
      </c>
      <c r="G42" t="s">
        <v>726</v>
      </c>
      <c r="H42" s="3">
        <v>30629646708</v>
      </c>
      <c r="I42" t="s">
        <v>777</v>
      </c>
      <c r="J42" s="12">
        <v>57934.67</v>
      </c>
      <c r="K42" s="12">
        <v>0</v>
      </c>
      <c r="L42" s="12">
        <v>0</v>
      </c>
      <c r="M42" s="12">
        <v>0</v>
      </c>
      <c r="N42" s="12">
        <v>12166.28</v>
      </c>
      <c r="O42" s="12">
        <v>71839</v>
      </c>
      <c r="P42" s="27"/>
      <c r="R42" s="12"/>
    </row>
    <row r="43" spans="1:18" x14ac:dyDescent="0.25">
      <c r="A43" t="s">
        <v>731</v>
      </c>
      <c r="B43" t="s">
        <v>724</v>
      </c>
      <c r="C43" s="3">
        <v>115</v>
      </c>
      <c r="D43" s="3">
        <v>141616</v>
      </c>
      <c r="E43" s="8" t="s">
        <v>784</v>
      </c>
      <c r="F43" s="3">
        <v>74178668144852</v>
      </c>
      <c r="G43" t="s">
        <v>726</v>
      </c>
      <c r="H43" s="3">
        <v>30629646708</v>
      </c>
      <c r="I43" t="s">
        <v>777</v>
      </c>
      <c r="J43" s="12">
        <v>40625.050000000003</v>
      </c>
      <c r="K43" s="12">
        <v>0</v>
      </c>
      <c r="L43" s="12">
        <v>0</v>
      </c>
      <c r="M43" s="12">
        <v>0</v>
      </c>
      <c r="N43" s="12">
        <v>4265.63</v>
      </c>
      <c r="O43" s="12">
        <v>46109.440000000002</v>
      </c>
      <c r="P43" s="27"/>
      <c r="R43" s="12"/>
    </row>
    <row r="44" spans="1:18" x14ac:dyDescent="0.25">
      <c r="A44" t="s">
        <v>731</v>
      </c>
      <c r="B44" t="s">
        <v>724</v>
      </c>
      <c r="C44" s="3">
        <v>115</v>
      </c>
      <c r="D44" s="3">
        <v>141613</v>
      </c>
      <c r="E44" s="8" t="s">
        <v>785</v>
      </c>
      <c r="F44" s="3">
        <v>74178668134516</v>
      </c>
      <c r="G44" t="s">
        <v>726</v>
      </c>
      <c r="H44" s="3">
        <v>30629646708</v>
      </c>
      <c r="I44" t="s">
        <v>777</v>
      </c>
      <c r="J44" s="12">
        <v>9775693.0999999996</v>
      </c>
      <c r="K44" s="12">
        <v>0</v>
      </c>
      <c r="L44" s="12">
        <v>0</v>
      </c>
      <c r="M44" s="12">
        <v>0</v>
      </c>
      <c r="N44" s="12">
        <v>2052895.55</v>
      </c>
      <c r="O44" s="12">
        <v>12610644.09</v>
      </c>
      <c r="P44" s="27"/>
      <c r="R44" s="12"/>
    </row>
    <row r="45" spans="1:18" x14ac:dyDescent="0.25">
      <c r="A45" t="s">
        <v>731</v>
      </c>
      <c r="B45" t="s">
        <v>724</v>
      </c>
      <c r="C45" s="3">
        <v>115</v>
      </c>
      <c r="D45" s="3">
        <v>141614</v>
      </c>
      <c r="E45" s="8" t="s">
        <v>786</v>
      </c>
      <c r="F45" s="3">
        <v>74178668136089</v>
      </c>
      <c r="G45" t="s">
        <v>726</v>
      </c>
      <c r="H45" s="3">
        <v>30629646708</v>
      </c>
      <c r="I45" t="s">
        <v>777</v>
      </c>
      <c r="J45" s="12">
        <v>365770.81</v>
      </c>
      <c r="K45" s="12">
        <v>0</v>
      </c>
      <c r="L45" s="12">
        <v>0</v>
      </c>
      <c r="M45" s="12">
        <v>0</v>
      </c>
      <c r="N45" s="12">
        <v>76811.87</v>
      </c>
      <c r="O45" s="12">
        <v>471844.36</v>
      </c>
      <c r="P45" s="27"/>
      <c r="R45" s="12"/>
    </row>
    <row r="46" spans="1:18" x14ac:dyDescent="0.25">
      <c r="A46" t="s">
        <v>731</v>
      </c>
      <c r="B46" t="s">
        <v>724</v>
      </c>
      <c r="C46" s="3">
        <v>115</v>
      </c>
      <c r="D46" s="3">
        <v>141615</v>
      </c>
      <c r="E46" s="8" t="s">
        <v>787</v>
      </c>
      <c r="F46" s="3">
        <v>74178668143291</v>
      </c>
      <c r="G46" t="s">
        <v>726</v>
      </c>
      <c r="H46" s="3">
        <v>30629646708</v>
      </c>
      <c r="I46" t="s">
        <v>777</v>
      </c>
      <c r="J46" s="12">
        <v>323114.95</v>
      </c>
      <c r="K46" s="12">
        <v>0</v>
      </c>
      <c r="L46" s="12">
        <v>0</v>
      </c>
      <c r="M46" s="12">
        <v>0</v>
      </c>
      <c r="N46" s="12">
        <v>67854.14</v>
      </c>
      <c r="O46" s="12">
        <v>416818.28</v>
      </c>
      <c r="P46" s="27"/>
      <c r="R46" s="12"/>
    </row>
    <row r="47" spans="1:18" x14ac:dyDescent="0.25">
      <c r="A47" t="s">
        <v>731</v>
      </c>
      <c r="B47" t="s">
        <v>724</v>
      </c>
      <c r="C47" s="3">
        <v>115</v>
      </c>
      <c r="D47" s="3">
        <v>141609</v>
      </c>
      <c r="E47" s="8" t="s">
        <v>788</v>
      </c>
      <c r="F47" s="3">
        <v>74178665197022</v>
      </c>
      <c r="G47" t="s">
        <v>726</v>
      </c>
      <c r="H47" s="3">
        <v>30629646708</v>
      </c>
      <c r="I47" t="s">
        <v>777</v>
      </c>
      <c r="J47" s="12">
        <v>390752</v>
      </c>
      <c r="K47" s="12">
        <v>0</v>
      </c>
      <c r="L47" s="12">
        <v>0</v>
      </c>
      <c r="M47" s="12">
        <v>0</v>
      </c>
      <c r="N47" s="12">
        <v>41028.959999999999</v>
      </c>
      <c r="O47" s="12">
        <v>457179.85</v>
      </c>
      <c r="P47" s="27"/>
      <c r="R47" s="12"/>
    </row>
    <row r="48" spans="1:18" x14ac:dyDescent="0.25">
      <c r="A48" t="s">
        <v>731</v>
      </c>
      <c r="B48" t="s">
        <v>724</v>
      </c>
      <c r="C48" s="3">
        <v>115</v>
      </c>
      <c r="D48" s="3">
        <v>141611</v>
      </c>
      <c r="E48" s="8" t="s">
        <v>789</v>
      </c>
      <c r="F48" s="3">
        <v>74178665201296</v>
      </c>
      <c r="G48" t="s">
        <v>726</v>
      </c>
      <c r="H48" s="3">
        <v>30629646708</v>
      </c>
      <c r="I48" t="s">
        <v>777</v>
      </c>
      <c r="J48" s="12">
        <v>139694.38</v>
      </c>
      <c r="K48" s="12">
        <v>0</v>
      </c>
      <c r="L48" s="12">
        <v>0</v>
      </c>
      <c r="M48" s="12">
        <v>0</v>
      </c>
      <c r="N48" s="12">
        <v>14667.91</v>
      </c>
      <c r="O48" s="12">
        <v>158553.09</v>
      </c>
      <c r="P48" s="27"/>
      <c r="R48" s="12"/>
    </row>
    <row r="49" spans="1:18" x14ac:dyDescent="0.25">
      <c r="A49" t="s">
        <v>731</v>
      </c>
      <c r="B49" t="s">
        <v>724</v>
      </c>
      <c r="C49" s="3">
        <v>115</v>
      </c>
      <c r="D49" s="3">
        <v>141610</v>
      </c>
      <c r="E49" s="8" t="s">
        <v>790</v>
      </c>
      <c r="F49" s="3">
        <v>74178665199100</v>
      </c>
      <c r="G49" t="s">
        <v>726</v>
      </c>
      <c r="H49" s="3">
        <v>30629646708</v>
      </c>
      <c r="I49" t="s">
        <v>777</v>
      </c>
      <c r="J49" s="12">
        <v>1204385.3799999999</v>
      </c>
      <c r="K49" s="12">
        <v>0</v>
      </c>
      <c r="L49" s="12">
        <v>0</v>
      </c>
      <c r="M49" s="12">
        <v>0</v>
      </c>
      <c r="N49" s="12">
        <v>252920.93</v>
      </c>
      <c r="O49" s="12">
        <v>1553657.12</v>
      </c>
      <c r="P49" s="27"/>
      <c r="R49" s="12"/>
    </row>
    <row r="50" spans="1:18" x14ac:dyDescent="0.25">
      <c r="A50" t="s">
        <v>740</v>
      </c>
      <c r="B50" t="s">
        <v>724</v>
      </c>
      <c r="C50" s="3">
        <v>1</v>
      </c>
      <c r="D50" s="3">
        <v>89</v>
      </c>
      <c r="E50" s="8" t="s">
        <v>791</v>
      </c>
      <c r="F50" s="3">
        <v>74149635322236</v>
      </c>
      <c r="G50" t="s">
        <v>726</v>
      </c>
      <c r="H50" s="3">
        <v>20301971479</v>
      </c>
      <c r="I50" t="s">
        <v>60</v>
      </c>
      <c r="J50" s="12">
        <v>270000</v>
      </c>
      <c r="K50" s="12">
        <v>0</v>
      </c>
      <c r="L50" s="12">
        <v>0</v>
      </c>
      <c r="M50" s="12">
        <v>0</v>
      </c>
      <c r="N50" s="12">
        <v>56700</v>
      </c>
      <c r="O50" s="12">
        <v>326700</v>
      </c>
      <c r="P50" s="27"/>
      <c r="R50" s="12"/>
    </row>
    <row r="51" spans="1:18" x14ac:dyDescent="0.25">
      <c r="A51" t="s">
        <v>737</v>
      </c>
      <c r="B51" t="s">
        <v>724</v>
      </c>
      <c r="C51" s="3">
        <v>5</v>
      </c>
      <c r="D51" s="3">
        <v>573996</v>
      </c>
      <c r="E51" s="8" t="s">
        <v>792</v>
      </c>
      <c r="F51" s="3">
        <v>74148435864352</v>
      </c>
      <c r="G51" t="s">
        <v>726</v>
      </c>
      <c r="H51" s="3">
        <v>30500035788</v>
      </c>
      <c r="I51" t="s">
        <v>51</v>
      </c>
      <c r="J51" s="12">
        <v>20114.87</v>
      </c>
      <c r="K51" s="12">
        <v>410.41</v>
      </c>
      <c r="L51" s="12">
        <v>0</v>
      </c>
      <c r="M51" s="12">
        <v>0</v>
      </c>
      <c r="N51" s="12">
        <v>4224.12</v>
      </c>
      <c r="O51" s="12">
        <v>20114.87</v>
      </c>
      <c r="P51" s="27"/>
      <c r="R51" s="12"/>
    </row>
    <row r="52" spans="1:18" x14ac:dyDescent="0.25">
      <c r="A52" t="s">
        <v>729</v>
      </c>
      <c r="B52" t="s">
        <v>744</v>
      </c>
      <c r="C52" s="3">
        <v>2</v>
      </c>
      <c r="D52" s="3">
        <v>763</v>
      </c>
      <c r="E52" s="8" t="s">
        <v>793</v>
      </c>
      <c r="F52" s="3">
        <v>74164004638326</v>
      </c>
      <c r="G52" t="s">
        <v>726</v>
      </c>
      <c r="H52" s="3">
        <v>20400104094</v>
      </c>
      <c r="I52" t="s">
        <v>368</v>
      </c>
      <c r="J52" s="12"/>
      <c r="K52" s="12"/>
      <c r="L52" s="12"/>
      <c r="M52" s="12">
        <v>0</v>
      </c>
      <c r="N52" s="12"/>
      <c r="O52" s="12">
        <v>135000</v>
      </c>
      <c r="P52" s="27"/>
      <c r="R52" s="12"/>
    </row>
    <row r="53" spans="1:18" x14ac:dyDescent="0.25">
      <c r="A53" t="s">
        <v>740</v>
      </c>
      <c r="B53" t="s">
        <v>744</v>
      </c>
      <c r="C53" s="3">
        <v>1</v>
      </c>
      <c r="D53" s="3">
        <v>29</v>
      </c>
      <c r="E53" s="8" t="s">
        <v>794</v>
      </c>
      <c r="F53" s="3">
        <v>74144635316062</v>
      </c>
      <c r="G53" t="s">
        <v>726</v>
      </c>
      <c r="H53" s="3">
        <v>27444490204</v>
      </c>
      <c r="I53" t="s">
        <v>115</v>
      </c>
      <c r="J53" s="12"/>
      <c r="K53" s="12"/>
      <c r="L53" s="12"/>
      <c r="M53" s="12">
        <v>0</v>
      </c>
      <c r="N53" s="12"/>
      <c r="O53" s="12">
        <v>270000</v>
      </c>
      <c r="P53" s="27"/>
      <c r="R53" s="12"/>
    </row>
    <row r="54" spans="1:18" x14ac:dyDescent="0.25">
      <c r="A54" t="s">
        <v>740</v>
      </c>
      <c r="B54" t="s">
        <v>724</v>
      </c>
      <c r="C54" s="3">
        <v>2009</v>
      </c>
      <c r="D54" s="3">
        <v>36620</v>
      </c>
      <c r="E54" s="8" t="s">
        <v>795</v>
      </c>
      <c r="F54" s="3">
        <v>74148647311435</v>
      </c>
      <c r="G54" t="s">
        <v>726</v>
      </c>
      <c r="H54" s="3">
        <v>30700869918</v>
      </c>
      <c r="I54" t="s">
        <v>796</v>
      </c>
      <c r="J54" s="12">
        <v>10560000</v>
      </c>
      <c r="K54" s="12">
        <v>0</v>
      </c>
      <c r="L54" s="12">
        <v>0</v>
      </c>
      <c r="M54" s="12">
        <v>0</v>
      </c>
      <c r="N54" s="12">
        <v>2217600</v>
      </c>
      <c r="O54" s="12">
        <v>13622400</v>
      </c>
      <c r="P54" s="27"/>
      <c r="R54" s="12"/>
    </row>
    <row r="55" spans="1:18" x14ac:dyDescent="0.25">
      <c r="A55" t="s">
        <v>797</v>
      </c>
      <c r="B55" t="s">
        <v>724</v>
      </c>
      <c r="C55" s="3">
        <v>2009</v>
      </c>
      <c r="D55" s="3">
        <v>36971</v>
      </c>
      <c r="E55" s="8" t="s">
        <v>798</v>
      </c>
      <c r="F55" s="3">
        <v>74168309411412</v>
      </c>
      <c r="G55" t="s">
        <v>726</v>
      </c>
      <c r="H55" s="3">
        <v>30700869918</v>
      </c>
      <c r="I55" t="s">
        <v>796</v>
      </c>
      <c r="J55" s="12">
        <v>1095600</v>
      </c>
      <c r="K55" s="12">
        <v>0</v>
      </c>
      <c r="L55" s="12">
        <v>0</v>
      </c>
      <c r="M55" s="12">
        <v>0</v>
      </c>
      <c r="N55" s="12">
        <v>230076</v>
      </c>
      <c r="O55" s="12">
        <v>1446192</v>
      </c>
      <c r="P55" s="27"/>
      <c r="R55" s="12"/>
    </row>
    <row r="56" spans="1:18" x14ac:dyDescent="0.25">
      <c r="A56" t="s">
        <v>797</v>
      </c>
      <c r="B56" t="s">
        <v>724</v>
      </c>
      <c r="C56" s="3">
        <v>2009</v>
      </c>
      <c r="D56" s="3">
        <v>36970</v>
      </c>
      <c r="E56" s="8" t="s">
        <v>799</v>
      </c>
      <c r="F56" s="3">
        <v>74168309393160</v>
      </c>
      <c r="G56" t="s">
        <v>726</v>
      </c>
      <c r="H56" s="3">
        <v>30700869918</v>
      </c>
      <c r="I56" t="s">
        <v>796</v>
      </c>
      <c r="J56" s="12">
        <v>8799800</v>
      </c>
      <c r="K56" s="12">
        <v>0</v>
      </c>
      <c r="L56" s="12">
        <v>0</v>
      </c>
      <c r="M56" s="12">
        <v>0</v>
      </c>
      <c r="N56" s="12">
        <v>1847958</v>
      </c>
      <c r="O56" s="12">
        <v>11615736</v>
      </c>
      <c r="P56" s="27"/>
      <c r="R56" s="12"/>
    </row>
    <row r="57" spans="1:18" x14ac:dyDescent="0.25">
      <c r="A57" t="s">
        <v>797</v>
      </c>
      <c r="B57" t="s">
        <v>724</v>
      </c>
      <c r="C57" s="3">
        <v>2009</v>
      </c>
      <c r="D57" s="3">
        <v>36968</v>
      </c>
      <c r="E57" s="8" t="s">
        <v>800</v>
      </c>
      <c r="F57" s="3">
        <v>74168309346383</v>
      </c>
      <c r="G57" t="s">
        <v>726</v>
      </c>
      <c r="H57" s="3">
        <v>30700869918</v>
      </c>
      <c r="I57" t="s">
        <v>796</v>
      </c>
      <c r="J57" s="12">
        <v>3400488</v>
      </c>
      <c r="K57" s="12">
        <v>0</v>
      </c>
      <c r="L57" s="12">
        <v>0</v>
      </c>
      <c r="M57" s="12">
        <v>0</v>
      </c>
      <c r="N57" s="12">
        <v>714102.48</v>
      </c>
      <c r="O57" s="12">
        <v>4386629.5199999996</v>
      </c>
      <c r="P57" s="27"/>
      <c r="R57" s="12"/>
    </row>
    <row r="58" spans="1:18" x14ac:dyDescent="0.25">
      <c r="A58" t="s">
        <v>797</v>
      </c>
      <c r="B58" t="s">
        <v>724</v>
      </c>
      <c r="C58" s="3">
        <v>2009</v>
      </c>
      <c r="D58" s="3">
        <v>36969</v>
      </c>
      <c r="E58" s="8" t="s">
        <v>801</v>
      </c>
      <c r="F58" s="3">
        <v>74168309373957</v>
      </c>
      <c r="G58" t="s">
        <v>726</v>
      </c>
      <c r="H58" s="3">
        <v>30700869918</v>
      </c>
      <c r="I58" t="s">
        <v>796</v>
      </c>
      <c r="J58" s="12">
        <v>4653000</v>
      </c>
      <c r="K58" s="12">
        <v>0</v>
      </c>
      <c r="L58" s="12">
        <v>0</v>
      </c>
      <c r="M58" s="12">
        <v>0</v>
      </c>
      <c r="N58" s="12">
        <v>977130</v>
      </c>
      <c r="O58" s="12">
        <v>6002370</v>
      </c>
      <c r="P58" s="27"/>
      <c r="R58" s="12"/>
    </row>
    <row r="59" spans="1:18" x14ac:dyDescent="0.25">
      <c r="A59" t="s">
        <v>802</v>
      </c>
      <c r="B59" t="s">
        <v>724</v>
      </c>
      <c r="C59" s="3">
        <v>1411</v>
      </c>
      <c r="D59" s="3">
        <v>4486</v>
      </c>
      <c r="E59" s="8" t="s">
        <v>803</v>
      </c>
      <c r="F59" s="3">
        <v>74172862379359</v>
      </c>
      <c r="G59" t="s">
        <v>726</v>
      </c>
      <c r="H59" s="3">
        <v>30537745742</v>
      </c>
      <c r="I59" t="s">
        <v>500</v>
      </c>
      <c r="J59" s="12">
        <v>134038.81</v>
      </c>
      <c r="K59" s="12"/>
      <c r="L59" s="12"/>
      <c r="M59" s="12">
        <v>0</v>
      </c>
      <c r="N59" s="12">
        <v>28148.15</v>
      </c>
      <c r="O59" s="12">
        <v>168888.89</v>
      </c>
      <c r="P59" s="27"/>
      <c r="R59" s="12"/>
    </row>
    <row r="60" spans="1:18" x14ac:dyDescent="0.25">
      <c r="A60" t="s">
        <v>804</v>
      </c>
      <c r="B60" t="s">
        <v>724</v>
      </c>
      <c r="C60" s="3">
        <v>539</v>
      </c>
      <c r="D60" s="3">
        <v>39999</v>
      </c>
      <c r="E60" s="8" t="s">
        <v>805</v>
      </c>
      <c r="F60" s="3">
        <v>74159658032797</v>
      </c>
      <c r="G60" t="s">
        <v>726</v>
      </c>
      <c r="H60" s="3">
        <v>30663197599</v>
      </c>
      <c r="I60" t="s">
        <v>290</v>
      </c>
      <c r="J60" s="12">
        <v>664576.76</v>
      </c>
      <c r="K60" s="12"/>
      <c r="L60" s="12"/>
      <c r="M60" s="12">
        <v>0</v>
      </c>
      <c r="N60" s="12">
        <v>139561.12</v>
      </c>
      <c r="O60" s="12">
        <v>817429.4</v>
      </c>
      <c r="P60" s="27"/>
      <c r="R60" s="12"/>
    </row>
    <row r="61" spans="1:18" x14ac:dyDescent="0.25">
      <c r="A61" t="s">
        <v>731</v>
      </c>
      <c r="B61" t="s">
        <v>724</v>
      </c>
      <c r="C61" s="3">
        <v>539</v>
      </c>
      <c r="D61" s="3">
        <v>40192</v>
      </c>
      <c r="E61" s="8" t="s">
        <v>806</v>
      </c>
      <c r="F61" s="3">
        <v>74179642977941</v>
      </c>
      <c r="G61" t="s">
        <v>726</v>
      </c>
      <c r="H61" s="3">
        <v>30663197599</v>
      </c>
      <c r="I61" t="s">
        <v>290</v>
      </c>
      <c r="J61" s="12">
        <v>633075.71</v>
      </c>
      <c r="K61" s="12"/>
      <c r="L61" s="12"/>
      <c r="M61" s="12">
        <v>0</v>
      </c>
      <c r="N61" s="12">
        <v>132945.9</v>
      </c>
      <c r="O61" s="12">
        <v>778683.11</v>
      </c>
      <c r="P61" s="27"/>
      <c r="R61" s="12"/>
    </row>
    <row r="62" spans="1:18" x14ac:dyDescent="0.25">
      <c r="A62" t="s">
        <v>735</v>
      </c>
      <c r="B62" t="s">
        <v>724</v>
      </c>
      <c r="C62" s="3">
        <v>20</v>
      </c>
      <c r="D62" s="3">
        <v>151084</v>
      </c>
      <c r="E62" s="8" t="s">
        <v>807</v>
      </c>
      <c r="F62" s="3">
        <v>74141696604277</v>
      </c>
      <c r="G62" t="s">
        <v>726</v>
      </c>
      <c r="H62" s="3">
        <v>30646618521</v>
      </c>
      <c r="I62" t="s">
        <v>142</v>
      </c>
      <c r="J62" s="12">
        <v>3417619.97</v>
      </c>
      <c r="K62" s="12">
        <v>0</v>
      </c>
      <c r="L62" s="12">
        <v>0</v>
      </c>
      <c r="M62" s="12">
        <v>0</v>
      </c>
      <c r="N62" s="12">
        <v>717700.19</v>
      </c>
      <c r="O62" s="12">
        <v>4237848.76</v>
      </c>
      <c r="P62" s="27"/>
      <c r="R62" s="12"/>
    </row>
    <row r="63" spans="1:18" x14ac:dyDescent="0.25">
      <c r="A63" t="s">
        <v>808</v>
      </c>
      <c r="B63" t="s">
        <v>724</v>
      </c>
      <c r="C63" s="3">
        <v>8263</v>
      </c>
      <c r="D63" s="3">
        <v>9869</v>
      </c>
      <c r="E63" s="8" t="s">
        <v>809</v>
      </c>
      <c r="F63" s="3">
        <v>74153838737262</v>
      </c>
      <c r="G63" t="s">
        <v>726</v>
      </c>
      <c r="H63" s="3">
        <v>30590360763</v>
      </c>
      <c r="I63" t="s">
        <v>311</v>
      </c>
      <c r="J63" s="12">
        <v>58086.76</v>
      </c>
      <c r="K63" s="12">
        <v>0</v>
      </c>
      <c r="L63" s="12">
        <v>0</v>
      </c>
      <c r="M63" s="12">
        <v>0</v>
      </c>
      <c r="N63" s="12">
        <v>8828.24</v>
      </c>
      <c r="O63" s="12">
        <v>71080.52</v>
      </c>
      <c r="P63" s="27"/>
      <c r="R63" s="12"/>
    </row>
    <row r="64" spans="1:18" x14ac:dyDescent="0.25">
      <c r="A64" t="s">
        <v>737</v>
      </c>
      <c r="B64" t="s">
        <v>724</v>
      </c>
      <c r="C64" s="3">
        <v>3</v>
      </c>
      <c r="D64" s="3">
        <v>223804</v>
      </c>
      <c r="E64" s="8" t="s">
        <v>810</v>
      </c>
      <c r="F64" s="3">
        <v>74146423349293</v>
      </c>
      <c r="G64" t="s">
        <v>726</v>
      </c>
      <c r="H64" s="3">
        <v>30707135596</v>
      </c>
      <c r="I64" t="s">
        <v>47</v>
      </c>
      <c r="J64" s="12">
        <v>69721.03</v>
      </c>
      <c r="K64" s="12">
        <v>0</v>
      </c>
      <c r="L64" s="12">
        <v>0</v>
      </c>
      <c r="M64" s="12">
        <v>0</v>
      </c>
      <c r="N64" s="12">
        <v>14641.42</v>
      </c>
      <c r="O64" s="12">
        <v>85756.87</v>
      </c>
      <c r="P64" s="27"/>
      <c r="R64" s="12"/>
    </row>
    <row r="65" spans="1:18" x14ac:dyDescent="0.25">
      <c r="A65" t="s">
        <v>740</v>
      </c>
      <c r="B65" t="s">
        <v>724</v>
      </c>
      <c r="C65" s="3">
        <v>600</v>
      </c>
      <c r="D65" s="3">
        <v>676068</v>
      </c>
      <c r="E65" s="8" t="s">
        <v>811</v>
      </c>
      <c r="F65" s="3">
        <v>34136725028940</v>
      </c>
      <c r="G65" t="s">
        <v>726</v>
      </c>
      <c r="H65" s="3">
        <v>30525390086</v>
      </c>
      <c r="I65" t="s">
        <v>87</v>
      </c>
      <c r="J65" s="12">
        <v>2697364.86</v>
      </c>
      <c r="K65" s="12">
        <v>0</v>
      </c>
      <c r="L65" s="12">
        <v>0</v>
      </c>
      <c r="M65" s="12">
        <v>0</v>
      </c>
      <c r="N65" s="12">
        <v>566446.62</v>
      </c>
      <c r="O65" s="12">
        <v>3513326.88</v>
      </c>
      <c r="P65" s="27"/>
      <c r="R65" s="12"/>
    </row>
    <row r="66" spans="1:18" x14ac:dyDescent="0.25">
      <c r="A66" t="s">
        <v>740</v>
      </c>
      <c r="B66" t="s">
        <v>724</v>
      </c>
      <c r="C66" s="3">
        <v>600</v>
      </c>
      <c r="D66" s="3">
        <v>676069</v>
      </c>
      <c r="E66" s="8" t="s">
        <v>812</v>
      </c>
      <c r="F66" s="3">
        <v>34136725028940</v>
      </c>
      <c r="G66" t="s">
        <v>726</v>
      </c>
      <c r="H66" s="3">
        <v>30525390086</v>
      </c>
      <c r="I66" t="s">
        <v>87</v>
      </c>
      <c r="J66" s="12">
        <v>6048124.9000000004</v>
      </c>
      <c r="K66" s="12">
        <v>0</v>
      </c>
      <c r="L66" s="12">
        <v>0</v>
      </c>
      <c r="M66" s="12">
        <v>0</v>
      </c>
      <c r="N66" s="12">
        <v>1270106.23</v>
      </c>
      <c r="O66" s="12">
        <v>8157101.21</v>
      </c>
      <c r="P66" s="27"/>
      <c r="R66" s="12"/>
    </row>
    <row r="67" spans="1:18" x14ac:dyDescent="0.25">
      <c r="A67" t="s">
        <v>740</v>
      </c>
      <c r="B67" t="s">
        <v>724</v>
      </c>
      <c r="C67" s="3">
        <v>600</v>
      </c>
      <c r="D67" s="3">
        <v>676070</v>
      </c>
      <c r="E67" s="8" t="s">
        <v>813</v>
      </c>
      <c r="F67" s="3">
        <v>34136725028940</v>
      </c>
      <c r="G67" t="s">
        <v>726</v>
      </c>
      <c r="H67" s="3">
        <v>30525390086</v>
      </c>
      <c r="I67" t="s">
        <v>87</v>
      </c>
      <c r="J67" s="12">
        <v>4697855.62</v>
      </c>
      <c r="K67" s="12">
        <v>0</v>
      </c>
      <c r="L67" s="12">
        <v>0</v>
      </c>
      <c r="M67" s="12">
        <v>0</v>
      </c>
      <c r="N67" s="12">
        <v>986549.68</v>
      </c>
      <c r="O67" s="12">
        <v>6267106.71</v>
      </c>
      <c r="P67" s="27"/>
      <c r="R67" s="12"/>
    </row>
    <row r="68" spans="1:18" x14ac:dyDescent="0.25">
      <c r="A68" t="s">
        <v>766</v>
      </c>
      <c r="B68" t="s">
        <v>724</v>
      </c>
      <c r="C68" s="3">
        <v>601</v>
      </c>
      <c r="D68" s="3">
        <v>260452</v>
      </c>
      <c r="E68" s="8" t="s">
        <v>814</v>
      </c>
      <c r="F68" s="3">
        <v>34136725028940</v>
      </c>
      <c r="G68" t="s">
        <v>726</v>
      </c>
      <c r="H68" s="3">
        <v>30525390086</v>
      </c>
      <c r="I68" t="s">
        <v>87</v>
      </c>
      <c r="J68" s="12">
        <v>953105.86</v>
      </c>
      <c r="K68" s="12">
        <v>0</v>
      </c>
      <c r="L68" s="12">
        <v>0</v>
      </c>
      <c r="M68" s="12">
        <v>0</v>
      </c>
      <c r="N68" s="12">
        <v>200152.23</v>
      </c>
      <c r="O68" s="12">
        <v>1200913.32</v>
      </c>
      <c r="P68" s="27"/>
      <c r="R68" s="12"/>
    </row>
    <row r="69" spans="1:18" x14ac:dyDescent="0.25">
      <c r="A69" t="s">
        <v>802</v>
      </c>
      <c r="B69" t="s">
        <v>724</v>
      </c>
      <c r="C69" s="3">
        <v>601</v>
      </c>
      <c r="D69" s="3">
        <v>261684</v>
      </c>
      <c r="E69" s="8" t="s">
        <v>815</v>
      </c>
      <c r="F69" s="3">
        <v>34156444064771</v>
      </c>
      <c r="G69" t="s">
        <v>726</v>
      </c>
      <c r="H69" s="3">
        <v>30525390086</v>
      </c>
      <c r="I69" t="s">
        <v>87</v>
      </c>
      <c r="J69" s="12">
        <v>5598105.4299999997</v>
      </c>
      <c r="K69" s="12">
        <v>0</v>
      </c>
      <c r="L69" s="12">
        <v>0</v>
      </c>
      <c r="M69" s="12">
        <v>0</v>
      </c>
      <c r="N69" s="12">
        <v>1175602.1399999999</v>
      </c>
      <c r="O69" s="12">
        <v>7361053.3899999997</v>
      </c>
      <c r="P69" s="27"/>
      <c r="R69" s="12"/>
    </row>
    <row r="70" spans="1:18" x14ac:dyDescent="0.25">
      <c r="A70" s="14" t="s">
        <v>773</v>
      </c>
      <c r="B70" s="14" t="s">
        <v>724</v>
      </c>
      <c r="C70" s="15">
        <v>601</v>
      </c>
      <c r="D70" s="15">
        <v>261839</v>
      </c>
      <c r="E70" s="14" t="s">
        <v>816</v>
      </c>
      <c r="F70" s="15">
        <v>34156444064771</v>
      </c>
      <c r="G70" s="14" t="s">
        <v>726</v>
      </c>
      <c r="H70" s="15">
        <v>30525390086</v>
      </c>
      <c r="I70" s="14" t="s">
        <v>87</v>
      </c>
      <c r="J70" s="16">
        <v>674642.1</v>
      </c>
      <c r="K70" s="16">
        <v>0</v>
      </c>
      <c r="L70" s="16">
        <v>0</v>
      </c>
      <c r="M70" s="16">
        <v>0</v>
      </c>
      <c r="N70" s="16">
        <v>141674.84</v>
      </c>
      <c r="O70" s="16">
        <v>878723.61</v>
      </c>
      <c r="P70" s="27"/>
      <c r="R70" s="12"/>
    </row>
    <row r="71" spans="1:18" x14ac:dyDescent="0.25">
      <c r="A71" s="14" t="s">
        <v>773</v>
      </c>
      <c r="B71" s="14" t="s">
        <v>741</v>
      </c>
      <c r="C71" s="15">
        <v>603</v>
      </c>
      <c r="D71" s="15">
        <v>56563</v>
      </c>
      <c r="E71" s="14" t="s">
        <v>817</v>
      </c>
      <c r="F71" s="15">
        <v>34156444064771</v>
      </c>
      <c r="G71" s="14" t="s">
        <v>726</v>
      </c>
      <c r="H71" s="15">
        <v>30525390086</v>
      </c>
      <c r="I71" s="14" t="s">
        <v>87</v>
      </c>
      <c r="J71" s="16">
        <v>674642.1</v>
      </c>
      <c r="K71" s="16">
        <v>0</v>
      </c>
      <c r="L71" s="16">
        <v>0</v>
      </c>
      <c r="M71" s="16">
        <v>0</v>
      </c>
      <c r="N71" s="16">
        <v>141674.84</v>
      </c>
      <c r="O71" s="16">
        <v>878723.61</v>
      </c>
      <c r="P71" s="27"/>
      <c r="R71" s="12"/>
    </row>
    <row r="72" spans="1:18" x14ac:dyDescent="0.25">
      <c r="A72" t="s">
        <v>747</v>
      </c>
      <c r="B72" t="s">
        <v>724</v>
      </c>
      <c r="C72" s="3">
        <v>601</v>
      </c>
      <c r="D72" s="3">
        <v>262150</v>
      </c>
      <c r="E72" s="8" t="s">
        <v>818</v>
      </c>
      <c r="F72" s="3">
        <v>34156444064771</v>
      </c>
      <c r="G72" t="s">
        <v>726</v>
      </c>
      <c r="H72" s="3">
        <v>30525390086</v>
      </c>
      <c r="I72" t="s">
        <v>87</v>
      </c>
      <c r="J72" s="12">
        <v>548763.9</v>
      </c>
      <c r="K72" s="12">
        <v>0</v>
      </c>
      <c r="L72" s="12">
        <v>0</v>
      </c>
      <c r="M72" s="12">
        <v>0</v>
      </c>
      <c r="N72" s="12">
        <v>115240.42</v>
      </c>
      <c r="O72" s="12">
        <v>729067.08</v>
      </c>
      <c r="P72" s="27"/>
      <c r="R72" s="12"/>
    </row>
    <row r="73" spans="1:18" x14ac:dyDescent="0.25">
      <c r="A73" t="s">
        <v>804</v>
      </c>
      <c r="B73" t="s">
        <v>724</v>
      </c>
      <c r="C73" s="3">
        <v>5</v>
      </c>
      <c r="D73" s="3">
        <v>604</v>
      </c>
      <c r="E73" s="8" t="s">
        <v>819</v>
      </c>
      <c r="F73" s="3">
        <v>74158698818025</v>
      </c>
      <c r="G73" t="s">
        <v>726</v>
      </c>
      <c r="H73" s="3">
        <v>30713239808</v>
      </c>
      <c r="I73" t="s">
        <v>278</v>
      </c>
      <c r="J73" s="12">
        <v>7596288</v>
      </c>
      <c r="K73" s="12">
        <v>0</v>
      </c>
      <c r="L73" s="12">
        <v>0</v>
      </c>
      <c r="M73" s="12">
        <v>0</v>
      </c>
      <c r="N73" s="12">
        <v>1595220.48</v>
      </c>
      <c r="O73" s="12">
        <v>9191508.4800000004</v>
      </c>
      <c r="P73" s="27"/>
      <c r="R73" s="12"/>
    </row>
    <row r="74" spans="1:18" x14ac:dyDescent="0.25">
      <c r="A74" t="s">
        <v>802</v>
      </c>
      <c r="B74" t="s">
        <v>724</v>
      </c>
      <c r="C74" s="3">
        <v>5</v>
      </c>
      <c r="D74" s="3">
        <v>616</v>
      </c>
      <c r="E74" s="8" t="s">
        <v>820</v>
      </c>
      <c r="F74" s="3">
        <v>74178841594487</v>
      </c>
      <c r="G74" t="s">
        <v>726</v>
      </c>
      <c r="H74" s="3">
        <v>30713239808</v>
      </c>
      <c r="I74" t="s">
        <v>278</v>
      </c>
      <c r="J74" s="12">
        <v>7596288</v>
      </c>
      <c r="K74" s="12">
        <v>0</v>
      </c>
      <c r="L74" s="12">
        <v>0</v>
      </c>
      <c r="M74" s="12">
        <v>0</v>
      </c>
      <c r="N74" s="12">
        <v>1595220.48</v>
      </c>
      <c r="O74" s="12">
        <v>9191508.4800000004</v>
      </c>
      <c r="P74" s="27"/>
      <c r="R74" s="12"/>
    </row>
    <row r="75" spans="1:18" x14ac:dyDescent="0.25">
      <c r="A75" t="s">
        <v>821</v>
      </c>
      <c r="B75" t="s">
        <v>741</v>
      </c>
      <c r="C75" s="3">
        <v>5</v>
      </c>
      <c r="D75" s="3">
        <v>98</v>
      </c>
      <c r="E75" s="8" t="s">
        <v>822</v>
      </c>
      <c r="F75" s="3">
        <v>74178098689211</v>
      </c>
      <c r="G75" t="s">
        <v>726</v>
      </c>
      <c r="H75" s="3">
        <v>30713239808</v>
      </c>
      <c r="I75" t="s">
        <v>278</v>
      </c>
      <c r="J75" s="12">
        <v>7596288</v>
      </c>
      <c r="K75" s="12">
        <v>0</v>
      </c>
      <c r="L75" s="12">
        <v>0</v>
      </c>
      <c r="M75" s="12">
        <v>0</v>
      </c>
      <c r="N75" s="12">
        <v>1595220.48</v>
      </c>
      <c r="O75" s="12">
        <v>9191508.4800000004</v>
      </c>
      <c r="P75" s="27"/>
      <c r="R75" s="12"/>
    </row>
    <row r="76" spans="1:18" x14ac:dyDescent="0.25">
      <c r="A76" t="s">
        <v>731</v>
      </c>
      <c r="B76" t="s">
        <v>724</v>
      </c>
      <c r="C76" s="3">
        <v>4</v>
      </c>
      <c r="D76" s="3">
        <v>1061</v>
      </c>
      <c r="E76" s="8" t="s">
        <v>823</v>
      </c>
      <c r="F76" s="3">
        <v>74172669257405</v>
      </c>
      <c r="G76" t="s">
        <v>726</v>
      </c>
      <c r="H76" s="3">
        <v>30618899612</v>
      </c>
      <c r="I76" t="s">
        <v>454</v>
      </c>
      <c r="J76" s="12">
        <v>1500000</v>
      </c>
      <c r="K76" s="12">
        <v>0</v>
      </c>
      <c r="L76" s="12">
        <v>0</v>
      </c>
      <c r="M76" s="12">
        <v>0</v>
      </c>
      <c r="N76" s="12">
        <v>315000</v>
      </c>
      <c r="O76" s="12">
        <v>1815000</v>
      </c>
      <c r="P76" s="27"/>
      <c r="R76" s="12"/>
    </row>
    <row r="77" spans="1:18" x14ac:dyDescent="0.25">
      <c r="A77" t="s">
        <v>735</v>
      </c>
      <c r="B77" t="s">
        <v>724</v>
      </c>
      <c r="C77" s="3">
        <v>46</v>
      </c>
      <c r="D77" s="3">
        <v>398640</v>
      </c>
      <c r="E77" s="8" t="s">
        <v>824</v>
      </c>
      <c r="F77" s="3">
        <v>34133657695981</v>
      </c>
      <c r="G77" t="s">
        <v>726</v>
      </c>
      <c r="H77" s="3">
        <v>30532149793</v>
      </c>
      <c r="I77" t="s">
        <v>145</v>
      </c>
      <c r="J77" s="12">
        <v>801484.67</v>
      </c>
      <c r="K77" s="12">
        <v>0</v>
      </c>
      <c r="L77" s="12">
        <v>0</v>
      </c>
      <c r="M77" s="12">
        <v>0</v>
      </c>
      <c r="N77" s="12">
        <v>168311.78</v>
      </c>
      <c r="O77" s="12">
        <v>1009870.69</v>
      </c>
      <c r="P77" s="27"/>
      <c r="R77" s="12"/>
    </row>
    <row r="78" spans="1:18" x14ac:dyDescent="0.25">
      <c r="A78" t="s">
        <v>727</v>
      </c>
      <c r="B78" t="s">
        <v>724</v>
      </c>
      <c r="C78" s="3">
        <v>46</v>
      </c>
      <c r="D78" s="3">
        <v>399061</v>
      </c>
      <c r="E78" s="8" t="s">
        <v>825</v>
      </c>
      <c r="F78" s="3">
        <v>34133657695981</v>
      </c>
      <c r="G78" t="s">
        <v>726</v>
      </c>
      <c r="H78" s="3">
        <v>30532149793</v>
      </c>
      <c r="I78" t="s">
        <v>145</v>
      </c>
      <c r="J78" s="12">
        <v>2154480</v>
      </c>
      <c r="K78" s="12">
        <v>0</v>
      </c>
      <c r="L78" s="12">
        <v>0</v>
      </c>
      <c r="M78" s="12">
        <v>0</v>
      </c>
      <c r="N78" s="12">
        <v>452440.8</v>
      </c>
      <c r="O78" s="12">
        <v>2714644.8</v>
      </c>
      <c r="P78" s="27"/>
      <c r="R78" s="12"/>
    </row>
    <row r="79" spans="1:18" x14ac:dyDescent="0.25">
      <c r="A79" t="s">
        <v>804</v>
      </c>
      <c r="B79" t="s">
        <v>724</v>
      </c>
      <c r="C79" s="3">
        <v>46</v>
      </c>
      <c r="D79" s="3">
        <v>399093</v>
      </c>
      <c r="E79" s="8" t="s">
        <v>826</v>
      </c>
      <c r="F79" s="3">
        <v>34133657695981</v>
      </c>
      <c r="G79" t="s">
        <v>726</v>
      </c>
      <c r="H79" s="3">
        <v>30532149793</v>
      </c>
      <c r="I79" t="s">
        <v>145</v>
      </c>
      <c r="J79" s="12">
        <v>290349.38</v>
      </c>
      <c r="K79" s="12">
        <v>0</v>
      </c>
      <c r="L79" s="12">
        <v>0</v>
      </c>
      <c r="M79" s="12">
        <v>0</v>
      </c>
      <c r="N79" s="12">
        <v>60973.37</v>
      </c>
      <c r="O79" s="12">
        <v>365840.2</v>
      </c>
      <c r="P79" s="27"/>
      <c r="R79" s="12"/>
    </row>
    <row r="80" spans="1:18" x14ac:dyDescent="0.25">
      <c r="A80" t="s">
        <v>827</v>
      </c>
      <c r="B80" t="s">
        <v>724</v>
      </c>
      <c r="C80" s="3">
        <v>46</v>
      </c>
      <c r="D80" s="3">
        <v>399660</v>
      </c>
      <c r="E80" s="8" t="s">
        <v>828</v>
      </c>
      <c r="F80" s="3">
        <v>34153011783031</v>
      </c>
      <c r="G80" t="s">
        <v>726</v>
      </c>
      <c r="H80" s="3">
        <v>30532149793</v>
      </c>
      <c r="I80" t="s">
        <v>145</v>
      </c>
      <c r="J80" s="12">
        <v>450000</v>
      </c>
      <c r="K80" s="12">
        <v>0</v>
      </c>
      <c r="L80" s="12">
        <v>0</v>
      </c>
      <c r="M80" s="12">
        <v>0</v>
      </c>
      <c r="N80" s="12">
        <v>94500</v>
      </c>
      <c r="O80" s="12">
        <v>567000</v>
      </c>
      <c r="P80" s="27"/>
      <c r="R80" s="12"/>
    </row>
    <row r="81" spans="1:18" x14ac:dyDescent="0.25">
      <c r="A81" t="s">
        <v>773</v>
      </c>
      <c r="B81" t="s">
        <v>724</v>
      </c>
      <c r="C81" s="3">
        <v>46</v>
      </c>
      <c r="D81" s="3">
        <v>399824</v>
      </c>
      <c r="E81" s="8" t="s">
        <v>829</v>
      </c>
      <c r="F81" s="3">
        <v>34153011783031</v>
      </c>
      <c r="G81" t="s">
        <v>726</v>
      </c>
      <c r="H81" s="3">
        <v>30532149793</v>
      </c>
      <c r="I81" t="s">
        <v>145</v>
      </c>
      <c r="J81" s="12">
        <v>3390299.19</v>
      </c>
      <c r="K81" s="12">
        <v>0</v>
      </c>
      <c r="L81" s="12">
        <v>0</v>
      </c>
      <c r="M81" s="12">
        <v>0</v>
      </c>
      <c r="N81" s="12">
        <v>711962.83</v>
      </c>
      <c r="O81" s="12">
        <v>4271776.99</v>
      </c>
      <c r="P81" s="27"/>
      <c r="R81" s="12"/>
    </row>
    <row r="82" spans="1:18" x14ac:dyDescent="0.25">
      <c r="A82" t="s">
        <v>830</v>
      </c>
      <c r="B82" t="s">
        <v>724</v>
      </c>
      <c r="C82" s="3">
        <v>46</v>
      </c>
      <c r="D82" s="3">
        <v>399975</v>
      </c>
      <c r="E82" s="8" t="s">
        <v>831</v>
      </c>
      <c r="F82" s="3">
        <v>34153011783031</v>
      </c>
      <c r="G82" t="s">
        <v>726</v>
      </c>
      <c r="H82" s="3">
        <v>30532149793</v>
      </c>
      <c r="I82" t="s">
        <v>145</v>
      </c>
      <c r="J82" s="12">
        <v>345000</v>
      </c>
      <c r="K82" s="12">
        <v>0</v>
      </c>
      <c r="L82" s="12">
        <v>0</v>
      </c>
      <c r="M82" s="12">
        <v>0</v>
      </c>
      <c r="N82" s="12">
        <v>72450</v>
      </c>
      <c r="O82" s="12">
        <v>434700</v>
      </c>
      <c r="P82" s="27"/>
      <c r="R82" s="12"/>
    </row>
    <row r="83" spans="1:18" x14ac:dyDescent="0.25">
      <c r="A83" t="s">
        <v>735</v>
      </c>
      <c r="B83" t="s">
        <v>724</v>
      </c>
      <c r="C83" s="3">
        <v>218</v>
      </c>
      <c r="D83" s="3">
        <v>160366</v>
      </c>
      <c r="E83" s="8" t="s">
        <v>832</v>
      </c>
      <c r="F83" s="3">
        <v>74143693887438</v>
      </c>
      <c r="G83" t="s">
        <v>726</v>
      </c>
      <c r="H83" s="3">
        <v>30501290323</v>
      </c>
      <c r="I83" t="s">
        <v>148</v>
      </c>
      <c r="J83" s="12">
        <v>732587.19</v>
      </c>
      <c r="K83" s="12"/>
      <c r="L83" s="12"/>
      <c r="M83" s="12">
        <v>0</v>
      </c>
      <c r="N83" s="12">
        <v>153843.31</v>
      </c>
      <c r="O83" s="12">
        <v>945037.49</v>
      </c>
      <c r="P83" s="27"/>
      <c r="R83" s="12"/>
    </row>
    <row r="84" spans="1:18" x14ac:dyDescent="0.25">
      <c r="A84" t="s">
        <v>766</v>
      </c>
      <c r="B84" t="s">
        <v>724</v>
      </c>
      <c r="C84" s="3">
        <v>218</v>
      </c>
      <c r="D84" s="3">
        <v>160471</v>
      </c>
      <c r="E84" s="8" t="s">
        <v>833</v>
      </c>
      <c r="F84" s="3">
        <v>74153296019467</v>
      </c>
      <c r="G84" t="s">
        <v>726</v>
      </c>
      <c r="H84" s="3">
        <v>30501290323</v>
      </c>
      <c r="I84" t="s">
        <v>148</v>
      </c>
      <c r="J84" s="12">
        <v>1465174.43</v>
      </c>
      <c r="K84" s="12"/>
      <c r="L84" s="12"/>
      <c r="M84" s="12">
        <v>0</v>
      </c>
      <c r="N84" s="12">
        <v>307686.63</v>
      </c>
      <c r="O84" s="12">
        <v>1890074.99</v>
      </c>
      <c r="P84" s="27"/>
      <c r="R84" s="12"/>
    </row>
    <row r="85" spans="1:18" x14ac:dyDescent="0.25">
      <c r="A85" t="s">
        <v>766</v>
      </c>
      <c r="B85" t="s">
        <v>724</v>
      </c>
      <c r="C85" s="3">
        <v>218</v>
      </c>
      <c r="D85" s="3">
        <v>160470</v>
      </c>
      <c r="E85" s="8" t="s">
        <v>834</v>
      </c>
      <c r="F85" s="3">
        <v>74153296018097</v>
      </c>
      <c r="G85" t="s">
        <v>726</v>
      </c>
      <c r="H85" s="3">
        <v>30501290323</v>
      </c>
      <c r="I85" t="s">
        <v>148</v>
      </c>
      <c r="J85" s="12">
        <v>2328945.4300000002</v>
      </c>
      <c r="K85" s="12"/>
      <c r="L85" s="12"/>
      <c r="M85" s="12">
        <v>0</v>
      </c>
      <c r="N85" s="12">
        <v>489078.54</v>
      </c>
      <c r="O85" s="12">
        <v>3004339.59</v>
      </c>
      <c r="P85" s="27"/>
      <c r="R85" s="12"/>
    </row>
    <row r="86" spans="1:18" x14ac:dyDescent="0.25">
      <c r="A86" t="s">
        <v>835</v>
      </c>
      <c r="B86" t="s">
        <v>724</v>
      </c>
      <c r="C86" s="3">
        <v>218</v>
      </c>
      <c r="D86" s="3">
        <v>160691</v>
      </c>
      <c r="E86" s="8" t="s">
        <v>836</v>
      </c>
      <c r="F86" s="3">
        <v>74163334177431</v>
      </c>
      <c r="G86" t="s">
        <v>726</v>
      </c>
      <c r="H86" s="3">
        <v>30501290323</v>
      </c>
      <c r="I86" t="s">
        <v>148</v>
      </c>
      <c r="J86" s="12">
        <v>556088.14</v>
      </c>
      <c r="K86" s="12"/>
      <c r="L86" s="12"/>
      <c r="M86" s="12">
        <v>0</v>
      </c>
      <c r="N86" s="12">
        <v>116778.51</v>
      </c>
      <c r="O86" s="12">
        <v>717353.69</v>
      </c>
      <c r="P86" s="27"/>
      <c r="R86" s="12"/>
    </row>
    <row r="87" spans="1:18" x14ac:dyDescent="0.25">
      <c r="A87" t="s">
        <v>835</v>
      </c>
      <c r="B87" t="s">
        <v>724</v>
      </c>
      <c r="C87" s="3">
        <v>218</v>
      </c>
      <c r="D87" s="3">
        <v>160690</v>
      </c>
      <c r="E87" s="8" t="s">
        <v>837</v>
      </c>
      <c r="F87" s="3">
        <v>74163334176503</v>
      </c>
      <c r="G87" t="s">
        <v>726</v>
      </c>
      <c r="H87" s="3">
        <v>30501290323</v>
      </c>
      <c r="I87" t="s">
        <v>148</v>
      </c>
      <c r="J87" s="12">
        <v>1465174.43</v>
      </c>
      <c r="K87" s="12"/>
      <c r="L87" s="12"/>
      <c r="M87" s="12">
        <v>0</v>
      </c>
      <c r="N87" s="12">
        <v>307686.63</v>
      </c>
      <c r="O87" s="12">
        <v>1890074.99</v>
      </c>
      <c r="P87" s="27"/>
      <c r="R87" s="12"/>
    </row>
    <row r="88" spans="1:18" x14ac:dyDescent="0.25">
      <c r="A88" t="s">
        <v>802</v>
      </c>
      <c r="B88" t="s">
        <v>724</v>
      </c>
      <c r="C88" s="3">
        <v>218</v>
      </c>
      <c r="D88" s="3">
        <v>160767</v>
      </c>
      <c r="E88" s="8" t="s">
        <v>838</v>
      </c>
      <c r="F88" s="3">
        <v>74173851659301</v>
      </c>
      <c r="G88" t="s">
        <v>726</v>
      </c>
      <c r="H88" s="3">
        <v>30501290323</v>
      </c>
      <c r="I88" t="s">
        <v>148</v>
      </c>
      <c r="J88" s="12">
        <v>56512.76</v>
      </c>
      <c r="K88" s="12"/>
      <c r="L88" s="12"/>
      <c r="M88" s="12">
        <v>0</v>
      </c>
      <c r="N88" s="12">
        <v>11867.68</v>
      </c>
      <c r="O88" s="12">
        <v>72901.490000000005</v>
      </c>
      <c r="P88" s="27"/>
      <c r="R88" s="12"/>
    </row>
    <row r="89" spans="1:18" x14ac:dyDescent="0.25">
      <c r="A89" t="s">
        <v>755</v>
      </c>
      <c r="B89" t="s">
        <v>724</v>
      </c>
      <c r="C89" s="3">
        <v>113</v>
      </c>
      <c r="D89" s="3">
        <v>3569106</v>
      </c>
      <c r="E89" s="8" t="s">
        <v>839</v>
      </c>
      <c r="F89" s="3">
        <v>74170611101987</v>
      </c>
      <c r="G89" t="s">
        <v>726</v>
      </c>
      <c r="H89" s="3">
        <v>30577207190</v>
      </c>
      <c r="I89" t="s">
        <v>840</v>
      </c>
      <c r="J89" s="12">
        <v>8181.82</v>
      </c>
      <c r="K89" s="12">
        <v>0</v>
      </c>
      <c r="L89" s="12">
        <v>0</v>
      </c>
      <c r="M89" s="12">
        <v>0</v>
      </c>
      <c r="N89" s="12">
        <v>1718.18</v>
      </c>
      <c r="O89" s="12">
        <v>10309.09</v>
      </c>
      <c r="P89" s="27"/>
      <c r="R89" s="12"/>
    </row>
    <row r="90" spans="1:18" x14ac:dyDescent="0.25">
      <c r="A90" t="s">
        <v>755</v>
      </c>
      <c r="B90" t="s">
        <v>724</v>
      </c>
      <c r="C90" s="3">
        <v>113</v>
      </c>
      <c r="D90" s="3">
        <v>3570151</v>
      </c>
      <c r="E90" s="8" t="s">
        <v>841</v>
      </c>
      <c r="F90" s="3">
        <v>74170611151301</v>
      </c>
      <c r="G90" t="s">
        <v>726</v>
      </c>
      <c r="H90" s="3">
        <v>30577207190</v>
      </c>
      <c r="I90" t="s">
        <v>840</v>
      </c>
      <c r="J90" s="12">
        <v>9100.83</v>
      </c>
      <c r="K90" s="12">
        <v>0</v>
      </c>
      <c r="L90" s="12">
        <v>0</v>
      </c>
      <c r="M90" s="12">
        <v>0</v>
      </c>
      <c r="N90" s="12">
        <v>1911.17</v>
      </c>
      <c r="O90" s="12">
        <v>11467.05</v>
      </c>
      <c r="P90" s="27"/>
      <c r="R90" s="12"/>
    </row>
    <row r="91" spans="1:18" x14ac:dyDescent="0.25">
      <c r="A91" t="s">
        <v>755</v>
      </c>
      <c r="B91" t="s">
        <v>724</v>
      </c>
      <c r="C91" s="3">
        <v>113</v>
      </c>
      <c r="D91" s="3">
        <v>3567875</v>
      </c>
      <c r="E91" s="8" t="s">
        <v>842</v>
      </c>
      <c r="F91" s="3">
        <v>74170611048463</v>
      </c>
      <c r="G91" t="s">
        <v>726</v>
      </c>
      <c r="H91" s="3">
        <v>30577207190</v>
      </c>
      <c r="I91" t="s">
        <v>840</v>
      </c>
      <c r="J91" s="12">
        <v>1322.31</v>
      </c>
      <c r="K91" s="12">
        <v>0</v>
      </c>
      <c r="L91" s="12">
        <v>0</v>
      </c>
      <c r="M91" s="12">
        <v>0</v>
      </c>
      <c r="N91" s="12">
        <v>277.69</v>
      </c>
      <c r="O91" s="12">
        <v>1600</v>
      </c>
      <c r="P91" s="27"/>
      <c r="R91" s="12"/>
    </row>
    <row r="92" spans="1:18" x14ac:dyDescent="0.25">
      <c r="A92" t="s">
        <v>723</v>
      </c>
      <c r="B92" t="s">
        <v>724</v>
      </c>
      <c r="C92" s="3">
        <v>700</v>
      </c>
      <c r="D92" s="3">
        <v>1585875</v>
      </c>
      <c r="E92" s="8" t="s">
        <v>843</v>
      </c>
      <c r="F92" s="3">
        <v>74152294378122</v>
      </c>
      <c r="G92" t="s">
        <v>726</v>
      </c>
      <c r="H92" s="3">
        <v>30715804812</v>
      </c>
      <c r="I92" t="s">
        <v>844</v>
      </c>
      <c r="J92" s="12">
        <v>702.48</v>
      </c>
      <c r="K92" s="12">
        <v>0</v>
      </c>
      <c r="L92" s="12">
        <v>0</v>
      </c>
      <c r="M92" s="12">
        <v>0</v>
      </c>
      <c r="N92" s="12">
        <v>147.52000000000001</v>
      </c>
      <c r="O92" s="12">
        <v>850</v>
      </c>
      <c r="P92" s="27"/>
      <c r="R92" s="12"/>
    </row>
    <row r="93" spans="1:18" x14ac:dyDescent="0.25">
      <c r="A93" t="s">
        <v>723</v>
      </c>
      <c r="B93" t="s">
        <v>724</v>
      </c>
      <c r="C93" s="3">
        <v>700</v>
      </c>
      <c r="D93" s="3">
        <v>1586173</v>
      </c>
      <c r="E93" s="8" t="s">
        <v>845</v>
      </c>
      <c r="F93" s="3">
        <v>74152294434369</v>
      </c>
      <c r="G93" t="s">
        <v>726</v>
      </c>
      <c r="H93" s="3">
        <v>30715804812</v>
      </c>
      <c r="I93" t="s">
        <v>844</v>
      </c>
      <c r="J93" s="12">
        <v>413.22</v>
      </c>
      <c r="K93" s="12">
        <v>0</v>
      </c>
      <c r="L93" s="12">
        <v>0</v>
      </c>
      <c r="M93" s="12">
        <v>0</v>
      </c>
      <c r="N93" s="12">
        <v>86.78</v>
      </c>
      <c r="O93" s="12">
        <v>500</v>
      </c>
      <c r="P93" s="27"/>
      <c r="R93" s="12"/>
    </row>
    <row r="94" spans="1:18" x14ac:dyDescent="0.25">
      <c r="A94" t="s">
        <v>723</v>
      </c>
      <c r="B94" t="s">
        <v>724</v>
      </c>
      <c r="C94" s="3">
        <v>700</v>
      </c>
      <c r="D94" s="3">
        <v>1603414</v>
      </c>
      <c r="E94" s="8" t="s">
        <v>846</v>
      </c>
      <c r="F94" s="3">
        <v>74152297226192</v>
      </c>
      <c r="G94" t="s">
        <v>726</v>
      </c>
      <c r="H94" s="3">
        <v>30715804812</v>
      </c>
      <c r="I94" t="s">
        <v>844</v>
      </c>
      <c r="J94" s="12">
        <v>2107.44</v>
      </c>
      <c r="K94" s="12">
        <v>0</v>
      </c>
      <c r="L94" s="12">
        <v>0</v>
      </c>
      <c r="M94" s="12">
        <v>0</v>
      </c>
      <c r="N94" s="12">
        <v>442.56</v>
      </c>
      <c r="O94" s="12">
        <v>2550</v>
      </c>
      <c r="P94" s="27"/>
      <c r="R94" s="12"/>
    </row>
    <row r="95" spans="1:18" x14ac:dyDescent="0.25">
      <c r="A95" t="s">
        <v>802</v>
      </c>
      <c r="B95" t="s">
        <v>724</v>
      </c>
      <c r="C95" s="3">
        <v>700</v>
      </c>
      <c r="D95" s="3">
        <v>1617317</v>
      </c>
      <c r="E95" s="8" t="s">
        <v>847</v>
      </c>
      <c r="F95" s="3">
        <v>74172937393303</v>
      </c>
      <c r="G95" t="s">
        <v>726</v>
      </c>
      <c r="H95" s="3">
        <v>30715804812</v>
      </c>
      <c r="I95" t="s">
        <v>844</v>
      </c>
      <c r="J95" s="12">
        <v>1818.18</v>
      </c>
      <c r="K95" s="12">
        <v>0</v>
      </c>
      <c r="L95" s="12">
        <v>0</v>
      </c>
      <c r="M95" s="12">
        <v>0</v>
      </c>
      <c r="N95" s="12">
        <v>381.82</v>
      </c>
      <c r="O95" s="12">
        <v>2200</v>
      </c>
      <c r="P95" s="27"/>
      <c r="R95" s="12"/>
    </row>
    <row r="96" spans="1:18" x14ac:dyDescent="0.25">
      <c r="A96" t="s">
        <v>802</v>
      </c>
      <c r="B96" t="s">
        <v>724</v>
      </c>
      <c r="C96" s="3">
        <v>700</v>
      </c>
      <c r="D96" s="3">
        <v>1634183</v>
      </c>
      <c r="E96" s="8" t="s">
        <v>848</v>
      </c>
      <c r="F96" s="3">
        <v>74172937815864</v>
      </c>
      <c r="G96" t="s">
        <v>726</v>
      </c>
      <c r="H96" s="3">
        <v>30715804812</v>
      </c>
      <c r="I96" t="s">
        <v>844</v>
      </c>
      <c r="J96" s="12">
        <v>5909.09</v>
      </c>
      <c r="K96" s="12">
        <v>0</v>
      </c>
      <c r="L96" s="12">
        <v>0</v>
      </c>
      <c r="M96" s="12">
        <v>0</v>
      </c>
      <c r="N96" s="12">
        <v>1240.9100000000001</v>
      </c>
      <c r="O96" s="12">
        <v>7445.45</v>
      </c>
      <c r="P96" s="27"/>
      <c r="R96" s="12"/>
    </row>
    <row r="97" spans="1:18" x14ac:dyDescent="0.25">
      <c r="A97" t="s">
        <v>747</v>
      </c>
      <c r="B97" t="s">
        <v>724</v>
      </c>
      <c r="C97" s="3">
        <v>104</v>
      </c>
      <c r="D97" s="3">
        <v>5632472</v>
      </c>
      <c r="E97" s="8" t="s">
        <v>849</v>
      </c>
      <c r="F97" s="3">
        <v>74182469560923</v>
      </c>
      <c r="G97" t="s">
        <v>726</v>
      </c>
      <c r="H97" s="3">
        <v>30715804812</v>
      </c>
      <c r="I97" t="s">
        <v>844</v>
      </c>
      <c r="J97" s="12">
        <v>743.8</v>
      </c>
      <c r="K97" s="12">
        <v>0</v>
      </c>
      <c r="L97" s="12">
        <v>0</v>
      </c>
      <c r="M97" s="12">
        <v>0</v>
      </c>
      <c r="N97" s="12">
        <v>156.19999999999999</v>
      </c>
      <c r="O97" s="12">
        <v>922.31</v>
      </c>
      <c r="P97" s="27"/>
      <c r="R97" s="12"/>
    </row>
    <row r="98" spans="1:18" x14ac:dyDescent="0.25">
      <c r="A98" t="s">
        <v>735</v>
      </c>
      <c r="B98" t="s">
        <v>724</v>
      </c>
      <c r="C98" s="3">
        <v>6004</v>
      </c>
      <c r="D98" s="3">
        <v>3576627</v>
      </c>
      <c r="E98" s="8" t="s">
        <v>850</v>
      </c>
      <c r="F98" s="3">
        <v>34132053435519</v>
      </c>
      <c r="G98" t="s">
        <v>726</v>
      </c>
      <c r="H98" s="3">
        <v>30501116242</v>
      </c>
      <c r="I98" t="s">
        <v>851</v>
      </c>
      <c r="J98" s="12">
        <v>123573.14</v>
      </c>
      <c r="K98" s="12">
        <v>0</v>
      </c>
      <c r="L98" s="12">
        <v>0</v>
      </c>
      <c r="M98" s="12">
        <v>0</v>
      </c>
      <c r="N98" s="12">
        <v>25950.36</v>
      </c>
      <c r="O98" s="12">
        <v>155702.14000000001</v>
      </c>
      <c r="P98" s="27"/>
      <c r="R98" s="12"/>
    </row>
    <row r="99" spans="1:18" x14ac:dyDescent="0.25">
      <c r="A99" t="s">
        <v>766</v>
      </c>
      <c r="B99" t="s">
        <v>724</v>
      </c>
      <c r="C99" s="3">
        <v>6004</v>
      </c>
      <c r="D99" s="3">
        <v>3581919</v>
      </c>
      <c r="E99" s="8" t="s">
        <v>852</v>
      </c>
      <c r="F99" s="3">
        <v>34132053435519</v>
      </c>
      <c r="G99" t="s">
        <v>726</v>
      </c>
      <c r="H99" s="3">
        <v>30501116242</v>
      </c>
      <c r="I99" t="s">
        <v>851</v>
      </c>
      <c r="J99" s="12">
        <v>2806867.67</v>
      </c>
      <c r="K99" s="12">
        <v>0</v>
      </c>
      <c r="L99" s="12">
        <v>0</v>
      </c>
      <c r="M99" s="12">
        <v>0</v>
      </c>
      <c r="N99" s="12">
        <v>589442.21</v>
      </c>
      <c r="O99" s="12">
        <v>3536653.28</v>
      </c>
      <c r="P99" s="27"/>
      <c r="R99" s="12"/>
    </row>
    <row r="100" spans="1:18" x14ac:dyDescent="0.25">
      <c r="A100" t="s">
        <v>727</v>
      </c>
      <c r="B100" t="s">
        <v>724</v>
      </c>
      <c r="C100" s="3">
        <v>6004</v>
      </c>
      <c r="D100" s="3">
        <v>3584955</v>
      </c>
      <c r="E100" s="8" t="s">
        <v>853</v>
      </c>
      <c r="F100" s="3">
        <v>34132053435519</v>
      </c>
      <c r="G100" t="s">
        <v>726</v>
      </c>
      <c r="H100" s="3">
        <v>30501116242</v>
      </c>
      <c r="I100" t="s">
        <v>851</v>
      </c>
      <c r="J100" s="12">
        <v>129814.57</v>
      </c>
      <c r="K100" s="12">
        <v>0</v>
      </c>
      <c r="L100" s="12">
        <v>0</v>
      </c>
      <c r="M100" s="12">
        <v>0</v>
      </c>
      <c r="N100" s="12">
        <v>27261.06</v>
      </c>
      <c r="O100" s="12">
        <v>163566.35</v>
      </c>
      <c r="P100" s="27"/>
      <c r="R100" s="12"/>
    </row>
    <row r="101" spans="1:18" x14ac:dyDescent="0.25">
      <c r="A101" t="s">
        <v>804</v>
      </c>
      <c r="B101" t="s">
        <v>741</v>
      </c>
      <c r="C101" s="3">
        <v>6004</v>
      </c>
      <c r="D101" s="3">
        <v>1735658</v>
      </c>
      <c r="E101" s="8" t="s">
        <v>854</v>
      </c>
      <c r="F101" s="3">
        <v>34132053435519</v>
      </c>
      <c r="G101" t="s">
        <v>726</v>
      </c>
      <c r="H101" s="3">
        <v>30501116242</v>
      </c>
      <c r="I101" t="s">
        <v>851</v>
      </c>
      <c r="J101" s="12">
        <v>42208.14</v>
      </c>
      <c r="K101" s="12">
        <v>0</v>
      </c>
      <c r="L101" s="12">
        <v>0</v>
      </c>
      <c r="M101" s="12">
        <v>0</v>
      </c>
      <c r="N101" s="12">
        <v>8863.7099999999991</v>
      </c>
      <c r="O101" s="12">
        <v>52338.09</v>
      </c>
      <c r="P101" s="27"/>
      <c r="R101" s="12"/>
    </row>
    <row r="102" spans="1:18" x14ac:dyDescent="0.25">
      <c r="A102" t="s">
        <v>729</v>
      </c>
      <c r="B102" t="s">
        <v>724</v>
      </c>
      <c r="C102" s="3">
        <v>6004</v>
      </c>
      <c r="D102" s="3">
        <v>3590568</v>
      </c>
      <c r="E102" s="8" t="s">
        <v>855</v>
      </c>
      <c r="F102" s="3">
        <v>34152801682286</v>
      </c>
      <c r="G102" t="s">
        <v>726</v>
      </c>
      <c r="H102" s="3">
        <v>30501116242</v>
      </c>
      <c r="I102" t="s">
        <v>851</v>
      </c>
      <c r="J102" s="12">
        <v>450747.86</v>
      </c>
      <c r="K102" s="12">
        <v>0</v>
      </c>
      <c r="L102" s="12">
        <v>0</v>
      </c>
      <c r="M102" s="12">
        <v>0</v>
      </c>
      <c r="N102" s="12">
        <v>94657.05</v>
      </c>
      <c r="O102" s="12">
        <v>567942.32999999996</v>
      </c>
      <c r="P102" s="27"/>
      <c r="R102" s="12"/>
    </row>
    <row r="103" spans="1:18" x14ac:dyDescent="0.25">
      <c r="A103" t="s">
        <v>797</v>
      </c>
      <c r="B103" t="s">
        <v>724</v>
      </c>
      <c r="C103" s="3">
        <v>6004</v>
      </c>
      <c r="D103" s="3">
        <v>3593320</v>
      </c>
      <c r="E103" s="8" t="s">
        <v>856</v>
      </c>
      <c r="F103" s="3">
        <v>34152801682286</v>
      </c>
      <c r="G103" t="s">
        <v>726</v>
      </c>
      <c r="H103" s="3">
        <v>30501116242</v>
      </c>
      <c r="I103" t="s">
        <v>851</v>
      </c>
      <c r="J103" s="12">
        <v>119419.05</v>
      </c>
      <c r="K103" s="12">
        <v>0</v>
      </c>
      <c r="L103" s="12">
        <v>0</v>
      </c>
      <c r="M103" s="12">
        <v>0</v>
      </c>
      <c r="N103" s="12">
        <v>25078</v>
      </c>
      <c r="O103" s="12">
        <v>150468.01</v>
      </c>
      <c r="P103" s="27"/>
      <c r="R103" s="12"/>
    </row>
    <row r="104" spans="1:18" x14ac:dyDescent="0.25">
      <c r="A104" t="s">
        <v>797</v>
      </c>
      <c r="B104" t="s">
        <v>741</v>
      </c>
      <c r="C104" s="3">
        <v>6004</v>
      </c>
      <c r="D104" s="3">
        <v>1739506</v>
      </c>
      <c r="E104" s="8" t="s">
        <v>857</v>
      </c>
      <c r="F104" s="3">
        <v>34152801682286</v>
      </c>
      <c r="G104" t="s">
        <v>726</v>
      </c>
      <c r="H104" s="3">
        <v>30501116242</v>
      </c>
      <c r="I104" t="s">
        <v>851</v>
      </c>
      <c r="J104" s="12">
        <v>5386.9</v>
      </c>
      <c r="K104" s="12">
        <v>0</v>
      </c>
      <c r="L104" s="12">
        <v>0</v>
      </c>
      <c r="M104" s="12">
        <v>0</v>
      </c>
      <c r="N104" s="12">
        <v>1131.25</v>
      </c>
      <c r="O104" s="12">
        <v>6679.78</v>
      </c>
      <c r="P104" s="27"/>
      <c r="R104" s="12"/>
    </row>
    <row r="105" spans="1:18" x14ac:dyDescent="0.25">
      <c r="A105" t="s">
        <v>835</v>
      </c>
      <c r="B105" t="s">
        <v>741</v>
      </c>
      <c r="C105" s="3">
        <v>6004</v>
      </c>
      <c r="D105" s="3">
        <v>1740376</v>
      </c>
      <c r="E105" s="8" t="s">
        <v>858</v>
      </c>
      <c r="F105" s="3">
        <v>34152801682286</v>
      </c>
      <c r="G105" t="s">
        <v>726</v>
      </c>
      <c r="H105" s="3">
        <v>30501116242</v>
      </c>
      <c r="I105" t="s">
        <v>851</v>
      </c>
      <c r="J105" s="12">
        <v>35287.57</v>
      </c>
      <c r="K105" s="12">
        <v>0</v>
      </c>
      <c r="L105" s="12">
        <v>0</v>
      </c>
      <c r="M105" s="12">
        <v>0</v>
      </c>
      <c r="N105" s="12">
        <v>7410.39</v>
      </c>
      <c r="O105" s="12">
        <v>43756.58</v>
      </c>
      <c r="P105" s="27"/>
      <c r="R105" s="12"/>
    </row>
    <row r="106" spans="1:18" x14ac:dyDescent="0.25">
      <c r="A106" t="s">
        <v>827</v>
      </c>
      <c r="B106" t="s">
        <v>724</v>
      </c>
      <c r="C106" s="3">
        <v>6004</v>
      </c>
      <c r="D106" s="3">
        <v>3598299</v>
      </c>
      <c r="E106" s="8" t="s">
        <v>859</v>
      </c>
      <c r="F106" s="3">
        <v>34152801682286</v>
      </c>
      <c r="G106" t="s">
        <v>726</v>
      </c>
      <c r="H106" s="3">
        <v>30501116242</v>
      </c>
      <c r="I106" t="s">
        <v>851</v>
      </c>
      <c r="J106" s="12">
        <v>1904166.48</v>
      </c>
      <c r="K106" s="12">
        <v>0</v>
      </c>
      <c r="L106" s="12">
        <v>0</v>
      </c>
      <c r="M106" s="12">
        <v>0</v>
      </c>
      <c r="N106" s="12">
        <v>399874.96</v>
      </c>
      <c r="O106" s="12">
        <v>2399249.7400000002</v>
      </c>
      <c r="P106" s="27"/>
      <c r="R106" s="12"/>
    </row>
    <row r="107" spans="1:18" x14ac:dyDescent="0.25">
      <c r="A107" t="s">
        <v>773</v>
      </c>
      <c r="B107" t="s">
        <v>724</v>
      </c>
      <c r="C107" s="3">
        <v>6004</v>
      </c>
      <c r="D107" s="3">
        <v>3600825</v>
      </c>
      <c r="E107" s="8" t="s">
        <v>860</v>
      </c>
      <c r="F107" s="3">
        <v>34152801682286</v>
      </c>
      <c r="G107" t="s">
        <v>726</v>
      </c>
      <c r="H107" s="3">
        <v>30501116242</v>
      </c>
      <c r="I107" t="s">
        <v>851</v>
      </c>
      <c r="J107" s="12">
        <v>267841.05</v>
      </c>
      <c r="K107" s="12">
        <v>0</v>
      </c>
      <c r="L107" s="12">
        <v>0</v>
      </c>
      <c r="M107" s="12">
        <v>0</v>
      </c>
      <c r="N107" s="12">
        <v>56246.62</v>
      </c>
      <c r="O107" s="12">
        <v>337479.7</v>
      </c>
      <c r="P107" s="27"/>
      <c r="R107" s="12"/>
    </row>
    <row r="108" spans="1:18" x14ac:dyDescent="0.25">
      <c r="A108" t="s">
        <v>747</v>
      </c>
      <c r="B108" t="s">
        <v>724</v>
      </c>
      <c r="C108" s="3">
        <v>6004</v>
      </c>
      <c r="D108" s="3">
        <v>3607093</v>
      </c>
      <c r="E108" s="8" t="s">
        <v>861</v>
      </c>
      <c r="F108" s="3">
        <v>34152801682286</v>
      </c>
      <c r="G108" t="s">
        <v>726</v>
      </c>
      <c r="H108" s="3">
        <v>30501116242</v>
      </c>
      <c r="I108" t="s">
        <v>851</v>
      </c>
      <c r="J108" s="12">
        <v>1204390.33</v>
      </c>
      <c r="K108" s="12">
        <v>0</v>
      </c>
      <c r="L108" s="12">
        <v>0</v>
      </c>
      <c r="M108" s="12">
        <v>0</v>
      </c>
      <c r="N108" s="12">
        <v>252921.97</v>
      </c>
      <c r="O108" s="12">
        <v>1517531.82</v>
      </c>
      <c r="P108" s="27"/>
      <c r="R108" s="12"/>
    </row>
    <row r="109" spans="1:18" x14ac:dyDescent="0.25">
      <c r="A109" t="s">
        <v>740</v>
      </c>
      <c r="B109" t="s">
        <v>744</v>
      </c>
      <c r="C109" s="3">
        <v>2</v>
      </c>
      <c r="D109" s="3">
        <v>307</v>
      </c>
      <c r="E109" s="8" t="s">
        <v>862</v>
      </c>
      <c r="F109" s="3">
        <v>74149630118036</v>
      </c>
      <c r="G109" t="s">
        <v>726</v>
      </c>
      <c r="H109" s="3">
        <v>27206941419</v>
      </c>
      <c r="I109" t="s">
        <v>121</v>
      </c>
      <c r="J109" s="12"/>
      <c r="K109" s="12"/>
      <c r="L109" s="12"/>
      <c r="M109" s="12">
        <v>0</v>
      </c>
      <c r="N109" s="12"/>
      <c r="O109" s="12">
        <v>150000</v>
      </c>
      <c r="P109" s="27"/>
      <c r="R109" s="12"/>
    </row>
    <row r="110" spans="1:18" x14ac:dyDescent="0.25">
      <c r="A110" t="s">
        <v>723</v>
      </c>
      <c r="B110" t="s">
        <v>724</v>
      </c>
      <c r="C110" s="3">
        <v>10</v>
      </c>
      <c r="D110" s="3">
        <v>153087</v>
      </c>
      <c r="E110" s="8" t="s">
        <v>863</v>
      </c>
      <c r="F110" s="3">
        <v>74155189576831</v>
      </c>
      <c r="G110" t="s">
        <v>726</v>
      </c>
      <c r="H110" s="3">
        <v>30642219355</v>
      </c>
      <c r="I110" t="s">
        <v>206</v>
      </c>
      <c r="J110" s="12">
        <v>1039121</v>
      </c>
      <c r="K110" s="12">
        <v>0</v>
      </c>
      <c r="L110" s="12">
        <v>0</v>
      </c>
      <c r="M110" s="12">
        <v>0</v>
      </c>
      <c r="N110" s="12">
        <v>218215.41</v>
      </c>
      <c r="O110" s="12">
        <v>1340466.0900000001</v>
      </c>
      <c r="P110" s="27"/>
      <c r="R110" s="12"/>
    </row>
    <row r="111" spans="1:18" x14ac:dyDescent="0.25">
      <c r="A111" t="s">
        <v>864</v>
      </c>
      <c r="B111" t="s">
        <v>741</v>
      </c>
      <c r="C111" s="3">
        <v>10</v>
      </c>
      <c r="D111" s="3">
        <v>52566</v>
      </c>
      <c r="E111" s="8" t="s">
        <v>865</v>
      </c>
      <c r="F111" s="3">
        <v>74165891695747</v>
      </c>
      <c r="G111" t="s">
        <v>726</v>
      </c>
      <c r="H111" s="3">
        <v>30642219355</v>
      </c>
      <c r="I111" t="s">
        <v>206</v>
      </c>
      <c r="J111" s="12">
        <v>2233540</v>
      </c>
      <c r="K111" s="12">
        <v>0</v>
      </c>
      <c r="L111" s="12">
        <v>0</v>
      </c>
      <c r="M111" s="12">
        <v>0</v>
      </c>
      <c r="N111" s="12">
        <v>469043.4</v>
      </c>
      <c r="O111" s="12">
        <v>2702583.4</v>
      </c>
      <c r="P111" s="27"/>
      <c r="R111" s="12"/>
    </row>
    <row r="112" spans="1:18" x14ac:dyDescent="0.25">
      <c r="A112" t="s">
        <v>830</v>
      </c>
      <c r="B112" t="s">
        <v>724</v>
      </c>
      <c r="C112" s="3">
        <v>10</v>
      </c>
      <c r="D112" s="3">
        <v>153812</v>
      </c>
      <c r="E112" s="8" t="s">
        <v>866</v>
      </c>
      <c r="F112" s="3">
        <v>74185388556519</v>
      </c>
      <c r="G112" t="s">
        <v>726</v>
      </c>
      <c r="H112" s="3">
        <v>30642219355</v>
      </c>
      <c r="I112" t="s">
        <v>206</v>
      </c>
      <c r="J112" s="12">
        <v>1946428.76</v>
      </c>
      <c r="K112" s="12">
        <v>0</v>
      </c>
      <c r="L112" s="12">
        <v>0</v>
      </c>
      <c r="M112" s="12">
        <v>0</v>
      </c>
      <c r="N112" s="12">
        <v>408750.04</v>
      </c>
      <c r="O112" s="12">
        <v>2510893.09</v>
      </c>
      <c r="P112" s="27"/>
      <c r="R112" s="12"/>
    </row>
    <row r="113" spans="1:18" x14ac:dyDescent="0.25">
      <c r="A113" t="s">
        <v>735</v>
      </c>
      <c r="B113" t="s">
        <v>724</v>
      </c>
      <c r="C113" s="3">
        <v>1001</v>
      </c>
      <c r="D113" s="3">
        <v>234087</v>
      </c>
      <c r="E113" s="8" t="s">
        <v>867</v>
      </c>
      <c r="F113" s="3">
        <v>74142735571630</v>
      </c>
      <c r="G113" t="s">
        <v>726</v>
      </c>
      <c r="H113" s="3">
        <v>30586611522</v>
      </c>
      <c r="I113" t="s">
        <v>151</v>
      </c>
      <c r="J113" s="12">
        <v>1829564</v>
      </c>
      <c r="K113" s="12"/>
      <c r="L113" s="12">
        <v>0</v>
      </c>
      <c r="M113" s="12">
        <v>0</v>
      </c>
      <c r="N113" s="12">
        <v>384208.44</v>
      </c>
      <c r="O113" s="12">
        <v>2360137.56</v>
      </c>
      <c r="P113" s="27"/>
      <c r="R113" s="12"/>
    </row>
    <row r="114" spans="1:18" x14ac:dyDescent="0.25">
      <c r="A114" t="s">
        <v>797</v>
      </c>
      <c r="B114" t="s">
        <v>724</v>
      </c>
      <c r="C114" s="3">
        <v>1001</v>
      </c>
      <c r="D114" s="3">
        <v>234748</v>
      </c>
      <c r="E114" s="8" t="s">
        <v>868</v>
      </c>
      <c r="F114" s="3">
        <v>74162257168540</v>
      </c>
      <c r="G114" t="s">
        <v>726</v>
      </c>
      <c r="H114" s="3">
        <v>30586611522</v>
      </c>
      <c r="I114" t="s">
        <v>151</v>
      </c>
      <c r="J114" s="12">
        <v>7071110</v>
      </c>
      <c r="K114" s="12"/>
      <c r="L114" s="12">
        <v>0</v>
      </c>
      <c r="M114" s="12">
        <v>0</v>
      </c>
      <c r="N114" s="12">
        <v>1484933.1</v>
      </c>
      <c r="O114" s="12">
        <v>9121731.9000000004</v>
      </c>
      <c r="P114" s="27"/>
      <c r="R114" s="12"/>
    </row>
    <row r="115" spans="1:18" x14ac:dyDescent="0.25">
      <c r="A115" t="s">
        <v>827</v>
      </c>
      <c r="B115" t="s">
        <v>724</v>
      </c>
      <c r="C115" s="3">
        <v>1001</v>
      </c>
      <c r="D115" s="3">
        <v>234948</v>
      </c>
      <c r="E115" s="8" t="s">
        <v>869</v>
      </c>
      <c r="F115" s="3">
        <v>74172744114541</v>
      </c>
      <c r="G115" t="s">
        <v>726</v>
      </c>
      <c r="H115" s="3">
        <v>30586611522</v>
      </c>
      <c r="I115" t="s">
        <v>151</v>
      </c>
      <c r="J115" s="12">
        <v>1926148</v>
      </c>
      <c r="K115" s="12"/>
      <c r="L115" s="12">
        <v>0</v>
      </c>
      <c r="M115" s="12">
        <v>0</v>
      </c>
      <c r="N115" s="12">
        <v>404491.08</v>
      </c>
      <c r="O115" s="12">
        <v>2484730.92</v>
      </c>
      <c r="P115" s="27"/>
      <c r="R115" s="12"/>
    </row>
    <row r="116" spans="1:18" x14ac:dyDescent="0.25">
      <c r="A116" t="s">
        <v>830</v>
      </c>
      <c r="B116" t="s">
        <v>724</v>
      </c>
      <c r="C116" s="3">
        <v>1001</v>
      </c>
      <c r="D116" s="3">
        <v>235246</v>
      </c>
      <c r="E116" s="8" t="s">
        <v>870</v>
      </c>
      <c r="F116" s="3">
        <v>74182362293627</v>
      </c>
      <c r="G116" t="s">
        <v>726</v>
      </c>
      <c r="H116" s="3">
        <v>30586611522</v>
      </c>
      <c r="I116" t="s">
        <v>151</v>
      </c>
      <c r="J116" s="12">
        <v>4033449.19</v>
      </c>
      <c r="K116" s="12"/>
      <c r="L116" s="12">
        <v>0</v>
      </c>
      <c r="M116" s="12">
        <v>0</v>
      </c>
      <c r="N116" s="12">
        <v>847024.33</v>
      </c>
      <c r="O116" s="12">
        <v>5203149.47</v>
      </c>
      <c r="P116" s="27"/>
      <c r="R116" s="12"/>
    </row>
    <row r="117" spans="1:18" x14ac:dyDescent="0.25">
      <c r="A117" t="s">
        <v>830</v>
      </c>
      <c r="B117" t="s">
        <v>724</v>
      </c>
      <c r="C117" s="3">
        <v>1001</v>
      </c>
      <c r="D117" s="3">
        <v>235247</v>
      </c>
      <c r="E117" s="8" t="s">
        <v>871</v>
      </c>
      <c r="F117" s="3">
        <v>74182362294217</v>
      </c>
      <c r="G117" t="s">
        <v>726</v>
      </c>
      <c r="H117" s="3">
        <v>30586611522</v>
      </c>
      <c r="I117" t="s">
        <v>151</v>
      </c>
      <c r="J117" s="12">
        <v>975758.38</v>
      </c>
      <c r="K117" s="12"/>
      <c r="L117" s="12">
        <v>0</v>
      </c>
      <c r="M117" s="12">
        <v>0</v>
      </c>
      <c r="N117" s="12">
        <v>204909.26</v>
      </c>
      <c r="O117" s="12">
        <v>1258728.33</v>
      </c>
      <c r="P117" s="27"/>
      <c r="R117" s="12"/>
    </row>
    <row r="118" spans="1:18" x14ac:dyDescent="0.25">
      <c r="A118" t="s">
        <v>830</v>
      </c>
      <c r="B118" t="s">
        <v>724</v>
      </c>
      <c r="C118" s="3">
        <v>2</v>
      </c>
      <c r="D118" s="3">
        <v>39584</v>
      </c>
      <c r="E118" s="8" t="s">
        <v>872</v>
      </c>
      <c r="F118" s="3">
        <v>74181324801860</v>
      </c>
      <c r="G118" t="s">
        <v>726</v>
      </c>
      <c r="H118" s="3">
        <v>30582634021</v>
      </c>
      <c r="I118" t="s">
        <v>544</v>
      </c>
      <c r="J118" s="12">
        <v>803193.3</v>
      </c>
      <c r="K118" s="12">
        <v>0</v>
      </c>
      <c r="L118" s="12">
        <v>0</v>
      </c>
      <c r="M118" s="12">
        <v>0</v>
      </c>
      <c r="N118" s="12">
        <v>168670.59</v>
      </c>
      <c r="O118" s="12">
        <v>1036119.36</v>
      </c>
      <c r="P118" s="27"/>
      <c r="R118" s="12"/>
    </row>
    <row r="119" spans="1:18" x14ac:dyDescent="0.25">
      <c r="A119" t="s">
        <v>873</v>
      </c>
      <c r="B119" t="s">
        <v>724</v>
      </c>
      <c r="C119" s="3">
        <v>3</v>
      </c>
      <c r="D119" s="3">
        <v>5202</v>
      </c>
      <c r="E119" s="8" t="s">
        <v>874</v>
      </c>
      <c r="F119" s="3">
        <v>74159374066113</v>
      </c>
      <c r="G119" t="s">
        <v>726</v>
      </c>
      <c r="H119" s="3">
        <v>33714191999</v>
      </c>
      <c r="I119" t="s">
        <v>875</v>
      </c>
      <c r="J119" s="12">
        <v>53588</v>
      </c>
      <c r="K119" s="12">
        <v>0</v>
      </c>
      <c r="L119" s="12">
        <v>0</v>
      </c>
      <c r="M119" s="12">
        <v>0</v>
      </c>
      <c r="N119" s="12">
        <v>11253.48</v>
      </c>
      <c r="O119" s="12">
        <v>64841.48</v>
      </c>
      <c r="P119" s="27"/>
      <c r="R119" s="12"/>
    </row>
    <row r="120" spans="1:18" x14ac:dyDescent="0.25">
      <c r="A120" t="s">
        <v>729</v>
      </c>
      <c r="B120" t="s">
        <v>724</v>
      </c>
      <c r="C120" s="3">
        <v>3</v>
      </c>
      <c r="D120" s="3">
        <v>5209</v>
      </c>
      <c r="E120" s="8" t="s">
        <v>876</v>
      </c>
      <c r="F120" s="3">
        <v>74169036254068</v>
      </c>
      <c r="G120" t="s">
        <v>726</v>
      </c>
      <c r="H120" s="3">
        <v>33714191999</v>
      </c>
      <c r="I120" t="s">
        <v>875</v>
      </c>
      <c r="J120" s="12">
        <v>535880</v>
      </c>
      <c r="K120" s="12">
        <v>0</v>
      </c>
      <c r="L120" s="12">
        <v>0</v>
      </c>
      <c r="M120" s="12">
        <v>0</v>
      </c>
      <c r="N120" s="12">
        <v>112534.8</v>
      </c>
      <c r="O120" s="12">
        <v>648414.80000000005</v>
      </c>
      <c r="P120" s="27"/>
      <c r="R120" s="12"/>
    </row>
    <row r="121" spans="1:18" x14ac:dyDescent="0.25">
      <c r="A121" t="s">
        <v>821</v>
      </c>
      <c r="B121" t="s">
        <v>724</v>
      </c>
      <c r="C121" s="3">
        <v>3</v>
      </c>
      <c r="D121" s="3">
        <v>5224</v>
      </c>
      <c r="E121" s="8" t="s">
        <v>877</v>
      </c>
      <c r="F121" s="3">
        <v>74179044216483</v>
      </c>
      <c r="G121" t="s">
        <v>726</v>
      </c>
      <c r="H121" s="3">
        <v>33714191999</v>
      </c>
      <c r="I121" t="s">
        <v>875</v>
      </c>
      <c r="J121" s="12">
        <v>669850</v>
      </c>
      <c r="K121" s="12">
        <v>0</v>
      </c>
      <c r="L121" s="12">
        <v>0</v>
      </c>
      <c r="M121" s="12">
        <v>0</v>
      </c>
      <c r="N121" s="12">
        <v>140668.5</v>
      </c>
      <c r="O121" s="12">
        <v>810518.5</v>
      </c>
      <c r="P121" s="27"/>
      <c r="R121" s="12"/>
    </row>
    <row r="122" spans="1:18" x14ac:dyDescent="0.25">
      <c r="A122" t="s">
        <v>755</v>
      </c>
      <c r="B122" t="s">
        <v>744</v>
      </c>
      <c r="C122" s="3">
        <v>1</v>
      </c>
      <c r="D122" s="3">
        <v>8</v>
      </c>
      <c r="E122" s="8" t="s">
        <v>878</v>
      </c>
      <c r="F122" s="3">
        <v>74160146720274</v>
      </c>
      <c r="G122" t="s">
        <v>726</v>
      </c>
      <c r="H122" s="3">
        <v>20284458010</v>
      </c>
      <c r="I122" t="s">
        <v>406</v>
      </c>
      <c r="J122" s="12"/>
      <c r="K122" s="12"/>
      <c r="L122" s="12"/>
      <c r="M122" s="12">
        <v>0</v>
      </c>
      <c r="N122" s="12"/>
      <c r="O122" s="12">
        <v>130000</v>
      </c>
      <c r="P122" s="27"/>
      <c r="R122" s="12"/>
    </row>
    <row r="123" spans="1:18" x14ac:dyDescent="0.25">
      <c r="A123" t="s">
        <v>755</v>
      </c>
      <c r="B123" t="s">
        <v>741</v>
      </c>
      <c r="C123" s="3">
        <v>5</v>
      </c>
      <c r="D123" s="3">
        <v>245</v>
      </c>
      <c r="E123" s="8" t="s">
        <v>879</v>
      </c>
      <c r="F123" s="3">
        <v>74167173943495</v>
      </c>
      <c r="G123" t="s">
        <v>726</v>
      </c>
      <c r="H123" s="3">
        <v>30709571717</v>
      </c>
      <c r="I123" t="s">
        <v>880</v>
      </c>
      <c r="J123" s="12">
        <v>139084</v>
      </c>
      <c r="K123" s="12">
        <v>0</v>
      </c>
      <c r="L123" s="12">
        <v>0</v>
      </c>
      <c r="M123" s="12">
        <v>0</v>
      </c>
      <c r="N123" s="12">
        <v>29207.64</v>
      </c>
      <c r="O123" s="12">
        <v>168291.65</v>
      </c>
      <c r="P123" s="27"/>
      <c r="R123" s="12"/>
    </row>
    <row r="124" spans="1:18" x14ac:dyDescent="0.25">
      <c r="A124" t="s">
        <v>755</v>
      </c>
      <c r="B124" t="s">
        <v>741</v>
      </c>
      <c r="C124" s="3">
        <v>5</v>
      </c>
      <c r="D124" s="3">
        <v>243</v>
      </c>
      <c r="E124" s="8" t="s">
        <v>881</v>
      </c>
      <c r="F124" s="3">
        <v>74167148525867</v>
      </c>
      <c r="G124" t="s">
        <v>726</v>
      </c>
      <c r="H124" s="3">
        <v>30709571717</v>
      </c>
      <c r="I124" t="s">
        <v>880</v>
      </c>
      <c r="J124" s="12">
        <v>46361.33</v>
      </c>
      <c r="K124" s="12">
        <v>0</v>
      </c>
      <c r="L124" s="12">
        <v>0</v>
      </c>
      <c r="M124" s="12">
        <v>0</v>
      </c>
      <c r="N124" s="12">
        <v>9735.8799999999992</v>
      </c>
      <c r="O124" s="12">
        <v>56097.22</v>
      </c>
      <c r="P124" s="27"/>
      <c r="R124" s="12"/>
    </row>
    <row r="125" spans="1:18" x14ac:dyDescent="0.25">
      <c r="A125" t="s">
        <v>731</v>
      </c>
      <c r="B125" t="s">
        <v>741</v>
      </c>
      <c r="C125" s="3">
        <v>5</v>
      </c>
      <c r="D125" s="3">
        <v>247</v>
      </c>
      <c r="E125" s="8" t="s">
        <v>882</v>
      </c>
      <c r="F125" s="3">
        <v>74177674404333</v>
      </c>
      <c r="G125" t="s">
        <v>726</v>
      </c>
      <c r="H125" s="3">
        <v>30709571717</v>
      </c>
      <c r="I125" t="s">
        <v>880</v>
      </c>
      <c r="J125" s="12">
        <v>257094.69</v>
      </c>
      <c r="K125" s="12">
        <v>0</v>
      </c>
      <c r="L125" s="12">
        <v>0</v>
      </c>
      <c r="M125" s="12">
        <v>0</v>
      </c>
      <c r="N125" s="12">
        <v>53989.88</v>
      </c>
      <c r="O125" s="12">
        <v>311084.57</v>
      </c>
      <c r="P125" s="27"/>
      <c r="R125" s="12"/>
    </row>
    <row r="126" spans="1:18" x14ac:dyDescent="0.25">
      <c r="A126" t="s">
        <v>873</v>
      </c>
      <c r="B126" t="s">
        <v>724</v>
      </c>
      <c r="C126" s="3">
        <v>3</v>
      </c>
      <c r="D126" s="3">
        <v>101457</v>
      </c>
      <c r="E126" s="8" t="s">
        <v>883</v>
      </c>
      <c r="F126" s="3">
        <v>74152379099915</v>
      </c>
      <c r="G126" t="s">
        <v>726</v>
      </c>
      <c r="H126" s="3">
        <v>30710214472</v>
      </c>
      <c r="I126" t="s">
        <v>249</v>
      </c>
      <c r="J126" s="12">
        <v>68169.37</v>
      </c>
      <c r="K126" s="12">
        <v>0</v>
      </c>
      <c r="L126" s="12">
        <v>0</v>
      </c>
      <c r="M126" s="12">
        <v>0</v>
      </c>
      <c r="N126" s="12">
        <v>14315.57</v>
      </c>
      <c r="O126" s="12">
        <v>83848.33</v>
      </c>
      <c r="P126" s="27"/>
      <c r="R126" s="12"/>
    </row>
    <row r="127" spans="1:18" x14ac:dyDescent="0.25">
      <c r="A127" t="s">
        <v>797</v>
      </c>
      <c r="B127" t="s">
        <v>724</v>
      </c>
      <c r="C127" s="3">
        <v>3</v>
      </c>
      <c r="D127" s="3">
        <v>101994</v>
      </c>
      <c r="E127" s="8" t="s">
        <v>884</v>
      </c>
      <c r="F127" s="3">
        <v>74162249748234</v>
      </c>
      <c r="G127" t="s">
        <v>726</v>
      </c>
      <c r="H127" s="3">
        <v>30710214472</v>
      </c>
      <c r="I127" t="s">
        <v>249</v>
      </c>
      <c r="J127" s="12">
        <v>159421.53</v>
      </c>
      <c r="K127" s="12">
        <v>0</v>
      </c>
      <c r="L127" s="12">
        <v>0</v>
      </c>
      <c r="M127" s="12">
        <v>0</v>
      </c>
      <c r="N127" s="12">
        <v>33478.519999999997</v>
      </c>
      <c r="O127" s="12">
        <v>196088.48</v>
      </c>
      <c r="P127" s="27"/>
      <c r="R127" s="12"/>
    </row>
    <row r="128" spans="1:18" x14ac:dyDescent="0.25">
      <c r="A128" t="s">
        <v>885</v>
      </c>
      <c r="B128" t="s">
        <v>724</v>
      </c>
      <c r="C128" s="3">
        <v>161</v>
      </c>
      <c r="D128" s="3">
        <v>195270</v>
      </c>
      <c r="E128" s="8" t="s">
        <v>886</v>
      </c>
      <c r="F128" s="3">
        <v>34132177515076</v>
      </c>
      <c r="G128" t="s">
        <v>726</v>
      </c>
      <c r="H128" s="3">
        <v>30566108352</v>
      </c>
      <c r="I128" t="s">
        <v>306</v>
      </c>
      <c r="J128" s="12">
        <v>2079175.52</v>
      </c>
      <c r="K128" s="12">
        <v>0</v>
      </c>
      <c r="L128" s="12">
        <v>0</v>
      </c>
      <c r="M128" s="12">
        <v>0</v>
      </c>
      <c r="N128" s="12">
        <v>436626.86</v>
      </c>
      <c r="O128" s="12">
        <v>2619761.17</v>
      </c>
      <c r="P128" s="27"/>
      <c r="R128" s="12"/>
    </row>
    <row r="129" spans="1:18" x14ac:dyDescent="0.25">
      <c r="A129" t="s">
        <v>797</v>
      </c>
      <c r="B129" t="s">
        <v>724</v>
      </c>
      <c r="C129" s="3">
        <v>161</v>
      </c>
      <c r="D129" s="3">
        <v>195552</v>
      </c>
      <c r="E129" s="8" t="s">
        <v>887</v>
      </c>
      <c r="F129" s="3">
        <v>34152779767707</v>
      </c>
      <c r="G129" t="s">
        <v>726</v>
      </c>
      <c r="H129" s="3">
        <v>30566108352</v>
      </c>
      <c r="I129" t="s">
        <v>306</v>
      </c>
      <c r="J129" s="12">
        <v>2772234.05</v>
      </c>
      <c r="K129" s="12">
        <v>0</v>
      </c>
      <c r="L129" s="12">
        <v>0</v>
      </c>
      <c r="M129" s="12">
        <v>0</v>
      </c>
      <c r="N129" s="12">
        <v>582169.15</v>
      </c>
      <c r="O129" s="12">
        <v>3493014.89</v>
      </c>
      <c r="P129" s="27"/>
      <c r="R129" s="12"/>
    </row>
    <row r="130" spans="1:18" x14ac:dyDescent="0.25">
      <c r="A130" t="s">
        <v>773</v>
      </c>
      <c r="B130" t="s">
        <v>741</v>
      </c>
      <c r="C130" s="3">
        <v>135</v>
      </c>
      <c r="D130" s="3">
        <v>221405</v>
      </c>
      <c r="E130" s="8" t="s">
        <v>888</v>
      </c>
      <c r="F130" s="3">
        <v>34152779767707</v>
      </c>
      <c r="G130" t="s">
        <v>726</v>
      </c>
      <c r="H130" s="3">
        <v>30566108352</v>
      </c>
      <c r="I130" t="s">
        <v>306</v>
      </c>
      <c r="J130" s="12">
        <v>252834.29</v>
      </c>
      <c r="K130" s="12">
        <v>0</v>
      </c>
      <c r="L130" s="12">
        <v>0</v>
      </c>
      <c r="M130" s="12">
        <v>0</v>
      </c>
      <c r="N130" s="12">
        <v>53095.199999999997</v>
      </c>
      <c r="O130" s="12">
        <v>305929.5</v>
      </c>
      <c r="P130" s="27"/>
      <c r="R130" s="12"/>
    </row>
    <row r="131" spans="1:18" x14ac:dyDescent="0.25">
      <c r="A131" t="s">
        <v>773</v>
      </c>
      <c r="B131" t="s">
        <v>741</v>
      </c>
      <c r="C131" s="3">
        <v>135</v>
      </c>
      <c r="D131" s="3">
        <v>221406</v>
      </c>
      <c r="E131" s="8" t="s">
        <v>889</v>
      </c>
      <c r="F131" s="3">
        <v>34152779767707</v>
      </c>
      <c r="G131" t="s">
        <v>726</v>
      </c>
      <c r="H131" s="3">
        <v>30566108352</v>
      </c>
      <c r="I131" t="s">
        <v>306</v>
      </c>
      <c r="J131" s="12">
        <v>189625.71</v>
      </c>
      <c r="K131" s="12">
        <v>0</v>
      </c>
      <c r="L131" s="12">
        <v>0</v>
      </c>
      <c r="M131" s="12">
        <v>0</v>
      </c>
      <c r="N131" s="12">
        <v>39821.4</v>
      </c>
      <c r="O131" s="12">
        <v>229447.13</v>
      </c>
      <c r="P131" s="27"/>
      <c r="R131" s="12"/>
    </row>
    <row r="132" spans="1:18" x14ac:dyDescent="0.25">
      <c r="A132" t="s">
        <v>821</v>
      </c>
      <c r="B132" t="s">
        <v>724</v>
      </c>
      <c r="C132" s="3">
        <v>135</v>
      </c>
      <c r="D132" s="3">
        <v>25844</v>
      </c>
      <c r="E132" s="8" t="s">
        <v>890</v>
      </c>
      <c r="F132" s="3">
        <v>34152779767707</v>
      </c>
      <c r="G132" t="s">
        <v>726</v>
      </c>
      <c r="H132" s="3">
        <v>30566108352</v>
      </c>
      <c r="I132" t="s">
        <v>306</v>
      </c>
      <c r="J132" s="12">
        <v>19991410.190000001</v>
      </c>
      <c r="K132" s="12">
        <v>0</v>
      </c>
      <c r="L132" s="12">
        <v>0</v>
      </c>
      <c r="M132" s="12">
        <v>0</v>
      </c>
      <c r="N132" s="12">
        <v>4198196.1399999997</v>
      </c>
      <c r="O132" s="12">
        <v>25189176.84</v>
      </c>
      <c r="P132" s="27"/>
      <c r="R132" s="12"/>
    </row>
    <row r="133" spans="1:18" x14ac:dyDescent="0.25">
      <c r="A133" t="s">
        <v>747</v>
      </c>
      <c r="B133" t="s">
        <v>891</v>
      </c>
      <c r="C133" s="3">
        <v>135</v>
      </c>
      <c r="D133" s="3">
        <v>1106</v>
      </c>
      <c r="E133" s="8" t="s">
        <v>892</v>
      </c>
      <c r="F133" s="3">
        <v>34152779767707</v>
      </c>
      <c r="G133" t="s">
        <v>726</v>
      </c>
      <c r="H133" s="3">
        <v>30566108352</v>
      </c>
      <c r="I133" t="s">
        <v>306</v>
      </c>
      <c r="J133" s="12">
        <v>2382284.14</v>
      </c>
      <c r="K133" s="12">
        <v>0</v>
      </c>
      <c r="L133" s="12">
        <v>0</v>
      </c>
      <c r="M133" s="12">
        <v>0</v>
      </c>
      <c r="N133" s="12">
        <v>500279.67</v>
      </c>
      <c r="O133" s="16">
        <v>2882563.81</v>
      </c>
      <c r="P133" s="27"/>
      <c r="R133" s="12"/>
    </row>
    <row r="134" spans="1:18" x14ac:dyDescent="0.25">
      <c r="A134" s="9" t="s">
        <v>747</v>
      </c>
      <c r="B134" s="9" t="s">
        <v>741</v>
      </c>
      <c r="C134" s="10">
        <v>135</v>
      </c>
      <c r="D134" s="10">
        <v>221719</v>
      </c>
      <c r="E134" s="9" t="s">
        <v>893</v>
      </c>
      <c r="F134" s="10">
        <v>34152779767707</v>
      </c>
      <c r="G134" s="9" t="s">
        <v>726</v>
      </c>
      <c r="H134" s="10">
        <v>30566108352</v>
      </c>
      <c r="I134" s="9" t="s">
        <v>306</v>
      </c>
      <c r="J134" s="13">
        <v>2382284.14</v>
      </c>
      <c r="K134" s="13">
        <v>0</v>
      </c>
      <c r="L134" s="13">
        <v>0</v>
      </c>
      <c r="M134" s="13">
        <v>0</v>
      </c>
      <c r="N134" s="13">
        <v>500279.67</v>
      </c>
      <c r="O134" s="16">
        <v>2882563.81</v>
      </c>
      <c r="P134" s="27"/>
      <c r="R134" s="12"/>
    </row>
    <row r="135" spans="1:18" x14ac:dyDescent="0.25">
      <c r="A135" t="s">
        <v>747</v>
      </c>
      <c r="B135" t="s">
        <v>741</v>
      </c>
      <c r="C135" s="3">
        <v>135</v>
      </c>
      <c r="D135" s="3">
        <v>221779</v>
      </c>
      <c r="E135" s="8" t="s">
        <v>894</v>
      </c>
      <c r="F135" s="3">
        <v>34152779767707</v>
      </c>
      <c r="G135" t="s">
        <v>726</v>
      </c>
      <c r="H135" s="3">
        <v>30566108352</v>
      </c>
      <c r="I135" t="s">
        <v>306</v>
      </c>
      <c r="J135" s="12">
        <v>3620729.43</v>
      </c>
      <c r="K135" s="12">
        <v>0</v>
      </c>
      <c r="L135" s="12">
        <v>0</v>
      </c>
      <c r="M135" s="12">
        <v>0</v>
      </c>
      <c r="N135" s="12">
        <v>760353.18</v>
      </c>
      <c r="O135" s="12">
        <v>4381082.59</v>
      </c>
      <c r="P135" s="27"/>
      <c r="R135" s="12"/>
    </row>
    <row r="136" spans="1:18" x14ac:dyDescent="0.25">
      <c r="A136" t="s">
        <v>729</v>
      </c>
      <c r="B136" t="s">
        <v>724</v>
      </c>
      <c r="C136" s="3">
        <v>1</v>
      </c>
      <c r="D136" s="3">
        <v>5759</v>
      </c>
      <c r="E136" s="8" t="s">
        <v>895</v>
      </c>
      <c r="F136" s="3">
        <v>74160064202957</v>
      </c>
      <c r="G136" t="s">
        <v>726</v>
      </c>
      <c r="H136" s="3">
        <v>20184111110</v>
      </c>
      <c r="I136" t="s">
        <v>331</v>
      </c>
      <c r="J136" s="12">
        <v>160330.62</v>
      </c>
      <c r="K136" s="12">
        <v>0</v>
      </c>
      <c r="L136" s="12">
        <v>0</v>
      </c>
      <c r="M136" s="12">
        <v>0</v>
      </c>
      <c r="N136" s="12">
        <v>33669.43</v>
      </c>
      <c r="O136" s="12">
        <v>194000.02</v>
      </c>
      <c r="P136" s="27"/>
      <c r="R136" s="12"/>
    </row>
    <row r="137" spans="1:18" x14ac:dyDescent="0.25">
      <c r="A137" t="s">
        <v>797</v>
      </c>
      <c r="B137" t="s">
        <v>724</v>
      </c>
      <c r="C137" s="3">
        <v>1</v>
      </c>
      <c r="D137" s="3">
        <v>5764</v>
      </c>
      <c r="E137" s="8" t="s">
        <v>896</v>
      </c>
      <c r="F137" s="3">
        <v>74160313214149</v>
      </c>
      <c r="G137" t="s">
        <v>726</v>
      </c>
      <c r="H137" s="3">
        <v>20184111110</v>
      </c>
      <c r="I137" t="s">
        <v>331</v>
      </c>
      <c r="J137" s="12">
        <v>35371.949999999997</v>
      </c>
      <c r="K137" s="12">
        <v>0</v>
      </c>
      <c r="L137" s="12">
        <v>0</v>
      </c>
      <c r="M137" s="12">
        <v>0</v>
      </c>
      <c r="N137" s="12">
        <v>7428.11</v>
      </c>
      <c r="O137" s="12">
        <v>42800.03</v>
      </c>
      <c r="P137" s="27"/>
      <c r="R137" s="12"/>
    </row>
    <row r="138" spans="1:18" x14ac:dyDescent="0.25">
      <c r="A138" t="s">
        <v>729</v>
      </c>
      <c r="B138" t="s">
        <v>724</v>
      </c>
      <c r="C138" s="3">
        <v>4</v>
      </c>
      <c r="D138" s="3">
        <v>21031</v>
      </c>
      <c r="E138" s="8" t="s">
        <v>897</v>
      </c>
      <c r="F138" s="3">
        <v>74169006717218</v>
      </c>
      <c r="G138" t="s">
        <v>726</v>
      </c>
      <c r="H138" s="3">
        <v>30707225609</v>
      </c>
      <c r="I138" t="s">
        <v>350</v>
      </c>
      <c r="J138" s="12">
        <v>702000</v>
      </c>
      <c r="K138" s="12">
        <v>0</v>
      </c>
      <c r="L138" s="12">
        <v>0</v>
      </c>
      <c r="M138" s="12">
        <v>0</v>
      </c>
      <c r="N138" s="12">
        <v>147420</v>
      </c>
      <c r="O138" s="12">
        <v>884520</v>
      </c>
      <c r="P138" s="27"/>
      <c r="R138" s="12"/>
    </row>
    <row r="139" spans="1:18" x14ac:dyDescent="0.25">
      <c r="A139" t="s">
        <v>723</v>
      </c>
      <c r="B139" t="s">
        <v>724</v>
      </c>
      <c r="C139" s="3">
        <v>2</v>
      </c>
      <c r="D139" s="3">
        <v>36</v>
      </c>
      <c r="E139" s="8" t="s">
        <v>898</v>
      </c>
      <c r="F139" s="3">
        <v>74151197476788</v>
      </c>
      <c r="G139" t="s">
        <v>726</v>
      </c>
      <c r="H139" s="3">
        <v>20200362951</v>
      </c>
      <c r="I139" t="s">
        <v>194</v>
      </c>
      <c r="J139" s="12">
        <v>185000</v>
      </c>
      <c r="K139" s="12">
        <v>0</v>
      </c>
      <c r="L139" s="12">
        <v>0</v>
      </c>
      <c r="M139" s="12">
        <v>0</v>
      </c>
      <c r="N139" s="12">
        <v>38850</v>
      </c>
      <c r="O139" s="12">
        <v>223850</v>
      </c>
      <c r="P139" s="27"/>
      <c r="R139" s="12"/>
    </row>
    <row r="140" spans="1:18" x14ac:dyDescent="0.25">
      <c r="A140" t="s">
        <v>764</v>
      </c>
      <c r="B140" t="s">
        <v>724</v>
      </c>
      <c r="C140" s="3">
        <v>34</v>
      </c>
      <c r="D140" s="3">
        <v>2385</v>
      </c>
      <c r="E140" s="8" t="s">
        <v>899</v>
      </c>
      <c r="F140" s="3">
        <v>74144880197817</v>
      </c>
      <c r="G140" t="s">
        <v>726</v>
      </c>
      <c r="H140" s="3">
        <v>20287430974</v>
      </c>
      <c r="I140" t="s">
        <v>900</v>
      </c>
      <c r="J140" s="12">
        <v>16181.82</v>
      </c>
      <c r="K140" s="12">
        <v>0</v>
      </c>
      <c r="L140" s="12">
        <v>0</v>
      </c>
      <c r="M140" s="12">
        <v>0</v>
      </c>
      <c r="N140" s="12">
        <v>3398.18</v>
      </c>
      <c r="O140" s="12">
        <v>19580</v>
      </c>
      <c r="P140" s="27"/>
      <c r="R140" s="12"/>
    </row>
    <row r="141" spans="1:18" x14ac:dyDescent="0.25">
      <c r="A141" t="s">
        <v>755</v>
      </c>
      <c r="B141" t="s">
        <v>724</v>
      </c>
      <c r="C141" s="3">
        <v>3</v>
      </c>
      <c r="D141" s="3">
        <v>625</v>
      </c>
      <c r="E141" s="8" t="s">
        <v>901</v>
      </c>
      <c r="F141" s="3">
        <v>74169118528141</v>
      </c>
      <c r="G141" t="s">
        <v>726</v>
      </c>
      <c r="H141" s="3">
        <v>20172277609</v>
      </c>
      <c r="I141" t="s">
        <v>372</v>
      </c>
      <c r="J141" s="12">
        <v>380000</v>
      </c>
      <c r="K141" s="12">
        <v>0</v>
      </c>
      <c r="L141" s="12">
        <v>0</v>
      </c>
      <c r="M141" s="12">
        <v>0</v>
      </c>
      <c r="N141" s="12">
        <v>79800</v>
      </c>
      <c r="O141" s="12">
        <v>459800</v>
      </c>
      <c r="P141" s="27"/>
      <c r="R141" s="12"/>
    </row>
    <row r="142" spans="1:18" x14ac:dyDescent="0.25">
      <c r="A142" t="s">
        <v>755</v>
      </c>
      <c r="B142" t="s">
        <v>724</v>
      </c>
      <c r="C142" s="3">
        <v>4</v>
      </c>
      <c r="D142" s="3">
        <v>28341</v>
      </c>
      <c r="E142" s="8" t="s">
        <v>902</v>
      </c>
      <c r="F142" s="3">
        <v>74166165784914</v>
      </c>
      <c r="G142" t="s">
        <v>726</v>
      </c>
      <c r="H142" s="3">
        <v>30645830446</v>
      </c>
      <c r="I142" t="s">
        <v>903</v>
      </c>
      <c r="J142" s="12">
        <v>4813411.2</v>
      </c>
      <c r="K142" s="12">
        <v>0</v>
      </c>
      <c r="L142" s="12">
        <v>0</v>
      </c>
      <c r="M142" s="12">
        <v>0</v>
      </c>
      <c r="N142" s="12">
        <v>1010816.35</v>
      </c>
      <c r="O142" s="12">
        <v>6064898.1100000003</v>
      </c>
      <c r="P142" s="27"/>
      <c r="R142" s="12"/>
    </row>
    <row r="143" spans="1:18" x14ac:dyDescent="0.25">
      <c r="A143" t="s">
        <v>802</v>
      </c>
      <c r="B143" t="s">
        <v>724</v>
      </c>
      <c r="C143" s="3">
        <v>4</v>
      </c>
      <c r="D143" s="3">
        <v>28470</v>
      </c>
      <c r="E143" s="8" t="s">
        <v>904</v>
      </c>
      <c r="F143" s="3">
        <v>74176861604753</v>
      </c>
      <c r="G143" t="s">
        <v>726</v>
      </c>
      <c r="H143" s="3">
        <v>30645830446</v>
      </c>
      <c r="I143" t="s">
        <v>903</v>
      </c>
      <c r="J143" s="12">
        <v>6990436.5999999996</v>
      </c>
      <c r="K143" s="12">
        <v>0</v>
      </c>
      <c r="L143" s="12">
        <v>0</v>
      </c>
      <c r="M143" s="12">
        <v>0</v>
      </c>
      <c r="N143" s="12">
        <v>1467991.69</v>
      </c>
      <c r="O143" s="12">
        <v>8807950.1199999992</v>
      </c>
      <c r="P143" s="27"/>
      <c r="R143" s="12"/>
    </row>
    <row r="144" spans="1:18" x14ac:dyDescent="0.25">
      <c r="A144" t="s">
        <v>740</v>
      </c>
      <c r="B144" t="s">
        <v>724</v>
      </c>
      <c r="C144" s="3">
        <v>629</v>
      </c>
      <c r="D144" s="3">
        <v>5021230</v>
      </c>
      <c r="E144" s="8" t="s">
        <v>905</v>
      </c>
      <c r="F144" s="3">
        <v>34133889930942</v>
      </c>
      <c r="G144" t="s">
        <v>726</v>
      </c>
      <c r="H144" s="3">
        <v>30663498513</v>
      </c>
      <c r="I144" t="s">
        <v>92</v>
      </c>
      <c r="J144" s="12">
        <v>909.08</v>
      </c>
      <c r="K144" s="12">
        <v>0</v>
      </c>
      <c r="L144" s="12">
        <v>0</v>
      </c>
      <c r="M144" s="12">
        <v>0</v>
      </c>
      <c r="N144" s="12">
        <v>190.92</v>
      </c>
      <c r="O144" s="12">
        <v>1127.27</v>
      </c>
      <c r="P144" s="27"/>
      <c r="R144" s="12"/>
    </row>
    <row r="145" spans="1:18" x14ac:dyDescent="0.25">
      <c r="A145" t="s">
        <v>740</v>
      </c>
      <c r="B145" t="s">
        <v>724</v>
      </c>
      <c r="C145" s="3">
        <v>629</v>
      </c>
      <c r="D145" s="3">
        <v>5022495</v>
      </c>
      <c r="E145" s="8" t="s">
        <v>906</v>
      </c>
      <c r="F145" s="3">
        <v>34133889930942</v>
      </c>
      <c r="G145" t="s">
        <v>726</v>
      </c>
      <c r="H145" s="3">
        <v>30663498513</v>
      </c>
      <c r="I145" t="s">
        <v>92</v>
      </c>
      <c r="J145" s="12">
        <v>495.87</v>
      </c>
      <c r="K145" s="12">
        <v>0</v>
      </c>
      <c r="L145" s="12">
        <v>0</v>
      </c>
      <c r="M145" s="12">
        <v>0</v>
      </c>
      <c r="N145" s="12">
        <v>104.13</v>
      </c>
      <c r="O145" s="12">
        <v>600</v>
      </c>
      <c r="P145" s="27"/>
      <c r="R145" s="12"/>
    </row>
    <row r="146" spans="1:18" x14ac:dyDescent="0.25">
      <c r="A146" t="s">
        <v>755</v>
      </c>
      <c r="B146" t="s">
        <v>724</v>
      </c>
      <c r="C146" s="3">
        <v>629</v>
      </c>
      <c r="D146" s="3">
        <v>5060456</v>
      </c>
      <c r="E146" s="8" t="s">
        <v>907</v>
      </c>
      <c r="F146" s="3">
        <v>34153254488900</v>
      </c>
      <c r="G146" t="s">
        <v>726</v>
      </c>
      <c r="H146" s="3">
        <v>30663498513</v>
      </c>
      <c r="I146" t="s">
        <v>92</v>
      </c>
      <c r="J146" s="12">
        <v>495.87</v>
      </c>
      <c r="K146" s="12">
        <v>0</v>
      </c>
      <c r="L146" s="12">
        <v>0</v>
      </c>
      <c r="M146" s="12">
        <v>0</v>
      </c>
      <c r="N146" s="12">
        <v>104.13</v>
      </c>
      <c r="O146" s="12">
        <v>600</v>
      </c>
      <c r="P146" s="27"/>
      <c r="R146" s="12"/>
    </row>
    <row r="147" spans="1:18" x14ac:dyDescent="0.25">
      <c r="A147" t="s">
        <v>755</v>
      </c>
      <c r="B147" t="s">
        <v>724</v>
      </c>
      <c r="C147" s="3">
        <v>629</v>
      </c>
      <c r="D147" s="3">
        <v>5061009</v>
      </c>
      <c r="E147" s="8" t="s">
        <v>908</v>
      </c>
      <c r="F147" s="3">
        <v>34153254488900</v>
      </c>
      <c r="G147" t="s">
        <v>726</v>
      </c>
      <c r="H147" s="3">
        <v>30663498513</v>
      </c>
      <c r="I147" t="s">
        <v>92</v>
      </c>
      <c r="J147" s="12">
        <v>495.87</v>
      </c>
      <c r="K147" s="12">
        <v>0</v>
      </c>
      <c r="L147" s="12">
        <v>0</v>
      </c>
      <c r="M147" s="12">
        <v>0</v>
      </c>
      <c r="N147" s="12">
        <v>104.13</v>
      </c>
      <c r="O147" s="12">
        <v>600</v>
      </c>
      <c r="P147" s="27"/>
      <c r="R147" s="12"/>
    </row>
    <row r="148" spans="1:18" x14ac:dyDescent="0.25">
      <c r="A148" t="s">
        <v>729</v>
      </c>
      <c r="B148" t="s">
        <v>724</v>
      </c>
      <c r="C148" s="3">
        <v>3</v>
      </c>
      <c r="D148" s="3">
        <v>5982</v>
      </c>
      <c r="E148" s="8" t="s">
        <v>909</v>
      </c>
      <c r="F148" s="3">
        <v>74163051403063</v>
      </c>
      <c r="G148" t="s">
        <v>726</v>
      </c>
      <c r="H148" s="3">
        <v>20126591293</v>
      </c>
      <c r="I148" t="s">
        <v>345</v>
      </c>
      <c r="J148" s="12">
        <v>67851.240000000005</v>
      </c>
      <c r="K148" s="12">
        <v>0</v>
      </c>
      <c r="L148" s="12">
        <v>0</v>
      </c>
      <c r="M148" s="12">
        <v>0</v>
      </c>
      <c r="N148" s="12">
        <v>14248.76</v>
      </c>
      <c r="O148" s="12">
        <v>82099.990000000005</v>
      </c>
      <c r="P148" s="27"/>
      <c r="R148" s="12"/>
    </row>
    <row r="149" spans="1:18" x14ac:dyDescent="0.25">
      <c r="A149" t="s">
        <v>764</v>
      </c>
      <c r="B149" t="s">
        <v>724</v>
      </c>
      <c r="C149" s="3">
        <v>2</v>
      </c>
      <c r="D149" s="3">
        <v>952</v>
      </c>
      <c r="E149" s="8" t="s">
        <v>910</v>
      </c>
      <c r="F149" s="3">
        <v>74159179226866</v>
      </c>
      <c r="G149" t="s">
        <v>726</v>
      </c>
      <c r="H149" s="3">
        <v>23255946269</v>
      </c>
      <c r="I149" t="s">
        <v>166</v>
      </c>
      <c r="J149" s="12">
        <v>180000</v>
      </c>
      <c r="K149" s="12">
        <v>0</v>
      </c>
      <c r="L149" s="12">
        <v>0</v>
      </c>
      <c r="M149" s="12">
        <v>0</v>
      </c>
      <c r="N149" s="12">
        <v>37800</v>
      </c>
      <c r="O149" s="12">
        <v>217800</v>
      </c>
      <c r="P149" s="27"/>
      <c r="R149" s="12"/>
    </row>
    <row r="150" spans="1:18" x14ac:dyDescent="0.25">
      <c r="A150" t="s">
        <v>764</v>
      </c>
      <c r="B150" t="s">
        <v>724</v>
      </c>
      <c r="C150" s="3">
        <v>2</v>
      </c>
      <c r="D150" s="3">
        <v>951</v>
      </c>
      <c r="E150" s="8" t="s">
        <v>911</v>
      </c>
      <c r="F150" s="3">
        <v>74159178960470</v>
      </c>
      <c r="G150" t="s">
        <v>726</v>
      </c>
      <c r="H150" s="3">
        <v>23255946269</v>
      </c>
      <c r="I150" t="s">
        <v>166</v>
      </c>
      <c r="J150" s="12">
        <v>300000</v>
      </c>
      <c r="K150" s="12">
        <v>0</v>
      </c>
      <c r="L150" s="12">
        <v>0</v>
      </c>
      <c r="M150" s="12">
        <v>0</v>
      </c>
      <c r="N150" s="12">
        <v>63000</v>
      </c>
      <c r="O150" s="12">
        <v>363000</v>
      </c>
      <c r="P150" s="27"/>
      <c r="R150" s="12"/>
    </row>
    <row r="151" spans="1:18" x14ac:dyDescent="0.25">
      <c r="A151" t="s">
        <v>731</v>
      </c>
      <c r="B151" t="s">
        <v>724</v>
      </c>
      <c r="C151" s="3">
        <v>2</v>
      </c>
      <c r="D151" s="3">
        <v>959</v>
      </c>
      <c r="E151" s="8" t="s">
        <v>912</v>
      </c>
      <c r="F151" s="3">
        <v>74179686544097</v>
      </c>
      <c r="G151" t="s">
        <v>726</v>
      </c>
      <c r="H151" s="3">
        <v>23255946269</v>
      </c>
      <c r="I151" t="s">
        <v>166</v>
      </c>
      <c r="J151" s="12">
        <v>230000</v>
      </c>
      <c r="K151" s="12">
        <v>0</v>
      </c>
      <c r="L151" s="12">
        <v>0</v>
      </c>
      <c r="M151" s="12">
        <v>0</v>
      </c>
      <c r="N151" s="12">
        <v>48300</v>
      </c>
      <c r="O151" s="12">
        <v>278300</v>
      </c>
      <c r="P151" s="27"/>
      <c r="R151" s="12"/>
    </row>
    <row r="152" spans="1:18" x14ac:dyDescent="0.25">
      <c r="A152" t="s">
        <v>804</v>
      </c>
      <c r="B152" t="s">
        <v>724</v>
      </c>
      <c r="C152" s="3">
        <v>1001</v>
      </c>
      <c r="D152" s="3">
        <v>2744</v>
      </c>
      <c r="E152" s="8" t="s">
        <v>913</v>
      </c>
      <c r="F152" s="3">
        <v>74155498717208</v>
      </c>
      <c r="G152" t="s">
        <v>726</v>
      </c>
      <c r="H152" s="3">
        <v>30503430165</v>
      </c>
      <c r="I152" t="s">
        <v>914</v>
      </c>
      <c r="J152" s="12">
        <v>1070244</v>
      </c>
      <c r="K152" s="12">
        <v>0</v>
      </c>
      <c r="L152" s="12">
        <v>0</v>
      </c>
      <c r="M152" s="12">
        <v>0</v>
      </c>
      <c r="N152" s="12">
        <v>224751.24</v>
      </c>
      <c r="O152" s="12">
        <v>1294995.24</v>
      </c>
      <c r="P152" s="27"/>
      <c r="R152" s="12"/>
    </row>
    <row r="153" spans="1:18" x14ac:dyDescent="0.25">
      <c r="A153" t="s">
        <v>830</v>
      </c>
      <c r="B153" t="s">
        <v>724</v>
      </c>
      <c r="C153" s="3">
        <v>1001</v>
      </c>
      <c r="D153" s="3">
        <v>2756</v>
      </c>
      <c r="E153" s="8" t="s">
        <v>915</v>
      </c>
      <c r="F153" s="3">
        <v>74175083959976</v>
      </c>
      <c r="G153" t="s">
        <v>726</v>
      </c>
      <c r="H153" s="3">
        <v>30503430165</v>
      </c>
      <c r="I153" t="s">
        <v>914</v>
      </c>
      <c r="J153" s="12">
        <v>1629463.75</v>
      </c>
      <c r="K153" s="12">
        <v>0</v>
      </c>
      <c r="L153" s="12">
        <v>0</v>
      </c>
      <c r="M153" s="12">
        <v>0</v>
      </c>
      <c r="N153" s="12">
        <v>342187.39</v>
      </c>
      <c r="O153" s="12">
        <v>1971651.14</v>
      </c>
      <c r="P153" s="27"/>
      <c r="R153" s="12"/>
    </row>
    <row r="154" spans="1:18" x14ac:dyDescent="0.25">
      <c r="A154" t="s">
        <v>735</v>
      </c>
      <c r="B154" t="s">
        <v>724</v>
      </c>
      <c r="C154" s="3">
        <v>5</v>
      </c>
      <c r="D154" s="3">
        <v>7322</v>
      </c>
      <c r="E154" s="8" t="s">
        <v>916</v>
      </c>
      <c r="F154" s="3">
        <v>74145769888532</v>
      </c>
      <c r="G154" t="s">
        <v>726</v>
      </c>
      <c r="H154" s="3">
        <v>30709614785</v>
      </c>
      <c r="I154" t="s">
        <v>917</v>
      </c>
      <c r="J154" s="12">
        <v>158760</v>
      </c>
      <c r="K154" s="12">
        <v>0</v>
      </c>
      <c r="L154" s="12">
        <v>0</v>
      </c>
      <c r="M154" s="12">
        <v>0</v>
      </c>
      <c r="N154" s="12">
        <v>33339.599999999999</v>
      </c>
      <c r="O154" s="12">
        <v>192099.6</v>
      </c>
      <c r="P154" s="27"/>
      <c r="R154" s="12"/>
    </row>
    <row r="155" spans="1:18" x14ac:dyDescent="0.25">
      <c r="A155" t="s">
        <v>729</v>
      </c>
      <c r="B155" t="s">
        <v>724</v>
      </c>
      <c r="C155" s="3">
        <v>5</v>
      </c>
      <c r="D155" s="3">
        <v>7337</v>
      </c>
      <c r="E155" s="8" t="s">
        <v>918</v>
      </c>
      <c r="F155" s="3">
        <v>74165048117376</v>
      </c>
      <c r="G155" t="s">
        <v>726</v>
      </c>
      <c r="H155" s="3">
        <v>30709614785</v>
      </c>
      <c r="I155" t="s">
        <v>917</v>
      </c>
      <c r="J155" s="12">
        <v>158760</v>
      </c>
      <c r="K155" s="12">
        <v>0</v>
      </c>
      <c r="L155" s="12">
        <v>0</v>
      </c>
      <c r="M155" s="12">
        <v>0</v>
      </c>
      <c r="N155" s="12">
        <v>33339.599999999999</v>
      </c>
      <c r="O155" s="12">
        <v>192099.6</v>
      </c>
      <c r="P155" s="27"/>
      <c r="R155" s="12"/>
    </row>
    <row r="156" spans="1:18" x14ac:dyDescent="0.25">
      <c r="A156" t="s">
        <v>729</v>
      </c>
      <c r="B156" t="s">
        <v>724</v>
      </c>
      <c r="C156" s="3">
        <v>102</v>
      </c>
      <c r="D156" s="3">
        <v>72319</v>
      </c>
      <c r="E156" s="8" t="s">
        <v>919</v>
      </c>
      <c r="F156" s="3">
        <v>34156614482954</v>
      </c>
      <c r="G156" t="s">
        <v>726</v>
      </c>
      <c r="H156" s="3">
        <v>30522250356</v>
      </c>
      <c r="I156" t="s">
        <v>361</v>
      </c>
      <c r="J156" s="12">
        <v>217847.38</v>
      </c>
      <c r="K156" s="12">
        <v>0</v>
      </c>
      <c r="L156" s="12">
        <v>0</v>
      </c>
      <c r="M156" s="12">
        <v>0</v>
      </c>
      <c r="N156" s="12">
        <v>45747.95</v>
      </c>
      <c r="O156" s="12">
        <v>267952.3</v>
      </c>
      <c r="P156" s="27"/>
      <c r="R156" s="12"/>
    </row>
    <row r="157" spans="1:18" x14ac:dyDescent="0.25">
      <c r="A157" t="s">
        <v>740</v>
      </c>
      <c r="B157" t="s">
        <v>724</v>
      </c>
      <c r="C157" s="3">
        <v>10</v>
      </c>
      <c r="D157" s="3">
        <v>5688</v>
      </c>
      <c r="E157" s="8" t="s">
        <v>920</v>
      </c>
      <c r="F157" s="3">
        <v>74147555570916</v>
      </c>
      <c r="G157" t="s">
        <v>726</v>
      </c>
      <c r="H157" s="3">
        <v>30708784687</v>
      </c>
      <c r="I157" t="s">
        <v>921</v>
      </c>
      <c r="J157" s="12">
        <v>369810</v>
      </c>
      <c r="K157" s="12">
        <v>0</v>
      </c>
      <c r="L157" s="12">
        <v>0</v>
      </c>
      <c r="M157" s="12">
        <v>0</v>
      </c>
      <c r="N157" s="12">
        <v>77660.100000000006</v>
      </c>
      <c r="O157" s="12">
        <v>447470.1</v>
      </c>
      <c r="P157" s="27"/>
      <c r="R157" s="12"/>
    </row>
    <row r="158" spans="1:18" x14ac:dyDescent="0.25">
      <c r="A158" t="s">
        <v>755</v>
      </c>
      <c r="B158" t="s">
        <v>724</v>
      </c>
      <c r="C158" s="3">
        <v>10</v>
      </c>
      <c r="D158" s="3">
        <v>5714</v>
      </c>
      <c r="E158" s="8" t="s">
        <v>922</v>
      </c>
      <c r="F158" s="3">
        <v>74167100871544</v>
      </c>
      <c r="G158" t="s">
        <v>726</v>
      </c>
      <c r="H158" s="3">
        <v>30708784687</v>
      </c>
      <c r="I158" t="s">
        <v>921</v>
      </c>
      <c r="J158" s="12">
        <v>1128920</v>
      </c>
      <c r="K158" s="12">
        <v>0</v>
      </c>
      <c r="L158" s="12">
        <v>0</v>
      </c>
      <c r="M158" s="12">
        <v>0</v>
      </c>
      <c r="N158" s="12">
        <v>195579.3</v>
      </c>
      <c r="O158" s="12">
        <v>1324499.3</v>
      </c>
      <c r="P158" s="27"/>
      <c r="R158" s="12"/>
    </row>
    <row r="159" spans="1:18" x14ac:dyDescent="0.25">
      <c r="A159" t="s">
        <v>735</v>
      </c>
      <c r="B159" t="s">
        <v>724</v>
      </c>
      <c r="C159" s="3">
        <v>12</v>
      </c>
      <c r="D159" s="3">
        <v>79583</v>
      </c>
      <c r="E159" s="8" t="s">
        <v>923</v>
      </c>
      <c r="F159" s="3">
        <v>74147716084653</v>
      </c>
      <c r="G159" t="s">
        <v>726</v>
      </c>
      <c r="H159" s="3">
        <v>30697646627</v>
      </c>
      <c r="I159" t="s">
        <v>139</v>
      </c>
      <c r="J159" s="12">
        <v>2050248.95</v>
      </c>
      <c r="K159" s="12"/>
      <c r="L159" s="12">
        <v>0</v>
      </c>
      <c r="M159" s="12">
        <v>0</v>
      </c>
      <c r="N159" s="12">
        <v>430552.28</v>
      </c>
      <c r="O159" s="12">
        <v>2542308.71</v>
      </c>
      <c r="P159" s="27"/>
      <c r="R159" s="12"/>
    </row>
    <row r="160" spans="1:18" x14ac:dyDescent="0.25">
      <c r="A160" t="s">
        <v>755</v>
      </c>
      <c r="B160" t="s">
        <v>724</v>
      </c>
      <c r="C160" s="3">
        <v>12</v>
      </c>
      <c r="D160" s="3">
        <v>79701</v>
      </c>
      <c r="E160" s="8" t="s">
        <v>924</v>
      </c>
      <c r="F160" s="3">
        <v>74167123609079</v>
      </c>
      <c r="G160" t="s">
        <v>726</v>
      </c>
      <c r="H160" s="3">
        <v>30697646627</v>
      </c>
      <c r="I160" t="s">
        <v>139</v>
      </c>
      <c r="J160" s="12">
        <v>1549469.76</v>
      </c>
      <c r="K160" s="12"/>
      <c r="L160" s="12">
        <v>0</v>
      </c>
      <c r="M160" s="12">
        <v>0</v>
      </c>
      <c r="N160" s="12">
        <v>325388.65000000002</v>
      </c>
      <c r="O160" s="12">
        <v>1921342.5</v>
      </c>
      <c r="P160" s="27"/>
      <c r="R160" s="12"/>
    </row>
    <row r="161" spans="1:18" x14ac:dyDescent="0.25">
      <c r="A161" t="s">
        <v>747</v>
      </c>
      <c r="B161" t="s">
        <v>724</v>
      </c>
      <c r="C161" s="3">
        <v>12</v>
      </c>
      <c r="D161" s="3">
        <v>79837</v>
      </c>
      <c r="E161" s="8" t="s">
        <v>925</v>
      </c>
      <c r="F161" s="3">
        <v>74187466284636</v>
      </c>
      <c r="G161" t="s">
        <v>726</v>
      </c>
      <c r="H161" s="3">
        <v>30697646627</v>
      </c>
      <c r="I161" t="s">
        <v>139</v>
      </c>
      <c r="J161" s="12">
        <v>13033047.24</v>
      </c>
      <c r="K161" s="12"/>
      <c r="L161" s="12">
        <v>0</v>
      </c>
      <c r="M161" s="12">
        <v>0</v>
      </c>
      <c r="N161" s="12">
        <v>2736939.92</v>
      </c>
      <c r="O161" s="12">
        <v>16160978.6</v>
      </c>
      <c r="P161" s="27"/>
      <c r="R161" s="12"/>
    </row>
    <row r="162" spans="1:18" x14ac:dyDescent="0.25">
      <c r="A162" t="s">
        <v>729</v>
      </c>
      <c r="B162" t="s">
        <v>724</v>
      </c>
      <c r="C162" s="3">
        <v>2</v>
      </c>
      <c r="D162" s="3">
        <v>16373</v>
      </c>
      <c r="E162" s="8" t="s">
        <v>926</v>
      </c>
      <c r="F162" s="3">
        <v>74164049887036</v>
      </c>
      <c r="G162" t="s">
        <v>726</v>
      </c>
      <c r="H162" s="3">
        <v>30708904534</v>
      </c>
      <c r="I162" t="s">
        <v>927</v>
      </c>
      <c r="J162" s="12">
        <v>510264</v>
      </c>
      <c r="K162" s="12">
        <v>0</v>
      </c>
      <c r="L162" s="12">
        <v>0</v>
      </c>
      <c r="M162" s="12">
        <v>0</v>
      </c>
      <c r="N162" s="12">
        <v>107155.44</v>
      </c>
      <c r="O162" s="12">
        <v>617419.43999999994</v>
      </c>
      <c r="P162" s="27"/>
      <c r="R162" s="12"/>
    </row>
    <row r="163" spans="1:18" x14ac:dyDescent="0.25">
      <c r="A163" t="s">
        <v>766</v>
      </c>
      <c r="B163" t="s">
        <v>724</v>
      </c>
      <c r="C163" s="3">
        <v>60</v>
      </c>
      <c r="D163" s="3">
        <v>305813</v>
      </c>
      <c r="E163" s="8" t="s">
        <v>928</v>
      </c>
      <c r="F163" s="3">
        <v>34139420852527</v>
      </c>
      <c r="G163" t="s">
        <v>726</v>
      </c>
      <c r="H163" s="3">
        <v>33707259839</v>
      </c>
      <c r="I163" t="s">
        <v>225</v>
      </c>
      <c r="J163" s="12">
        <v>137244.26999999999</v>
      </c>
      <c r="K163" s="12">
        <v>0</v>
      </c>
      <c r="L163" s="12">
        <v>0</v>
      </c>
      <c r="M163" s="12">
        <v>2744.89</v>
      </c>
      <c r="N163" s="12">
        <v>28821.3</v>
      </c>
      <c r="O163" s="12">
        <v>172927.79</v>
      </c>
      <c r="P163" s="27"/>
      <c r="R163" s="12"/>
    </row>
    <row r="164" spans="1:18" x14ac:dyDescent="0.25">
      <c r="A164" t="s">
        <v>873</v>
      </c>
      <c r="B164" t="s">
        <v>724</v>
      </c>
      <c r="C164" s="3">
        <v>60</v>
      </c>
      <c r="D164" s="3">
        <v>306055</v>
      </c>
      <c r="E164" s="8" t="s">
        <v>929</v>
      </c>
      <c r="F164" s="3">
        <v>34139420852527</v>
      </c>
      <c r="G164" t="s">
        <v>726</v>
      </c>
      <c r="H164" s="3">
        <v>33707259839</v>
      </c>
      <c r="I164" t="s">
        <v>225</v>
      </c>
      <c r="J164" s="12">
        <v>22828.81</v>
      </c>
      <c r="K164" s="12">
        <v>0</v>
      </c>
      <c r="L164" s="12">
        <v>0</v>
      </c>
      <c r="M164" s="12">
        <v>456.58</v>
      </c>
      <c r="N164" s="12">
        <v>4794.05</v>
      </c>
      <c r="O164" s="12">
        <v>28079.439999999999</v>
      </c>
      <c r="P164" s="27"/>
      <c r="R164" s="12"/>
    </row>
    <row r="165" spans="1:18" x14ac:dyDescent="0.25">
      <c r="A165" t="s">
        <v>802</v>
      </c>
      <c r="B165" t="s">
        <v>724</v>
      </c>
      <c r="C165" s="3">
        <v>60</v>
      </c>
      <c r="D165" s="3">
        <v>307293</v>
      </c>
      <c r="E165" s="8" t="s">
        <v>930</v>
      </c>
      <c r="F165" s="3">
        <v>34159337969599</v>
      </c>
      <c r="G165" t="s">
        <v>726</v>
      </c>
      <c r="H165" s="3">
        <v>33707259839</v>
      </c>
      <c r="I165" t="s">
        <v>225</v>
      </c>
      <c r="J165" s="12">
        <v>574780.88</v>
      </c>
      <c r="K165" s="12">
        <v>0</v>
      </c>
      <c r="L165" s="12">
        <v>0</v>
      </c>
      <c r="M165" s="12">
        <v>11495.62</v>
      </c>
      <c r="N165" s="12">
        <v>120703.98</v>
      </c>
      <c r="O165" s="12">
        <v>724223.91</v>
      </c>
      <c r="P165" s="27"/>
      <c r="R165" s="12"/>
    </row>
    <row r="166" spans="1:18" x14ac:dyDescent="0.25">
      <c r="A166" t="s">
        <v>764</v>
      </c>
      <c r="B166" t="s">
        <v>724</v>
      </c>
      <c r="C166" s="3">
        <v>63</v>
      </c>
      <c r="D166" s="3">
        <v>65226</v>
      </c>
      <c r="E166" s="8" t="s">
        <v>931</v>
      </c>
      <c r="F166" s="3">
        <v>34138096761794</v>
      </c>
      <c r="G166" t="s">
        <v>726</v>
      </c>
      <c r="H166" s="3">
        <v>30503861638</v>
      </c>
      <c r="I166" t="s">
        <v>177</v>
      </c>
      <c r="J166" s="12">
        <v>382825.29</v>
      </c>
      <c r="K166" s="12"/>
      <c r="L166" s="12"/>
      <c r="M166" s="12">
        <v>0</v>
      </c>
      <c r="N166" s="12">
        <v>80393.31</v>
      </c>
      <c r="O166" s="12">
        <v>482359.85</v>
      </c>
      <c r="P166" s="27"/>
      <c r="R166" s="12"/>
    </row>
    <row r="167" spans="1:18" x14ac:dyDescent="0.25">
      <c r="A167" t="s">
        <v>804</v>
      </c>
      <c r="B167" t="s">
        <v>724</v>
      </c>
      <c r="C167" s="3">
        <v>63</v>
      </c>
      <c r="D167" s="3">
        <v>65337</v>
      </c>
      <c r="E167" s="8" t="s">
        <v>932</v>
      </c>
      <c r="F167" s="3">
        <v>34138096761794</v>
      </c>
      <c r="G167" t="s">
        <v>726</v>
      </c>
      <c r="H167" s="3">
        <v>30503861638</v>
      </c>
      <c r="I167" t="s">
        <v>177</v>
      </c>
      <c r="J167" s="12">
        <v>421199.14</v>
      </c>
      <c r="K167" s="12"/>
      <c r="L167" s="12"/>
      <c r="M167" s="12">
        <v>0</v>
      </c>
      <c r="N167" s="12">
        <v>88451.82</v>
      </c>
      <c r="O167" s="12">
        <v>530710.93999999994</v>
      </c>
      <c r="P167" s="27"/>
      <c r="R167" s="12"/>
    </row>
    <row r="168" spans="1:18" x14ac:dyDescent="0.25">
      <c r="A168" t="s">
        <v>804</v>
      </c>
      <c r="B168" t="s">
        <v>724</v>
      </c>
      <c r="C168" s="3">
        <v>63</v>
      </c>
      <c r="D168" s="3">
        <v>65342</v>
      </c>
      <c r="E168" s="8" t="s">
        <v>933</v>
      </c>
      <c r="F168" s="3">
        <v>34138096761794</v>
      </c>
      <c r="G168" t="s">
        <v>726</v>
      </c>
      <c r="H168" s="3">
        <v>30503861638</v>
      </c>
      <c r="I168" t="s">
        <v>177</v>
      </c>
      <c r="J168" s="12">
        <v>194069.81</v>
      </c>
      <c r="K168" s="12"/>
      <c r="L168" s="12"/>
      <c r="M168" s="12">
        <v>0</v>
      </c>
      <c r="N168" s="12">
        <v>40754.660000000003</v>
      </c>
      <c r="O168" s="12">
        <v>244527.98</v>
      </c>
      <c r="P168" s="27"/>
      <c r="R168" s="12"/>
    </row>
    <row r="169" spans="1:18" x14ac:dyDescent="0.25">
      <c r="A169" t="s">
        <v>873</v>
      </c>
      <c r="B169" t="s">
        <v>724</v>
      </c>
      <c r="C169" s="3">
        <v>1</v>
      </c>
      <c r="D169" s="3">
        <v>5391</v>
      </c>
      <c r="E169" s="8" t="s">
        <v>934</v>
      </c>
      <c r="F169" s="3">
        <v>74150457782088</v>
      </c>
      <c r="G169" t="s">
        <v>726</v>
      </c>
      <c r="H169" s="3">
        <v>30716423030</v>
      </c>
      <c r="I169" t="s">
        <v>935</v>
      </c>
      <c r="J169" s="12">
        <v>1747267.1</v>
      </c>
      <c r="K169" s="12">
        <v>0</v>
      </c>
      <c r="L169" s="12">
        <v>0</v>
      </c>
      <c r="M169" s="12">
        <v>0</v>
      </c>
      <c r="N169" s="12">
        <v>366926.09</v>
      </c>
      <c r="O169" s="12">
        <v>2114193.19</v>
      </c>
      <c r="P169" s="27"/>
      <c r="R169" s="12"/>
    </row>
    <row r="170" spans="1:18" x14ac:dyDescent="0.25">
      <c r="A170" t="s">
        <v>864</v>
      </c>
      <c r="B170" t="s">
        <v>724</v>
      </c>
      <c r="C170" s="3">
        <v>2</v>
      </c>
      <c r="D170" s="3">
        <v>19948</v>
      </c>
      <c r="E170" s="8" t="s">
        <v>936</v>
      </c>
      <c r="F170" s="3">
        <v>74157779872980</v>
      </c>
      <c r="G170" t="s">
        <v>726</v>
      </c>
      <c r="H170" s="3">
        <v>30714786667</v>
      </c>
      <c r="I170" t="s">
        <v>337</v>
      </c>
      <c r="J170" s="12">
        <v>3682098</v>
      </c>
      <c r="K170" s="12">
        <v>0</v>
      </c>
      <c r="L170" s="12">
        <v>0</v>
      </c>
      <c r="M170" s="12">
        <v>0</v>
      </c>
      <c r="N170" s="12">
        <v>773240.58</v>
      </c>
      <c r="O170" s="16">
        <v>4528980.54</v>
      </c>
      <c r="P170" s="27"/>
      <c r="R170" s="12"/>
    </row>
    <row r="171" spans="1:18" x14ac:dyDescent="0.25">
      <c r="A171" s="9" t="s">
        <v>864</v>
      </c>
      <c r="B171" s="9" t="s">
        <v>741</v>
      </c>
      <c r="C171" s="10">
        <v>2</v>
      </c>
      <c r="D171" s="10">
        <v>4573</v>
      </c>
      <c r="E171" s="9" t="s">
        <v>937</v>
      </c>
      <c r="F171" s="10">
        <v>74167923455235</v>
      </c>
      <c r="G171" s="9" t="s">
        <v>726</v>
      </c>
      <c r="H171" s="10">
        <v>30714786667</v>
      </c>
      <c r="I171" s="9" t="s">
        <v>337</v>
      </c>
      <c r="J171" s="13">
        <v>3682098</v>
      </c>
      <c r="K171" s="13">
        <v>0</v>
      </c>
      <c r="L171" s="13">
        <v>0</v>
      </c>
      <c r="M171" s="13">
        <v>0</v>
      </c>
      <c r="N171" s="13">
        <v>773240.58</v>
      </c>
      <c r="O171" s="16">
        <v>4528980.54</v>
      </c>
      <c r="P171" s="27"/>
      <c r="R171" s="12"/>
    </row>
    <row r="172" spans="1:18" x14ac:dyDescent="0.25">
      <c r="A172" t="s">
        <v>729</v>
      </c>
      <c r="B172" t="s">
        <v>724</v>
      </c>
      <c r="C172" s="3">
        <v>2</v>
      </c>
      <c r="D172" s="3">
        <v>19970</v>
      </c>
      <c r="E172" s="8" t="s">
        <v>938</v>
      </c>
      <c r="F172" s="3">
        <v>74167923456278</v>
      </c>
      <c r="G172" t="s">
        <v>726</v>
      </c>
      <c r="H172" s="3">
        <v>30714786667</v>
      </c>
      <c r="I172" t="s">
        <v>337</v>
      </c>
      <c r="J172" s="12">
        <v>3704130</v>
      </c>
      <c r="K172" s="12">
        <v>0</v>
      </c>
      <c r="L172" s="12">
        <v>0</v>
      </c>
      <c r="M172" s="12">
        <v>0</v>
      </c>
      <c r="N172" s="12">
        <v>777867.3</v>
      </c>
      <c r="O172" s="12">
        <v>4556079.9000000004</v>
      </c>
      <c r="P172" s="27"/>
      <c r="R172" s="12"/>
    </row>
    <row r="173" spans="1:18" x14ac:dyDescent="0.25">
      <c r="A173" t="s">
        <v>804</v>
      </c>
      <c r="B173" t="s">
        <v>724</v>
      </c>
      <c r="C173" s="3">
        <v>2</v>
      </c>
      <c r="D173" s="3">
        <v>2522</v>
      </c>
      <c r="E173" s="8" t="s">
        <v>939</v>
      </c>
      <c r="F173" s="3">
        <v>74153671326825</v>
      </c>
      <c r="G173" t="s">
        <v>726</v>
      </c>
      <c r="H173" s="3">
        <v>20180575023</v>
      </c>
      <c r="I173" t="s">
        <v>275</v>
      </c>
      <c r="J173" s="12">
        <v>68900</v>
      </c>
      <c r="K173" s="12">
        <v>0</v>
      </c>
      <c r="L173" s="12">
        <v>0</v>
      </c>
      <c r="M173" s="12">
        <v>0</v>
      </c>
      <c r="N173" s="12">
        <v>14469</v>
      </c>
      <c r="O173" s="12">
        <v>83369</v>
      </c>
      <c r="P173" s="27"/>
      <c r="R173" s="12"/>
    </row>
    <row r="174" spans="1:18" x14ac:dyDescent="0.25">
      <c r="A174" t="s">
        <v>835</v>
      </c>
      <c r="B174" t="s">
        <v>724</v>
      </c>
      <c r="C174" s="3">
        <v>90</v>
      </c>
      <c r="D174" s="3">
        <v>435701</v>
      </c>
      <c r="E174" s="8" t="s">
        <v>940</v>
      </c>
      <c r="F174" s="3">
        <v>74166312710299</v>
      </c>
      <c r="G174" t="s">
        <v>726</v>
      </c>
      <c r="H174" s="3">
        <v>30707059806</v>
      </c>
      <c r="I174" t="s">
        <v>941</v>
      </c>
      <c r="J174" s="12">
        <v>387420.9</v>
      </c>
      <c r="K174" s="12">
        <v>0</v>
      </c>
      <c r="L174" s="12">
        <v>0</v>
      </c>
      <c r="M174" s="12">
        <v>0</v>
      </c>
      <c r="N174" s="12">
        <v>81358.39</v>
      </c>
      <c r="O174" s="12">
        <v>499772.97</v>
      </c>
      <c r="P174" s="27"/>
      <c r="R174" s="12"/>
    </row>
    <row r="175" spans="1:18" x14ac:dyDescent="0.25">
      <c r="A175" t="s">
        <v>835</v>
      </c>
      <c r="B175" t="s">
        <v>724</v>
      </c>
      <c r="C175" s="3">
        <v>91</v>
      </c>
      <c r="D175" s="3">
        <v>241874</v>
      </c>
      <c r="E175" s="8" t="s">
        <v>942</v>
      </c>
      <c r="F175" s="3">
        <v>74166312735287</v>
      </c>
      <c r="G175" t="s">
        <v>726</v>
      </c>
      <c r="H175" s="3">
        <v>30707059806</v>
      </c>
      <c r="I175" t="s">
        <v>941</v>
      </c>
      <c r="J175" s="12">
        <v>2100000</v>
      </c>
      <c r="K175" s="12">
        <v>0</v>
      </c>
      <c r="L175" s="12">
        <v>0</v>
      </c>
      <c r="M175" s="12">
        <v>0</v>
      </c>
      <c r="N175" s="12">
        <v>441000</v>
      </c>
      <c r="O175" s="12">
        <v>2709000</v>
      </c>
      <c r="P175" s="27"/>
      <c r="R175" s="12"/>
    </row>
    <row r="176" spans="1:18" x14ac:dyDescent="0.25">
      <c r="A176" t="s">
        <v>821</v>
      </c>
      <c r="B176" t="s">
        <v>724</v>
      </c>
      <c r="C176" s="3">
        <v>90</v>
      </c>
      <c r="D176" s="3">
        <v>436576</v>
      </c>
      <c r="E176" s="8" t="s">
        <v>943</v>
      </c>
      <c r="F176" s="3">
        <v>74176013481111</v>
      </c>
      <c r="G176" t="s">
        <v>726</v>
      </c>
      <c r="H176" s="3">
        <v>30707059806</v>
      </c>
      <c r="I176" t="s">
        <v>941</v>
      </c>
      <c r="J176" s="12">
        <v>628950</v>
      </c>
      <c r="K176" s="12">
        <v>0</v>
      </c>
      <c r="L176" s="12">
        <v>0</v>
      </c>
      <c r="M176" s="12">
        <v>0</v>
      </c>
      <c r="N176" s="12">
        <v>132079.5</v>
      </c>
      <c r="O176" s="12">
        <v>811345.5</v>
      </c>
      <c r="P176" s="27"/>
      <c r="R176" s="12"/>
    </row>
    <row r="177" spans="1:18" x14ac:dyDescent="0.25">
      <c r="A177" s="9" t="s">
        <v>747</v>
      </c>
      <c r="B177" s="9" t="s">
        <v>741</v>
      </c>
      <c r="C177" s="10">
        <v>91</v>
      </c>
      <c r="D177" s="10">
        <v>15555</v>
      </c>
      <c r="E177" s="9" t="s">
        <v>944</v>
      </c>
      <c r="F177" s="10">
        <v>74186676911636</v>
      </c>
      <c r="G177" s="9" t="s">
        <v>726</v>
      </c>
      <c r="H177" s="10">
        <v>30707059806</v>
      </c>
      <c r="I177" s="9" t="s">
        <v>941</v>
      </c>
      <c r="J177" s="13">
        <v>34200</v>
      </c>
      <c r="K177" s="13">
        <v>0</v>
      </c>
      <c r="L177" s="13">
        <v>0</v>
      </c>
      <c r="M177" s="13">
        <v>0</v>
      </c>
      <c r="N177" s="13">
        <v>7182</v>
      </c>
      <c r="O177" s="13">
        <v>41382</v>
      </c>
      <c r="P177" s="27"/>
      <c r="R177" s="12"/>
    </row>
    <row r="178" spans="1:18" x14ac:dyDescent="0.25">
      <c r="A178" t="s">
        <v>766</v>
      </c>
      <c r="B178" t="s">
        <v>744</v>
      </c>
      <c r="C178" s="3">
        <v>1</v>
      </c>
      <c r="D178" s="3">
        <v>213</v>
      </c>
      <c r="E178" s="8" t="s">
        <v>945</v>
      </c>
      <c r="F178" s="3">
        <v>74155274181204</v>
      </c>
      <c r="G178" t="s">
        <v>726</v>
      </c>
      <c r="H178" s="3">
        <v>20344720305</v>
      </c>
      <c r="I178" t="s">
        <v>235</v>
      </c>
      <c r="J178" s="12"/>
      <c r="K178" s="12"/>
      <c r="L178" s="12"/>
      <c r="M178" s="12">
        <v>0</v>
      </c>
      <c r="N178" s="12"/>
      <c r="O178" s="12">
        <v>120000</v>
      </c>
      <c r="P178" s="27"/>
      <c r="R178" s="12"/>
    </row>
    <row r="179" spans="1:18" x14ac:dyDescent="0.25">
      <c r="A179" t="s">
        <v>821</v>
      </c>
      <c r="B179" t="s">
        <v>724</v>
      </c>
      <c r="C179" s="3">
        <v>9</v>
      </c>
      <c r="D179" s="3">
        <v>40487</v>
      </c>
      <c r="E179" s="8" t="s">
        <v>946</v>
      </c>
      <c r="F179" s="3">
        <v>74179098895149</v>
      </c>
      <c r="G179" t="s">
        <v>726</v>
      </c>
      <c r="H179" s="3">
        <v>30585754869</v>
      </c>
      <c r="I179" t="s">
        <v>521</v>
      </c>
      <c r="J179" s="12">
        <v>699504.14</v>
      </c>
      <c r="K179" s="12">
        <v>0</v>
      </c>
      <c r="L179" s="12">
        <v>0</v>
      </c>
      <c r="M179" s="12">
        <v>0</v>
      </c>
      <c r="N179" s="12">
        <v>146895.87</v>
      </c>
      <c r="O179" s="12">
        <v>902360.33</v>
      </c>
      <c r="P179" s="27"/>
      <c r="R179" s="12"/>
    </row>
    <row r="180" spans="1:18" x14ac:dyDescent="0.25">
      <c r="A180" t="s">
        <v>747</v>
      </c>
      <c r="B180" t="s">
        <v>724</v>
      </c>
      <c r="C180" s="3">
        <v>4</v>
      </c>
      <c r="D180" s="3">
        <v>4758</v>
      </c>
      <c r="E180" s="8" t="s">
        <v>947</v>
      </c>
      <c r="F180" s="3">
        <v>74189450883527</v>
      </c>
      <c r="G180" t="s">
        <v>726</v>
      </c>
      <c r="H180" s="3">
        <v>20055036579</v>
      </c>
      <c r="I180" t="s">
        <v>948</v>
      </c>
      <c r="J180" s="12">
        <v>526798.01</v>
      </c>
      <c r="K180" s="12">
        <v>0</v>
      </c>
      <c r="L180" s="12">
        <v>0</v>
      </c>
      <c r="M180" s="12">
        <v>0</v>
      </c>
      <c r="N180" s="12">
        <v>110627.58</v>
      </c>
      <c r="O180" s="12">
        <v>637425.59</v>
      </c>
      <c r="P180" s="27"/>
      <c r="R180" s="12"/>
    </row>
    <row r="181" spans="1:18" x14ac:dyDescent="0.25">
      <c r="A181" t="s">
        <v>830</v>
      </c>
      <c r="B181" t="s">
        <v>724</v>
      </c>
      <c r="C181" s="3">
        <v>2</v>
      </c>
      <c r="D181" s="3">
        <v>145</v>
      </c>
      <c r="E181" s="8" t="s">
        <v>949</v>
      </c>
      <c r="F181" s="3">
        <v>74189377237705</v>
      </c>
      <c r="G181" t="s">
        <v>726</v>
      </c>
      <c r="H181" s="3">
        <v>23307002809</v>
      </c>
      <c r="I181" t="s">
        <v>541</v>
      </c>
      <c r="J181" s="12">
        <v>103600</v>
      </c>
      <c r="K181" s="12">
        <v>0</v>
      </c>
      <c r="L181" s="12">
        <v>0</v>
      </c>
      <c r="M181" s="12">
        <v>0</v>
      </c>
      <c r="N181" s="12">
        <v>21756</v>
      </c>
      <c r="O181" s="12">
        <v>125356</v>
      </c>
      <c r="P181" s="27"/>
      <c r="R181" s="12"/>
    </row>
    <row r="182" spans="1:18" x14ac:dyDescent="0.25">
      <c r="A182" t="s">
        <v>729</v>
      </c>
      <c r="B182" t="s">
        <v>724</v>
      </c>
      <c r="C182" s="3">
        <v>10</v>
      </c>
      <c r="D182" s="3">
        <v>44112</v>
      </c>
      <c r="E182" s="8" t="s">
        <v>950</v>
      </c>
      <c r="F182" s="3">
        <v>74162016675826</v>
      </c>
      <c r="G182" t="s">
        <v>726</v>
      </c>
      <c r="H182" s="3">
        <v>30552910512</v>
      </c>
      <c r="I182" t="s">
        <v>340</v>
      </c>
      <c r="J182" s="12">
        <v>13320000</v>
      </c>
      <c r="K182" s="12">
        <v>0</v>
      </c>
      <c r="L182" s="12">
        <v>0</v>
      </c>
      <c r="M182" s="12">
        <v>0</v>
      </c>
      <c r="N182" s="12">
        <v>2797200</v>
      </c>
      <c r="O182" s="12">
        <v>16783200</v>
      </c>
      <c r="P182" s="27"/>
      <c r="R182" s="12"/>
    </row>
    <row r="183" spans="1:18" x14ac:dyDescent="0.25">
      <c r="A183" t="s">
        <v>835</v>
      </c>
      <c r="B183" t="s">
        <v>724</v>
      </c>
      <c r="C183" s="3">
        <v>10</v>
      </c>
      <c r="D183" s="3">
        <v>44151</v>
      </c>
      <c r="E183" s="8" t="s">
        <v>951</v>
      </c>
      <c r="F183" s="3">
        <v>74162389357266</v>
      </c>
      <c r="G183" t="s">
        <v>726</v>
      </c>
      <c r="H183" s="3">
        <v>30552910512</v>
      </c>
      <c r="I183" t="s">
        <v>340</v>
      </c>
      <c r="J183" s="12">
        <v>27900000</v>
      </c>
      <c r="K183" s="12">
        <v>0</v>
      </c>
      <c r="L183" s="12">
        <v>0</v>
      </c>
      <c r="M183" s="12">
        <v>0</v>
      </c>
      <c r="N183" s="12">
        <v>5859000</v>
      </c>
      <c r="O183" s="12">
        <v>35154000</v>
      </c>
      <c r="P183" s="27"/>
      <c r="R183" s="12"/>
    </row>
    <row r="184" spans="1:18" x14ac:dyDescent="0.25">
      <c r="A184" s="9" t="s">
        <v>747</v>
      </c>
      <c r="B184" s="9" t="s">
        <v>741</v>
      </c>
      <c r="C184" s="10">
        <v>10</v>
      </c>
      <c r="D184" s="10">
        <v>7634</v>
      </c>
      <c r="E184" s="9" t="s">
        <v>952</v>
      </c>
      <c r="F184" s="10">
        <v>74182524266773</v>
      </c>
      <c r="G184" s="9" t="s">
        <v>726</v>
      </c>
      <c r="H184" s="10">
        <v>30552910512</v>
      </c>
      <c r="I184" s="9" t="s">
        <v>340</v>
      </c>
      <c r="J184" s="13">
        <v>29796</v>
      </c>
      <c r="K184" s="13">
        <v>0</v>
      </c>
      <c r="L184" s="13">
        <v>0</v>
      </c>
      <c r="M184" s="13">
        <v>0</v>
      </c>
      <c r="N184" s="13">
        <v>6257.16</v>
      </c>
      <c r="O184" s="13">
        <v>37542.959999999999</v>
      </c>
      <c r="P184" s="27"/>
      <c r="R184" s="12"/>
    </row>
    <row r="185" spans="1:18" x14ac:dyDescent="0.25">
      <c r="A185" t="s">
        <v>804</v>
      </c>
      <c r="B185" t="s">
        <v>744</v>
      </c>
      <c r="C185" s="3">
        <v>1</v>
      </c>
      <c r="D185" s="3">
        <v>108</v>
      </c>
      <c r="E185" s="8" t="s">
        <v>953</v>
      </c>
      <c r="F185" s="3">
        <v>74158627695089</v>
      </c>
      <c r="G185" t="s">
        <v>726</v>
      </c>
      <c r="H185" s="3">
        <v>27248812228</v>
      </c>
      <c r="I185" t="s">
        <v>298</v>
      </c>
      <c r="J185" s="12"/>
      <c r="K185" s="12"/>
      <c r="L185" s="12"/>
      <c r="M185" s="12">
        <v>0</v>
      </c>
      <c r="N185" s="12"/>
      <c r="O185" s="12">
        <v>35000</v>
      </c>
      <c r="P185" s="27"/>
      <c r="R185" s="12"/>
    </row>
    <row r="186" spans="1:18" x14ac:dyDescent="0.25">
      <c r="A186" t="s">
        <v>773</v>
      </c>
      <c r="B186" t="s">
        <v>724</v>
      </c>
      <c r="C186" s="3">
        <v>110</v>
      </c>
      <c r="D186" s="3">
        <v>88196</v>
      </c>
      <c r="E186" s="8" t="s">
        <v>954</v>
      </c>
      <c r="F186" s="3">
        <v>74172942801032</v>
      </c>
      <c r="G186" t="s">
        <v>726</v>
      </c>
      <c r="H186" s="3">
        <v>30711303592</v>
      </c>
      <c r="I186" t="s">
        <v>510</v>
      </c>
      <c r="J186" s="12">
        <v>6781598.1900000004</v>
      </c>
      <c r="K186" s="12">
        <v>0</v>
      </c>
      <c r="L186" s="12">
        <v>0</v>
      </c>
      <c r="M186" s="12">
        <v>0</v>
      </c>
      <c r="N186" s="12">
        <v>1424135.62</v>
      </c>
      <c r="O186" s="12">
        <v>8748261.6799999997</v>
      </c>
      <c r="P186" s="27"/>
      <c r="R186" s="12"/>
    </row>
    <row r="187" spans="1:18" x14ac:dyDescent="0.25">
      <c r="A187" t="s">
        <v>773</v>
      </c>
      <c r="B187" t="s">
        <v>741</v>
      </c>
      <c r="C187" s="3">
        <v>110</v>
      </c>
      <c r="D187" s="3">
        <v>94739</v>
      </c>
      <c r="E187" s="8" t="s">
        <v>955</v>
      </c>
      <c r="F187" s="3">
        <v>74172942802753</v>
      </c>
      <c r="G187" t="s">
        <v>726</v>
      </c>
      <c r="H187" s="3">
        <v>30711303592</v>
      </c>
      <c r="I187" t="s">
        <v>510</v>
      </c>
      <c r="J187" s="12">
        <v>401470.62</v>
      </c>
      <c r="K187" s="12">
        <v>0</v>
      </c>
      <c r="L187" s="12">
        <v>0</v>
      </c>
      <c r="M187" s="12">
        <v>0</v>
      </c>
      <c r="N187" s="12">
        <v>84308.83</v>
      </c>
      <c r="O187" s="12">
        <v>497823.56</v>
      </c>
      <c r="P187" s="27"/>
      <c r="R187" s="12"/>
    </row>
    <row r="188" spans="1:18" x14ac:dyDescent="0.25">
      <c r="A188" t="s">
        <v>727</v>
      </c>
      <c r="B188" t="s">
        <v>741</v>
      </c>
      <c r="C188" s="3">
        <v>6</v>
      </c>
      <c r="D188" s="3">
        <v>2750</v>
      </c>
      <c r="E188" s="8" t="s">
        <v>956</v>
      </c>
      <c r="F188" s="3">
        <v>74158551125258</v>
      </c>
      <c r="G188" t="s">
        <v>726</v>
      </c>
      <c r="H188" s="3">
        <v>30529902278</v>
      </c>
      <c r="I188" t="s">
        <v>270</v>
      </c>
      <c r="J188" s="12">
        <v>738400</v>
      </c>
      <c r="K188" s="12">
        <v>0</v>
      </c>
      <c r="L188" s="12">
        <v>0</v>
      </c>
      <c r="M188" s="12">
        <v>0</v>
      </c>
      <c r="N188" s="12">
        <v>77532</v>
      </c>
      <c r="O188" s="12">
        <v>827008</v>
      </c>
      <c r="P188" s="27"/>
      <c r="R188" s="12"/>
    </row>
    <row r="189" spans="1:18" x14ac:dyDescent="0.25">
      <c r="A189" t="s">
        <v>735</v>
      </c>
      <c r="B189" t="s">
        <v>724</v>
      </c>
      <c r="C189" s="3">
        <v>6156</v>
      </c>
      <c r="D189" s="3">
        <v>6686660</v>
      </c>
      <c r="E189" s="8" t="s">
        <v>957</v>
      </c>
      <c r="F189" s="3">
        <v>34131571528647</v>
      </c>
      <c r="G189" t="s">
        <v>726</v>
      </c>
      <c r="H189" s="3">
        <v>30547242331</v>
      </c>
      <c r="I189" t="s">
        <v>20</v>
      </c>
      <c r="J189" s="12">
        <v>6431.57</v>
      </c>
      <c r="K189" s="12">
        <v>0</v>
      </c>
      <c r="L189" s="12">
        <v>0</v>
      </c>
      <c r="M189" s="12">
        <v>0</v>
      </c>
      <c r="N189" s="12">
        <v>1350.63</v>
      </c>
      <c r="O189" s="12">
        <v>7910.84</v>
      </c>
      <c r="P189" s="27"/>
      <c r="R189" s="12"/>
    </row>
    <row r="190" spans="1:18" x14ac:dyDescent="0.25">
      <c r="A190" t="s">
        <v>766</v>
      </c>
      <c r="B190" t="s">
        <v>724</v>
      </c>
      <c r="C190" s="3">
        <v>6156</v>
      </c>
      <c r="D190" s="3">
        <v>6695476</v>
      </c>
      <c r="E190" s="8" t="s">
        <v>958</v>
      </c>
      <c r="F190" s="3">
        <v>34131571528647</v>
      </c>
      <c r="G190" t="s">
        <v>726</v>
      </c>
      <c r="H190" s="3">
        <v>30547242331</v>
      </c>
      <c r="I190" t="s">
        <v>20</v>
      </c>
      <c r="J190" s="12">
        <v>366165.29</v>
      </c>
      <c r="K190" s="12">
        <v>0</v>
      </c>
      <c r="L190" s="12">
        <v>0</v>
      </c>
      <c r="M190" s="12">
        <v>0</v>
      </c>
      <c r="N190" s="12">
        <v>76894.710000000006</v>
      </c>
      <c r="O190" s="12">
        <v>461368.28</v>
      </c>
      <c r="P190" s="27"/>
      <c r="R190" s="12"/>
    </row>
    <row r="191" spans="1:18" x14ac:dyDescent="0.25">
      <c r="A191" t="s">
        <v>727</v>
      </c>
      <c r="B191" t="s">
        <v>724</v>
      </c>
      <c r="C191" s="3">
        <v>6156</v>
      </c>
      <c r="D191" s="3">
        <v>6700639</v>
      </c>
      <c r="E191" s="8" t="s">
        <v>959</v>
      </c>
      <c r="F191" s="3">
        <v>34131571528647</v>
      </c>
      <c r="G191" t="s">
        <v>726</v>
      </c>
      <c r="H191" s="3">
        <v>30547242331</v>
      </c>
      <c r="I191" t="s">
        <v>20</v>
      </c>
      <c r="J191" s="12">
        <v>12863.14</v>
      </c>
      <c r="K191" s="12">
        <v>0</v>
      </c>
      <c r="L191" s="12">
        <v>0</v>
      </c>
      <c r="M191" s="12">
        <v>0</v>
      </c>
      <c r="N191" s="12">
        <v>2701.26</v>
      </c>
      <c r="O191" s="12">
        <v>15821.68</v>
      </c>
      <c r="P191" s="27"/>
      <c r="R191" s="12"/>
    </row>
    <row r="192" spans="1:18" x14ac:dyDescent="0.25">
      <c r="A192" t="s">
        <v>804</v>
      </c>
      <c r="B192" t="s">
        <v>724</v>
      </c>
      <c r="C192" s="3">
        <v>6156</v>
      </c>
      <c r="D192" s="3">
        <v>6703431</v>
      </c>
      <c r="E192" s="8" t="s">
        <v>960</v>
      </c>
      <c r="F192" s="3">
        <v>34131571528647</v>
      </c>
      <c r="G192" t="s">
        <v>726</v>
      </c>
      <c r="H192" s="3">
        <v>30547242331</v>
      </c>
      <c r="I192" t="s">
        <v>20</v>
      </c>
      <c r="J192" s="12">
        <v>759666.76</v>
      </c>
      <c r="K192" s="12">
        <v>0</v>
      </c>
      <c r="L192" s="12">
        <v>0</v>
      </c>
      <c r="M192" s="12">
        <v>0</v>
      </c>
      <c r="N192" s="12">
        <v>159530.01999999999</v>
      </c>
      <c r="O192" s="12">
        <v>957180.14</v>
      </c>
      <c r="P192" s="27"/>
      <c r="R192" s="12"/>
    </row>
    <row r="193" spans="1:18" x14ac:dyDescent="0.25">
      <c r="A193" t="s">
        <v>729</v>
      </c>
      <c r="B193" t="s">
        <v>724</v>
      </c>
      <c r="C193" s="3">
        <v>6156</v>
      </c>
      <c r="D193" s="3">
        <v>6709600</v>
      </c>
      <c r="E193" s="8" t="s">
        <v>961</v>
      </c>
      <c r="F193" s="3">
        <v>34151851797335</v>
      </c>
      <c r="G193" t="s">
        <v>726</v>
      </c>
      <c r="H193" s="3">
        <v>30547242331</v>
      </c>
      <c r="I193" t="s">
        <v>20</v>
      </c>
      <c r="J193" s="12">
        <v>495423.14</v>
      </c>
      <c r="K193" s="12">
        <v>0</v>
      </c>
      <c r="L193" s="12">
        <v>0</v>
      </c>
      <c r="M193" s="12">
        <v>0</v>
      </c>
      <c r="N193" s="12">
        <v>104038.86</v>
      </c>
      <c r="O193" s="12">
        <v>623847.24</v>
      </c>
      <c r="P193" s="27"/>
      <c r="R193" s="12"/>
    </row>
    <row r="194" spans="1:18" x14ac:dyDescent="0.25">
      <c r="A194" t="s">
        <v>835</v>
      </c>
      <c r="B194" t="s">
        <v>724</v>
      </c>
      <c r="C194" s="3">
        <v>6156</v>
      </c>
      <c r="D194" s="3">
        <v>6716861</v>
      </c>
      <c r="E194" s="8" t="s">
        <v>962</v>
      </c>
      <c r="F194" s="3">
        <v>34151851797335</v>
      </c>
      <c r="G194" t="s">
        <v>726</v>
      </c>
      <c r="H194" s="3">
        <v>30547242331</v>
      </c>
      <c r="I194" t="s">
        <v>20</v>
      </c>
      <c r="J194" s="12">
        <v>3051658.81</v>
      </c>
      <c r="K194" s="12">
        <v>0</v>
      </c>
      <c r="L194" s="12">
        <v>0</v>
      </c>
      <c r="M194" s="12">
        <v>0</v>
      </c>
      <c r="N194" s="12">
        <v>640848.35</v>
      </c>
      <c r="O194" s="12">
        <v>3845090.09</v>
      </c>
      <c r="P194" s="27"/>
      <c r="R194" s="12"/>
    </row>
    <row r="195" spans="1:18" x14ac:dyDescent="0.25">
      <c r="A195" t="s">
        <v>827</v>
      </c>
      <c r="B195" t="s">
        <v>724</v>
      </c>
      <c r="C195" s="3">
        <v>6156</v>
      </c>
      <c r="D195" s="3">
        <v>6723436</v>
      </c>
      <c r="E195" s="8" t="s">
        <v>963</v>
      </c>
      <c r="F195" s="3">
        <v>34151851797335</v>
      </c>
      <c r="G195" t="s">
        <v>726</v>
      </c>
      <c r="H195" s="3">
        <v>30547242331</v>
      </c>
      <c r="I195" t="s">
        <v>20</v>
      </c>
      <c r="J195" s="12">
        <v>207261.9</v>
      </c>
      <c r="K195" s="12">
        <v>0</v>
      </c>
      <c r="L195" s="12">
        <v>0</v>
      </c>
      <c r="M195" s="12">
        <v>0</v>
      </c>
      <c r="N195" s="12">
        <v>43525</v>
      </c>
      <c r="O195" s="12">
        <v>260764.12</v>
      </c>
      <c r="P195" s="27"/>
      <c r="R195" s="12"/>
    </row>
    <row r="196" spans="1:18" x14ac:dyDescent="0.25">
      <c r="A196" t="s">
        <v>773</v>
      </c>
      <c r="B196" t="s">
        <v>724</v>
      </c>
      <c r="C196" s="3">
        <v>6156</v>
      </c>
      <c r="D196" s="3">
        <v>6727576</v>
      </c>
      <c r="E196" s="8" t="s">
        <v>964</v>
      </c>
      <c r="F196" s="3">
        <v>34151851797335</v>
      </c>
      <c r="G196" t="s">
        <v>726</v>
      </c>
      <c r="H196" s="3">
        <v>30547242331</v>
      </c>
      <c r="I196" t="s">
        <v>20</v>
      </c>
      <c r="J196" s="12">
        <v>727565.14</v>
      </c>
      <c r="K196" s="12">
        <v>0</v>
      </c>
      <c r="L196" s="12">
        <v>0</v>
      </c>
      <c r="M196" s="12">
        <v>0</v>
      </c>
      <c r="N196" s="12">
        <v>152788.68</v>
      </c>
      <c r="O196" s="12">
        <v>916217.54</v>
      </c>
      <c r="P196" s="27"/>
      <c r="R196" s="12"/>
    </row>
    <row r="197" spans="1:18" x14ac:dyDescent="0.25">
      <c r="A197" s="9" t="s">
        <v>821</v>
      </c>
      <c r="B197" s="9" t="s">
        <v>741</v>
      </c>
      <c r="C197" s="10">
        <v>6162</v>
      </c>
      <c r="D197" s="10">
        <v>40408</v>
      </c>
      <c r="E197" s="9" t="s">
        <v>965</v>
      </c>
      <c r="F197" s="10">
        <v>34151851797335</v>
      </c>
      <c r="G197" s="9" t="s">
        <v>726</v>
      </c>
      <c r="H197" s="10">
        <v>30547242331</v>
      </c>
      <c r="I197" s="9" t="s">
        <v>20</v>
      </c>
      <c r="J197" s="13">
        <v>56649.38</v>
      </c>
      <c r="K197" s="13">
        <v>0</v>
      </c>
      <c r="L197" s="13">
        <v>0</v>
      </c>
      <c r="M197" s="13">
        <v>0</v>
      </c>
      <c r="N197" s="13">
        <v>11896.37</v>
      </c>
      <c r="O197" s="13">
        <v>68545.759999999995</v>
      </c>
      <c r="P197" s="27"/>
      <c r="R197" s="12"/>
    </row>
    <row r="198" spans="1:18" x14ac:dyDescent="0.25">
      <c r="A198" t="s">
        <v>747</v>
      </c>
      <c r="B198" t="s">
        <v>724</v>
      </c>
      <c r="C198" s="3">
        <v>6156</v>
      </c>
      <c r="D198" s="3">
        <v>6737586</v>
      </c>
      <c r="E198" s="8" t="s">
        <v>966</v>
      </c>
      <c r="F198" s="3">
        <v>34151851797335</v>
      </c>
      <c r="G198" t="s">
        <v>726</v>
      </c>
      <c r="H198" s="3">
        <v>30547242331</v>
      </c>
      <c r="I198" t="s">
        <v>20</v>
      </c>
      <c r="J198" s="12">
        <v>19294.759999999998</v>
      </c>
      <c r="K198" s="12">
        <v>0</v>
      </c>
      <c r="L198" s="12">
        <v>0</v>
      </c>
      <c r="M198" s="12">
        <v>0</v>
      </c>
      <c r="N198" s="12">
        <v>4051.9</v>
      </c>
      <c r="O198" s="12">
        <v>23732.53</v>
      </c>
      <c r="P198" s="27"/>
      <c r="R198" s="12"/>
    </row>
    <row r="199" spans="1:18" x14ac:dyDescent="0.25">
      <c r="A199" t="s">
        <v>773</v>
      </c>
      <c r="B199" t="s">
        <v>724</v>
      </c>
      <c r="C199" s="3">
        <v>10</v>
      </c>
      <c r="D199" s="3">
        <v>79515</v>
      </c>
      <c r="E199" s="8" t="s">
        <v>967</v>
      </c>
      <c r="F199" s="3">
        <v>74173965195247</v>
      </c>
      <c r="G199" t="s">
        <v>726</v>
      </c>
      <c r="H199" s="3">
        <v>30612430973</v>
      </c>
      <c r="I199" t="s">
        <v>506</v>
      </c>
      <c r="J199" s="12">
        <v>32678.73</v>
      </c>
      <c r="K199" s="12">
        <v>0</v>
      </c>
      <c r="L199" s="12">
        <v>0</v>
      </c>
      <c r="M199" s="12">
        <v>0</v>
      </c>
      <c r="N199" s="12">
        <v>3431.27</v>
      </c>
      <c r="O199" s="12">
        <v>36763.57</v>
      </c>
      <c r="P199" s="27"/>
      <c r="R199" s="12"/>
    </row>
    <row r="200" spans="1:18" x14ac:dyDescent="0.25">
      <c r="A200" t="s">
        <v>835</v>
      </c>
      <c r="B200" t="s">
        <v>724</v>
      </c>
      <c r="C200" s="3">
        <v>12</v>
      </c>
      <c r="D200" s="3">
        <v>51349</v>
      </c>
      <c r="E200" s="8" t="s">
        <v>968</v>
      </c>
      <c r="F200" s="3">
        <v>74161352324992</v>
      </c>
      <c r="G200" t="s">
        <v>726</v>
      </c>
      <c r="H200" s="3">
        <v>30708938021</v>
      </c>
      <c r="I200" t="s">
        <v>969</v>
      </c>
      <c r="J200" s="12">
        <v>4753000</v>
      </c>
      <c r="K200" s="12">
        <v>0</v>
      </c>
      <c r="L200" s="12">
        <v>0</v>
      </c>
      <c r="M200" s="12">
        <v>0</v>
      </c>
      <c r="N200" s="12">
        <v>998130</v>
      </c>
      <c r="O200" s="12">
        <v>5846190</v>
      </c>
      <c r="P200" s="27"/>
      <c r="R200" s="12"/>
    </row>
    <row r="201" spans="1:18" x14ac:dyDescent="0.25">
      <c r="A201" t="s">
        <v>970</v>
      </c>
      <c r="B201" t="s">
        <v>724</v>
      </c>
      <c r="C201" s="3">
        <v>622</v>
      </c>
      <c r="D201" s="3">
        <v>266229</v>
      </c>
      <c r="E201" s="8" t="s">
        <v>971</v>
      </c>
      <c r="F201" s="3">
        <v>34130809393337</v>
      </c>
      <c r="G201" t="s">
        <v>726</v>
      </c>
      <c r="H201" s="3">
        <v>30682032630</v>
      </c>
      <c r="I201" t="s">
        <v>972</v>
      </c>
      <c r="J201" s="12">
        <v>480528.57</v>
      </c>
      <c r="K201" s="12">
        <v>0</v>
      </c>
      <c r="L201" s="12">
        <v>0</v>
      </c>
      <c r="M201" s="12">
        <v>0</v>
      </c>
      <c r="N201" s="12">
        <v>100911</v>
      </c>
      <c r="O201" s="12">
        <v>619881.87</v>
      </c>
      <c r="P201" s="27"/>
      <c r="R201" s="12"/>
    </row>
    <row r="202" spans="1:18" x14ac:dyDescent="0.25">
      <c r="A202" t="s">
        <v>727</v>
      </c>
      <c r="B202" t="s">
        <v>724</v>
      </c>
      <c r="C202" s="3">
        <v>622</v>
      </c>
      <c r="D202" s="3">
        <v>267869</v>
      </c>
      <c r="E202" s="8" t="s">
        <v>973</v>
      </c>
      <c r="F202" s="3">
        <v>34130809393337</v>
      </c>
      <c r="G202" t="s">
        <v>726</v>
      </c>
      <c r="H202" s="3">
        <v>30682032630</v>
      </c>
      <c r="I202" t="s">
        <v>972</v>
      </c>
      <c r="J202" s="12">
        <v>1329625</v>
      </c>
      <c r="K202" s="12">
        <v>0</v>
      </c>
      <c r="L202" s="12">
        <v>0</v>
      </c>
      <c r="M202" s="12">
        <v>0</v>
      </c>
      <c r="N202" s="12">
        <v>279221.25</v>
      </c>
      <c r="O202" s="12">
        <v>1715216.26</v>
      </c>
      <c r="P202" s="27"/>
      <c r="R202" s="12"/>
    </row>
    <row r="203" spans="1:18" x14ac:dyDescent="0.25">
      <c r="A203" t="s">
        <v>974</v>
      </c>
      <c r="B203" t="s">
        <v>724</v>
      </c>
      <c r="C203" s="3">
        <v>622</v>
      </c>
      <c r="D203" s="3">
        <v>270891</v>
      </c>
      <c r="E203" s="8" t="s">
        <v>975</v>
      </c>
      <c r="F203" s="3">
        <v>34150515176759</v>
      </c>
      <c r="G203" t="s">
        <v>726</v>
      </c>
      <c r="H203" s="3">
        <v>30682032630</v>
      </c>
      <c r="I203" t="s">
        <v>972</v>
      </c>
      <c r="J203" s="12">
        <v>335542.95</v>
      </c>
      <c r="K203" s="12">
        <v>0</v>
      </c>
      <c r="L203" s="12">
        <v>0</v>
      </c>
      <c r="M203" s="12">
        <v>0</v>
      </c>
      <c r="N203" s="12">
        <v>70464.02</v>
      </c>
      <c r="O203" s="12">
        <v>432850.41</v>
      </c>
      <c r="P203" s="27"/>
      <c r="R203" s="12"/>
    </row>
    <row r="204" spans="1:18" x14ac:dyDescent="0.25">
      <c r="A204" t="s">
        <v>827</v>
      </c>
      <c r="B204" t="s">
        <v>741</v>
      </c>
      <c r="C204" s="3">
        <v>622</v>
      </c>
      <c r="D204" s="3">
        <v>107587</v>
      </c>
      <c r="E204" s="8" t="s">
        <v>976</v>
      </c>
      <c r="F204" s="3">
        <v>34150515176759</v>
      </c>
      <c r="G204" t="s">
        <v>726</v>
      </c>
      <c r="H204" s="3">
        <v>30682032630</v>
      </c>
      <c r="I204" t="s">
        <v>972</v>
      </c>
      <c r="J204" s="12">
        <v>1119715.67</v>
      </c>
      <c r="K204" s="12">
        <v>0</v>
      </c>
      <c r="L204" s="12">
        <v>0</v>
      </c>
      <c r="M204" s="12">
        <v>0</v>
      </c>
      <c r="N204" s="12">
        <v>235140.29</v>
      </c>
      <c r="O204" s="12">
        <v>1388447.41</v>
      </c>
      <c r="P204" s="27"/>
      <c r="R204" s="12"/>
    </row>
    <row r="205" spans="1:18" x14ac:dyDescent="0.25">
      <c r="A205" t="s">
        <v>773</v>
      </c>
      <c r="B205" t="s">
        <v>724</v>
      </c>
      <c r="C205" s="3">
        <v>622</v>
      </c>
      <c r="D205" s="3">
        <v>272491</v>
      </c>
      <c r="E205" s="8" t="s">
        <v>977</v>
      </c>
      <c r="F205" s="3">
        <v>34150515176759</v>
      </c>
      <c r="G205" t="s">
        <v>726</v>
      </c>
      <c r="H205" s="3">
        <v>30682032630</v>
      </c>
      <c r="I205" t="s">
        <v>972</v>
      </c>
      <c r="J205" s="12">
        <v>663464.24</v>
      </c>
      <c r="K205" s="12">
        <v>0</v>
      </c>
      <c r="L205" s="12">
        <v>0</v>
      </c>
      <c r="M205" s="12">
        <v>0</v>
      </c>
      <c r="N205" s="12">
        <v>139327.49</v>
      </c>
      <c r="O205" s="12">
        <v>855868.87</v>
      </c>
      <c r="P205" s="27"/>
      <c r="R205" s="12"/>
    </row>
    <row r="206" spans="1:18" x14ac:dyDescent="0.25">
      <c r="A206" t="s">
        <v>764</v>
      </c>
      <c r="B206" t="s">
        <v>724</v>
      </c>
      <c r="C206" s="3">
        <v>2002</v>
      </c>
      <c r="D206" s="3">
        <v>282190</v>
      </c>
      <c r="E206" s="8" t="s">
        <v>978</v>
      </c>
      <c r="F206" s="3">
        <v>34132528163560</v>
      </c>
      <c r="G206" t="s">
        <v>726</v>
      </c>
      <c r="H206" s="3">
        <v>30500768262</v>
      </c>
      <c r="I206" t="s">
        <v>979</v>
      </c>
      <c r="J206" s="12">
        <v>8305439.1399999997</v>
      </c>
      <c r="K206" s="12">
        <v>0</v>
      </c>
      <c r="L206" s="12">
        <v>0</v>
      </c>
      <c r="M206" s="12">
        <v>0</v>
      </c>
      <c r="N206" s="12">
        <v>1744142.22</v>
      </c>
      <c r="O206" s="12">
        <v>10714016.51</v>
      </c>
      <c r="P206" s="27"/>
      <c r="R206" s="12"/>
    </row>
    <row r="207" spans="1:18" x14ac:dyDescent="0.25">
      <c r="A207" t="s">
        <v>804</v>
      </c>
      <c r="B207" t="s">
        <v>724</v>
      </c>
      <c r="C207" s="3">
        <v>2002</v>
      </c>
      <c r="D207" s="3">
        <v>282972</v>
      </c>
      <c r="E207" s="8" t="s">
        <v>980</v>
      </c>
      <c r="F207" s="3">
        <v>34132528163560</v>
      </c>
      <c r="G207" t="s">
        <v>726</v>
      </c>
      <c r="H207" s="3">
        <v>30500768262</v>
      </c>
      <c r="I207" t="s">
        <v>979</v>
      </c>
      <c r="J207" s="12">
        <v>5091548.24</v>
      </c>
      <c r="K207" s="12">
        <v>0</v>
      </c>
      <c r="L207" s="12">
        <v>0</v>
      </c>
      <c r="M207" s="12">
        <v>0</v>
      </c>
      <c r="N207" s="12">
        <v>1069225.1299999999</v>
      </c>
      <c r="O207" s="12">
        <v>6568097.2800000003</v>
      </c>
      <c r="P207" s="27"/>
      <c r="R207" s="12"/>
    </row>
    <row r="208" spans="1:18" x14ac:dyDescent="0.25">
      <c r="A208" t="s">
        <v>729</v>
      </c>
      <c r="B208" t="s">
        <v>724</v>
      </c>
      <c r="C208" s="3">
        <v>2002</v>
      </c>
      <c r="D208" s="3">
        <v>283347</v>
      </c>
      <c r="E208" s="8" t="s">
        <v>981</v>
      </c>
      <c r="F208" s="3">
        <v>34152189283161</v>
      </c>
      <c r="G208" t="s">
        <v>726</v>
      </c>
      <c r="H208" s="3">
        <v>30500768262</v>
      </c>
      <c r="I208" t="s">
        <v>979</v>
      </c>
      <c r="J208" s="12">
        <v>599744.1</v>
      </c>
      <c r="K208" s="12">
        <v>0</v>
      </c>
      <c r="L208" s="12">
        <v>0</v>
      </c>
      <c r="M208" s="12">
        <v>0</v>
      </c>
      <c r="N208" s="12">
        <v>125946.26</v>
      </c>
      <c r="O208" s="12">
        <v>773669.88</v>
      </c>
      <c r="P208" s="27"/>
      <c r="R208" s="12"/>
    </row>
    <row r="209" spans="1:18" x14ac:dyDescent="0.25">
      <c r="A209" t="s">
        <v>755</v>
      </c>
      <c r="B209" t="s">
        <v>724</v>
      </c>
      <c r="C209" s="3">
        <v>2002</v>
      </c>
      <c r="D209" s="3">
        <v>283558</v>
      </c>
      <c r="E209" s="8" t="s">
        <v>982</v>
      </c>
      <c r="F209" s="3">
        <v>34152189283161</v>
      </c>
      <c r="G209" t="s">
        <v>726</v>
      </c>
      <c r="H209" s="3">
        <v>30500768262</v>
      </c>
      <c r="I209" t="s">
        <v>979</v>
      </c>
      <c r="J209" s="12">
        <v>1077855.8600000001</v>
      </c>
      <c r="K209" s="12">
        <v>0</v>
      </c>
      <c r="L209" s="12">
        <v>0</v>
      </c>
      <c r="M209" s="12">
        <v>0</v>
      </c>
      <c r="N209" s="12">
        <v>226349.73</v>
      </c>
      <c r="O209" s="12">
        <v>1390434.09</v>
      </c>
      <c r="P209" s="27"/>
      <c r="R209" s="12"/>
    </row>
    <row r="210" spans="1:18" x14ac:dyDescent="0.25">
      <c r="A210" t="s">
        <v>755</v>
      </c>
      <c r="B210" t="s">
        <v>724</v>
      </c>
      <c r="C210" s="3">
        <v>2002</v>
      </c>
      <c r="D210" s="3">
        <v>283559</v>
      </c>
      <c r="E210" s="8" t="s">
        <v>983</v>
      </c>
      <c r="F210" s="3">
        <v>34152189283161</v>
      </c>
      <c r="G210" t="s">
        <v>726</v>
      </c>
      <c r="H210" s="3">
        <v>30500768262</v>
      </c>
      <c r="I210" t="s">
        <v>979</v>
      </c>
      <c r="J210" s="12">
        <v>3188695.62</v>
      </c>
      <c r="K210" s="12">
        <v>0</v>
      </c>
      <c r="L210" s="12">
        <v>0</v>
      </c>
      <c r="M210" s="12">
        <v>0</v>
      </c>
      <c r="N210" s="12">
        <v>669626.07999999996</v>
      </c>
      <c r="O210" s="12">
        <v>4113417.34</v>
      </c>
      <c r="P210" s="27"/>
      <c r="R210" s="12"/>
    </row>
    <row r="211" spans="1:18" x14ac:dyDescent="0.25">
      <c r="A211" t="s">
        <v>755</v>
      </c>
      <c r="B211" t="s">
        <v>741</v>
      </c>
      <c r="C211" s="3">
        <v>2020</v>
      </c>
      <c r="D211" s="3">
        <v>4328</v>
      </c>
      <c r="E211" s="8" t="s">
        <v>984</v>
      </c>
      <c r="F211" s="3">
        <v>34152189283161</v>
      </c>
      <c r="G211" t="s">
        <v>726</v>
      </c>
      <c r="H211" s="3">
        <v>30500768262</v>
      </c>
      <c r="I211" t="s">
        <v>979</v>
      </c>
      <c r="J211" s="12">
        <v>27718.38</v>
      </c>
      <c r="K211" s="12">
        <v>0</v>
      </c>
      <c r="L211" s="12">
        <v>0</v>
      </c>
      <c r="M211" s="12">
        <v>0</v>
      </c>
      <c r="N211" s="12">
        <v>5820.86</v>
      </c>
      <c r="O211" s="12">
        <v>34370.800000000003</v>
      </c>
      <c r="P211" s="27"/>
      <c r="R211" s="12"/>
    </row>
    <row r="212" spans="1:18" x14ac:dyDescent="0.25">
      <c r="A212" t="s">
        <v>835</v>
      </c>
      <c r="B212" t="s">
        <v>724</v>
      </c>
      <c r="C212" s="3">
        <v>2002</v>
      </c>
      <c r="D212" s="3">
        <v>283852</v>
      </c>
      <c r="E212" s="8" t="s">
        <v>985</v>
      </c>
      <c r="F212" s="3">
        <v>34152189283161</v>
      </c>
      <c r="G212" t="s">
        <v>726</v>
      </c>
      <c r="H212" s="3">
        <v>30500768262</v>
      </c>
      <c r="I212" t="s">
        <v>979</v>
      </c>
      <c r="J212" s="12">
        <v>3715141.62</v>
      </c>
      <c r="K212" s="12">
        <v>0</v>
      </c>
      <c r="L212" s="12">
        <v>0</v>
      </c>
      <c r="M212" s="12">
        <v>0</v>
      </c>
      <c r="N212" s="12">
        <v>780179.74</v>
      </c>
      <c r="O212" s="12">
        <v>4792532.6500000004</v>
      </c>
      <c r="P212" s="27"/>
      <c r="R212" s="12"/>
    </row>
    <row r="213" spans="1:18" x14ac:dyDescent="0.25">
      <c r="A213" t="s">
        <v>731</v>
      </c>
      <c r="B213" t="s">
        <v>724</v>
      </c>
      <c r="C213" s="3">
        <v>2002</v>
      </c>
      <c r="D213" s="3">
        <v>284128</v>
      </c>
      <c r="E213" s="8" t="s">
        <v>986</v>
      </c>
      <c r="F213" s="3">
        <v>34152189283161</v>
      </c>
      <c r="G213" t="s">
        <v>726</v>
      </c>
      <c r="H213" s="3">
        <v>30500768262</v>
      </c>
      <c r="I213" t="s">
        <v>979</v>
      </c>
      <c r="J213" s="12">
        <v>6713400</v>
      </c>
      <c r="K213" s="12">
        <v>0</v>
      </c>
      <c r="L213" s="12">
        <v>0</v>
      </c>
      <c r="M213" s="12">
        <v>0</v>
      </c>
      <c r="N213" s="12">
        <v>1409814</v>
      </c>
      <c r="O213" s="12">
        <v>8660286</v>
      </c>
      <c r="P213" s="27"/>
      <c r="R213" s="12"/>
    </row>
    <row r="214" spans="1:18" x14ac:dyDescent="0.25">
      <c r="A214" t="s">
        <v>731</v>
      </c>
      <c r="B214" t="s">
        <v>724</v>
      </c>
      <c r="C214" s="3">
        <v>2002</v>
      </c>
      <c r="D214" s="3">
        <v>284129</v>
      </c>
      <c r="E214" s="8" t="s">
        <v>987</v>
      </c>
      <c r="F214" s="3">
        <v>34152189283161</v>
      </c>
      <c r="G214" t="s">
        <v>726</v>
      </c>
      <c r="H214" s="3">
        <v>30500768262</v>
      </c>
      <c r="I214" t="s">
        <v>979</v>
      </c>
      <c r="J214" s="12">
        <v>2923229.14</v>
      </c>
      <c r="K214" s="12">
        <v>0</v>
      </c>
      <c r="L214" s="12">
        <v>0</v>
      </c>
      <c r="M214" s="12">
        <v>0</v>
      </c>
      <c r="N214" s="12">
        <v>613878.12</v>
      </c>
      <c r="O214" s="12">
        <v>3770965.6</v>
      </c>
      <c r="P214" s="27"/>
      <c r="R214" s="12"/>
    </row>
    <row r="215" spans="1:18" x14ac:dyDescent="0.25">
      <c r="A215" t="s">
        <v>821</v>
      </c>
      <c r="B215" t="s">
        <v>724</v>
      </c>
      <c r="C215" s="3">
        <v>2002</v>
      </c>
      <c r="D215" s="3">
        <v>284757</v>
      </c>
      <c r="E215" s="8" t="s">
        <v>988</v>
      </c>
      <c r="F215" s="3">
        <v>34152189283161</v>
      </c>
      <c r="G215" t="s">
        <v>726</v>
      </c>
      <c r="H215" s="3">
        <v>30500768262</v>
      </c>
      <c r="I215" t="s">
        <v>979</v>
      </c>
      <c r="J215" s="12">
        <v>3905304.52</v>
      </c>
      <c r="K215" s="12">
        <v>0</v>
      </c>
      <c r="L215" s="12">
        <v>0</v>
      </c>
      <c r="M215" s="12">
        <v>0</v>
      </c>
      <c r="N215" s="12">
        <v>820113.95</v>
      </c>
      <c r="O215" s="12">
        <v>5037842.79</v>
      </c>
      <c r="P215" s="27"/>
      <c r="R215" s="12"/>
    </row>
    <row r="216" spans="1:18" x14ac:dyDescent="0.25">
      <c r="A216" t="s">
        <v>755</v>
      </c>
      <c r="B216" t="s">
        <v>724</v>
      </c>
      <c r="C216" s="3">
        <v>1152</v>
      </c>
      <c r="D216" s="3">
        <v>64665</v>
      </c>
      <c r="E216" s="8" t="s">
        <v>989</v>
      </c>
      <c r="F216" s="3">
        <v>34158758564951</v>
      </c>
      <c r="G216" t="s">
        <v>726</v>
      </c>
      <c r="H216" s="3">
        <v>30507950848</v>
      </c>
      <c r="I216" t="s">
        <v>990</v>
      </c>
      <c r="J216" s="12">
        <v>1576080</v>
      </c>
      <c r="K216" s="12">
        <v>0</v>
      </c>
      <c r="L216" s="12">
        <v>0</v>
      </c>
      <c r="M216" s="12">
        <v>47282.400000000001</v>
      </c>
      <c r="N216" s="12">
        <v>330976.8</v>
      </c>
      <c r="O216" s="12">
        <v>2033143.2</v>
      </c>
      <c r="P216" s="27"/>
      <c r="R216" s="12"/>
    </row>
    <row r="217" spans="1:18" x14ac:dyDescent="0.25">
      <c r="A217" t="s">
        <v>835</v>
      </c>
      <c r="B217" t="s">
        <v>724</v>
      </c>
      <c r="C217" s="3">
        <v>884</v>
      </c>
      <c r="D217" s="3">
        <v>102014</v>
      </c>
      <c r="E217" s="8" t="s">
        <v>991</v>
      </c>
      <c r="F217" s="3">
        <v>34158758564951</v>
      </c>
      <c r="G217" t="s">
        <v>726</v>
      </c>
      <c r="H217" s="3">
        <v>30507950848</v>
      </c>
      <c r="I217" t="s">
        <v>990</v>
      </c>
      <c r="J217" s="12">
        <v>645414.52</v>
      </c>
      <c r="K217" s="12">
        <v>0</v>
      </c>
      <c r="L217" s="12">
        <v>0</v>
      </c>
      <c r="M217" s="12">
        <v>19362.439999999999</v>
      </c>
      <c r="N217" s="12">
        <v>135537.04999999999</v>
      </c>
      <c r="O217" s="16">
        <v>832584.76</v>
      </c>
      <c r="P217" s="27"/>
      <c r="R217" s="12"/>
    </row>
    <row r="218" spans="1:18" x14ac:dyDescent="0.25">
      <c r="A218" s="9" t="s">
        <v>827</v>
      </c>
      <c r="B218" s="9" t="s">
        <v>741</v>
      </c>
      <c r="C218" s="10">
        <v>884</v>
      </c>
      <c r="D218" s="10">
        <v>9950</v>
      </c>
      <c r="E218" s="9" t="s">
        <v>992</v>
      </c>
      <c r="F218" s="10">
        <v>34158758564951</v>
      </c>
      <c r="G218" s="9" t="s">
        <v>726</v>
      </c>
      <c r="H218" s="10">
        <v>30507950848</v>
      </c>
      <c r="I218" s="9" t="s">
        <v>990</v>
      </c>
      <c r="J218" s="13">
        <v>645414.52</v>
      </c>
      <c r="K218" s="13">
        <v>0</v>
      </c>
      <c r="L218" s="13">
        <v>0</v>
      </c>
      <c r="M218" s="13">
        <v>19362.439999999999</v>
      </c>
      <c r="N218" s="13">
        <v>135537.04999999999</v>
      </c>
      <c r="O218" s="16">
        <v>832584.76</v>
      </c>
      <c r="P218" s="27"/>
      <c r="R218" s="12"/>
    </row>
    <row r="219" spans="1:18" x14ac:dyDescent="0.25">
      <c r="A219" t="s">
        <v>993</v>
      </c>
      <c r="B219" t="s">
        <v>724</v>
      </c>
      <c r="C219" s="3">
        <v>884</v>
      </c>
      <c r="D219" s="3">
        <v>102668</v>
      </c>
      <c r="E219" s="8" t="s">
        <v>994</v>
      </c>
      <c r="F219" s="3">
        <v>34158758564951</v>
      </c>
      <c r="G219" t="s">
        <v>726</v>
      </c>
      <c r="H219" s="3">
        <v>30507950848</v>
      </c>
      <c r="I219" t="s">
        <v>990</v>
      </c>
      <c r="J219" s="12">
        <v>645414.52</v>
      </c>
      <c r="K219" s="12">
        <v>0</v>
      </c>
      <c r="L219" s="12">
        <v>0</v>
      </c>
      <c r="M219" s="12">
        <v>19362.439999999999</v>
      </c>
      <c r="N219" s="12">
        <v>135537.04999999999</v>
      </c>
      <c r="O219" s="12">
        <v>832584.76</v>
      </c>
      <c r="P219" s="27"/>
      <c r="R219" s="12"/>
    </row>
    <row r="220" spans="1:18" x14ac:dyDescent="0.25">
      <c r="A220" t="s">
        <v>729</v>
      </c>
      <c r="B220" t="s">
        <v>724</v>
      </c>
      <c r="C220" s="3">
        <v>100</v>
      </c>
      <c r="D220" s="3">
        <v>292572</v>
      </c>
      <c r="E220" s="8" t="s">
        <v>995</v>
      </c>
      <c r="F220" s="3">
        <v>34153238480731</v>
      </c>
      <c r="G220" t="s">
        <v>726</v>
      </c>
      <c r="H220" s="3">
        <v>30534040713</v>
      </c>
      <c r="I220" t="s">
        <v>996</v>
      </c>
      <c r="J220" s="12">
        <v>1800000</v>
      </c>
      <c r="K220" s="12"/>
      <c r="L220" s="12"/>
      <c r="M220" s="12">
        <v>0</v>
      </c>
      <c r="N220" s="12">
        <v>189000</v>
      </c>
      <c r="O220" s="12">
        <v>2106000</v>
      </c>
      <c r="P220" s="27"/>
      <c r="R220" s="12"/>
    </row>
    <row r="221" spans="1:18" x14ac:dyDescent="0.25">
      <c r="A221" t="s">
        <v>729</v>
      </c>
      <c r="B221" t="s">
        <v>724</v>
      </c>
      <c r="C221" s="3">
        <v>100</v>
      </c>
      <c r="D221" s="3">
        <v>292574</v>
      </c>
      <c r="E221" s="8" t="s">
        <v>997</v>
      </c>
      <c r="F221" s="3">
        <v>34153238480731</v>
      </c>
      <c r="G221" t="s">
        <v>726</v>
      </c>
      <c r="H221" s="3">
        <v>30534040713</v>
      </c>
      <c r="I221" t="s">
        <v>996</v>
      </c>
      <c r="J221" s="12">
        <v>900000</v>
      </c>
      <c r="K221" s="12"/>
      <c r="L221" s="12"/>
      <c r="M221" s="12">
        <v>0</v>
      </c>
      <c r="N221" s="12">
        <v>94500</v>
      </c>
      <c r="O221" s="12">
        <v>1053000</v>
      </c>
      <c r="P221" s="27"/>
      <c r="R221" s="12"/>
    </row>
    <row r="222" spans="1:18" x14ac:dyDescent="0.25">
      <c r="A222" t="s">
        <v>797</v>
      </c>
      <c r="B222" t="s">
        <v>741</v>
      </c>
      <c r="C222" s="3">
        <v>300</v>
      </c>
      <c r="D222" s="3">
        <v>90533</v>
      </c>
      <c r="E222" s="8" t="s">
        <v>998</v>
      </c>
      <c r="F222" s="3">
        <v>34153238480731</v>
      </c>
      <c r="G222" t="s">
        <v>726</v>
      </c>
      <c r="H222" s="3">
        <v>30534040713</v>
      </c>
      <c r="I222" t="s">
        <v>996</v>
      </c>
      <c r="J222" s="12">
        <v>450000</v>
      </c>
      <c r="K222" s="12"/>
      <c r="L222" s="12"/>
      <c r="M222" s="12">
        <v>0</v>
      </c>
      <c r="N222" s="12">
        <v>47250</v>
      </c>
      <c r="O222" s="12">
        <v>504000</v>
      </c>
      <c r="P222" s="27"/>
      <c r="R222" s="12"/>
    </row>
    <row r="223" spans="1:18" x14ac:dyDescent="0.25">
      <c r="A223" t="s">
        <v>723</v>
      </c>
      <c r="B223" t="s">
        <v>741</v>
      </c>
      <c r="C223" s="3">
        <v>667</v>
      </c>
      <c r="D223" s="3">
        <v>290371</v>
      </c>
      <c r="E223" s="8" t="s">
        <v>999</v>
      </c>
      <c r="F223" s="3">
        <v>34138886410260</v>
      </c>
      <c r="G223" t="s">
        <v>726</v>
      </c>
      <c r="H223" s="3">
        <v>30500858628</v>
      </c>
      <c r="I223" t="s">
        <v>220</v>
      </c>
      <c r="J223" s="12">
        <v>1200000</v>
      </c>
      <c r="K223" s="12"/>
      <c r="L223" s="12"/>
      <c r="M223" s="12">
        <v>0</v>
      </c>
      <c r="N223" s="12">
        <v>252000</v>
      </c>
      <c r="O223" s="12">
        <v>1488000.02</v>
      </c>
      <c r="P223" s="27"/>
      <c r="R223" s="12"/>
    </row>
    <row r="224" spans="1:18" x14ac:dyDescent="0.25">
      <c r="A224" t="s">
        <v>802</v>
      </c>
      <c r="B224" t="s">
        <v>724</v>
      </c>
      <c r="C224" s="3">
        <v>702</v>
      </c>
      <c r="D224" s="3">
        <v>422328</v>
      </c>
      <c r="E224" s="8" t="s">
        <v>1000</v>
      </c>
      <c r="F224" s="3">
        <v>34158629883098</v>
      </c>
      <c r="G224" t="s">
        <v>726</v>
      </c>
      <c r="H224" s="3">
        <v>30500858628</v>
      </c>
      <c r="I224" t="s">
        <v>220</v>
      </c>
      <c r="J224" s="12">
        <v>807765.81</v>
      </c>
      <c r="K224" s="12"/>
      <c r="L224" s="12"/>
      <c r="M224" s="12">
        <v>0</v>
      </c>
      <c r="N224" s="12">
        <v>169630.82</v>
      </c>
      <c r="O224" s="12">
        <v>1042017.91</v>
      </c>
      <c r="P224" s="27"/>
      <c r="R224" s="12"/>
    </row>
    <row r="225" spans="1:18" x14ac:dyDescent="0.25">
      <c r="A225" t="s">
        <v>802</v>
      </c>
      <c r="B225" t="s">
        <v>724</v>
      </c>
      <c r="C225" s="3">
        <v>702</v>
      </c>
      <c r="D225" s="3">
        <v>422329</v>
      </c>
      <c r="E225" s="8" t="s">
        <v>1001</v>
      </c>
      <c r="F225" s="3">
        <v>34158629883098</v>
      </c>
      <c r="G225" t="s">
        <v>726</v>
      </c>
      <c r="H225" s="3">
        <v>30500858628</v>
      </c>
      <c r="I225" t="s">
        <v>220</v>
      </c>
      <c r="J225" s="12">
        <v>1968859.81</v>
      </c>
      <c r="K225" s="12"/>
      <c r="L225" s="12"/>
      <c r="M225" s="12">
        <v>0</v>
      </c>
      <c r="N225" s="12">
        <v>413460.56</v>
      </c>
      <c r="O225" s="12">
        <v>2539829.11</v>
      </c>
      <c r="P225" s="27"/>
      <c r="R225" s="12"/>
    </row>
    <row r="226" spans="1:18" x14ac:dyDescent="0.25">
      <c r="A226" t="s">
        <v>802</v>
      </c>
      <c r="B226" t="s">
        <v>724</v>
      </c>
      <c r="C226" s="3">
        <v>702</v>
      </c>
      <c r="D226" s="3">
        <v>422330</v>
      </c>
      <c r="E226" s="8" t="s">
        <v>1002</v>
      </c>
      <c r="F226" s="3">
        <v>34158629883098</v>
      </c>
      <c r="G226" t="s">
        <v>726</v>
      </c>
      <c r="H226" s="3">
        <v>30500858628</v>
      </c>
      <c r="I226" t="s">
        <v>220</v>
      </c>
      <c r="J226" s="12">
        <v>301995.86</v>
      </c>
      <c r="K226" s="12"/>
      <c r="L226" s="12"/>
      <c r="M226" s="12">
        <v>0</v>
      </c>
      <c r="N226" s="12">
        <v>63419.13</v>
      </c>
      <c r="O226" s="12">
        <v>389574.69</v>
      </c>
      <c r="P226" s="27"/>
      <c r="R226" s="12"/>
    </row>
    <row r="227" spans="1:18" x14ac:dyDescent="0.25">
      <c r="A227" t="s">
        <v>802</v>
      </c>
      <c r="B227" t="s">
        <v>724</v>
      </c>
      <c r="C227" s="3">
        <v>702</v>
      </c>
      <c r="D227" s="3">
        <v>422331</v>
      </c>
      <c r="E227" s="8" t="s">
        <v>1003</v>
      </c>
      <c r="F227" s="3">
        <v>34158629883098</v>
      </c>
      <c r="G227" t="s">
        <v>726</v>
      </c>
      <c r="H227" s="3">
        <v>30500858628</v>
      </c>
      <c r="I227" t="s">
        <v>220</v>
      </c>
      <c r="J227" s="12">
        <v>1263061.24</v>
      </c>
      <c r="K227" s="12"/>
      <c r="L227" s="12"/>
      <c r="M227" s="12">
        <v>0</v>
      </c>
      <c r="N227" s="12">
        <v>265242.86</v>
      </c>
      <c r="O227" s="12">
        <v>1629348.99</v>
      </c>
      <c r="P227" s="27"/>
      <c r="R227" s="12"/>
    </row>
    <row r="228" spans="1:18" x14ac:dyDescent="0.25">
      <c r="A228" t="s">
        <v>821</v>
      </c>
      <c r="B228" t="s">
        <v>724</v>
      </c>
      <c r="C228" s="3">
        <v>679</v>
      </c>
      <c r="D228" s="3">
        <v>172110</v>
      </c>
      <c r="E228" s="8" t="s">
        <v>1004</v>
      </c>
      <c r="F228" s="3">
        <v>34158629883098</v>
      </c>
      <c r="G228" t="s">
        <v>726</v>
      </c>
      <c r="H228" s="3">
        <v>30500858628</v>
      </c>
      <c r="I228" t="s">
        <v>220</v>
      </c>
      <c r="J228" s="12">
        <v>5798444.8099999996</v>
      </c>
      <c r="K228" s="12"/>
      <c r="L228" s="12"/>
      <c r="M228" s="12">
        <v>0</v>
      </c>
      <c r="N228" s="12">
        <v>1217673.4099999999</v>
      </c>
      <c r="O228" s="12">
        <v>7479993.8799999999</v>
      </c>
      <c r="P228" s="27"/>
      <c r="R228" s="12"/>
    </row>
    <row r="229" spans="1:18" x14ac:dyDescent="0.25">
      <c r="A229" t="s">
        <v>821</v>
      </c>
      <c r="B229" t="s">
        <v>724</v>
      </c>
      <c r="C229" s="3">
        <v>702</v>
      </c>
      <c r="D229" s="3">
        <v>422913</v>
      </c>
      <c r="E229" s="8" t="s">
        <v>1005</v>
      </c>
      <c r="F229" s="3">
        <v>34158629883098</v>
      </c>
      <c r="G229" t="s">
        <v>726</v>
      </c>
      <c r="H229" s="3">
        <v>30500858628</v>
      </c>
      <c r="I229" t="s">
        <v>220</v>
      </c>
      <c r="J229" s="12">
        <v>9314568.8100000005</v>
      </c>
      <c r="K229" s="12"/>
      <c r="L229" s="12"/>
      <c r="M229" s="12">
        <v>0</v>
      </c>
      <c r="N229" s="12">
        <v>1956059.45</v>
      </c>
      <c r="O229" s="12">
        <v>12015793.77</v>
      </c>
      <c r="P229" s="27"/>
      <c r="R229" s="12"/>
    </row>
    <row r="230" spans="1:18" x14ac:dyDescent="0.25">
      <c r="A230" t="s">
        <v>804</v>
      </c>
      <c r="B230" t="s">
        <v>724</v>
      </c>
      <c r="C230" s="3">
        <v>9</v>
      </c>
      <c r="D230" s="3">
        <v>16543</v>
      </c>
      <c r="E230" s="8" t="s">
        <v>1006</v>
      </c>
      <c r="F230" s="3">
        <v>74159672330114</v>
      </c>
      <c r="G230" t="s">
        <v>726</v>
      </c>
      <c r="H230" s="3">
        <v>30525346389</v>
      </c>
      <c r="I230" t="s">
        <v>1007</v>
      </c>
      <c r="J230" s="12">
        <v>2859028.24</v>
      </c>
      <c r="K230" s="12">
        <v>0</v>
      </c>
      <c r="L230" s="12">
        <v>0</v>
      </c>
      <c r="M230" s="12">
        <v>0</v>
      </c>
      <c r="N230" s="12">
        <v>600395.93000000005</v>
      </c>
      <c r="O230" s="12">
        <v>3602375.56</v>
      </c>
      <c r="P230" s="27"/>
      <c r="R230" s="12"/>
    </row>
    <row r="231" spans="1:18" x14ac:dyDescent="0.25">
      <c r="A231" t="s">
        <v>827</v>
      </c>
      <c r="B231" t="s">
        <v>724</v>
      </c>
      <c r="C231" s="3">
        <v>394</v>
      </c>
      <c r="D231" s="3">
        <v>369991</v>
      </c>
      <c r="E231" s="8" t="s">
        <v>1008</v>
      </c>
      <c r="F231" s="3">
        <v>74170812003428</v>
      </c>
      <c r="G231" t="s">
        <v>726</v>
      </c>
      <c r="H231" s="3">
        <v>30546764040</v>
      </c>
      <c r="I231" t="s">
        <v>477</v>
      </c>
      <c r="J231" s="12">
        <v>1605572.67</v>
      </c>
      <c r="K231" s="12">
        <v>0</v>
      </c>
      <c r="L231" s="12">
        <v>0</v>
      </c>
      <c r="M231" s="12">
        <v>0</v>
      </c>
      <c r="N231" s="12">
        <v>337170.26</v>
      </c>
      <c r="O231" s="12">
        <v>2071188.7</v>
      </c>
      <c r="P231" s="27"/>
      <c r="R231" s="12"/>
    </row>
    <row r="232" spans="1:18" x14ac:dyDescent="0.25">
      <c r="A232" t="s">
        <v>885</v>
      </c>
      <c r="B232" t="s">
        <v>724</v>
      </c>
      <c r="C232" s="3">
        <v>1</v>
      </c>
      <c r="D232" s="3">
        <v>400</v>
      </c>
      <c r="E232" s="8" t="s">
        <v>1009</v>
      </c>
      <c r="F232" s="3">
        <v>74151785607048</v>
      </c>
      <c r="G232" t="s">
        <v>726</v>
      </c>
      <c r="H232" s="3">
        <v>30717742121</v>
      </c>
      <c r="I232" t="s">
        <v>302</v>
      </c>
      <c r="J232" s="12">
        <v>11880000</v>
      </c>
      <c r="K232" s="12">
        <v>0</v>
      </c>
      <c r="L232" s="12">
        <v>0</v>
      </c>
      <c r="M232" s="12">
        <v>0</v>
      </c>
      <c r="N232" s="12">
        <v>2494800</v>
      </c>
      <c r="O232" s="12">
        <v>14374800</v>
      </c>
      <c r="P232" s="27"/>
      <c r="R232" s="12"/>
    </row>
    <row r="233" spans="1:18" x14ac:dyDescent="0.25">
      <c r="A233" t="s">
        <v>731</v>
      </c>
      <c r="B233" t="s">
        <v>724</v>
      </c>
      <c r="C233" s="3">
        <v>5</v>
      </c>
      <c r="D233" s="3">
        <v>3017938</v>
      </c>
      <c r="E233" s="8" t="s">
        <v>1010</v>
      </c>
      <c r="F233" s="3">
        <v>74175663044505</v>
      </c>
      <c r="G233" t="s">
        <v>726</v>
      </c>
      <c r="H233" s="3">
        <v>30702652975</v>
      </c>
      <c r="I233" t="s">
        <v>457</v>
      </c>
      <c r="J233" s="12">
        <v>3895.04</v>
      </c>
      <c r="K233" s="12">
        <v>0</v>
      </c>
      <c r="L233" s="12">
        <v>0</v>
      </c>
      <c r="M233" s="12">
        <v>0</v>
      </c>
      <c r="N233" s="12">
        <v>817.96</v>
      </c>
      <c r="O233" s="12">
        <v>4829.8500000000004</v>
      </c>
      <c r="P233" s="27"/>
      <c r="R233" s="12"/>
    </row>
    <row r="234" spans="1:18" x14ac:dyDescent="0.25">
      <c r="A234" t="s">
        <v>731</v>
      </c>
      <c r="B234" t="s">
        <v>724</v>
      </c>
      <c r="C234" s="3">
        <v>5</v>
      </c>
      <c r="D234" s="3">
        <v>3017939</v>
      </c>
      <c r="E234" s="8" t="s">
        <v>1011</v>
      </c>
      <c r="F234" s="3">
        <v>74175663044623</v>
      </c>
      <c r="G234" t="s">
        <v>726</v>
      </c>
      <c r="H234" s="3">
        <v>30702652975</v>
      </c>
      <c r="I234" t="s">
        <v>457</v>
      </c>
      <c r="J234" s="12">
        <v>213240</v>
      </c>
      <c r="K234" s="12">
        <v>0</v>
      </c>
      <c r="L234" s="12">
        <v>0</v>
      </c>
      <c r="M234" s="12">
        <v>0</v>
      </c>
      <c r="N234" s="12">
        <v>44780.4</v>
      </c>
      <c r="O234" s="12">
        <v>264417.59999999998</v>
      </c>
      <c r="P234" s="27"/>
      <c r="R234" s="12"/>
    </row>
    <row r="235" spans="1:18" x14ac:dyDescent="0.25">
      <c r="A235" t="s">
        <v>723</v>
      </c>
      <c r="B235" t="s">
        <v>724</v>
      </c>
      <c r="C235" s="3">
        <v>3</v>
      </c>
      <c r="D235" s="3">
        <v>46892</v>
      </c>
      <c r="E235" s="8" t="s">
        <v>1012</v>
      </c>
      <c r="F235" s="3">
        <v>74154128074720</v>
      </c>
      <c r="G235" t="s">
        <v>726</v>
      </c>
      <c r="H235" s="3">
        <v>30711497974</v>
      </c>
      <c r="I235" t="s">
        <v>203</v>
      </c>
      <c r="J235" s="12">
        <v>1102391.25</v>
      </c>
      <c r="K235" s="12">
        <v>0</v>
      </c>
      <c r="L235" s="12">
        <v>0</v>
      </c>
      <c r="M235" s="12">
        <v>0</v>
      </c>
      <c r="N235" s="12">
        <v>231502.16</v>
      </c>
      <c r="O235" s="12">
        <v>1333893.4099999999</v>
      </c>
      <c r="P235" s="27"/>
      <c r="R235" s="12"/>
    </row>
    <row r="236" spans="1:18" x14ac:dyDescent="0.25">
      <c r="A236" t="s">
        <v>864</v>
      </c>
      <c r="B236" t="s">
        <v>724</v>
      </c>
      <c r="C236" s="3">
        <v>3</v>
      </c>
      <c r="D236" s="3">
        <v>47376</v>
      </c>
      <c r="E236" s="8" t="s">
        <v>1013</v>
      </c>
      <c r="F236" s="3">
        <v>74164920559111</v>
      </c>
      <c r="G236" t="s">
        <v>726</v>
      </c>
      <c r="H236" s="3">
        <v>30711497974</v>
      </c>
      <c r="I236" t="s">
        <v>203</v>
      </c>
      <c r="J236" s="12">
        <v>453580</v>
      </c>
      <c r="K236" s="12">
        <v>0</v>
      </c>
      <c r="L236" s="12">
        <v>0</v>
      </c>
      <c r="M236" s="12">
        <v>0</v>
      </c>
      <c r="N236" s="12">
        <v>95251.8</v>
      </c>
      <c r="O236" s="12">
        <v>548831.80000000005</v>
      </c>
      <c r="P236" s="27"/>
      <c r="R236" s="12"/>
    </row>
    <row r="237" spans="1:18" x14ac:dyDescent="0.25">
      <c r="A237" t="s">
        <v>731</v>
      </c>
      <c r="B237" t="s">
        <v>724</v>
      </c>
      <c r="C237" s="3">
        <v>3</v>
      </c>
      <c r="D237" s="3">
        <v>47728</v>
      </c>
      <c r="E237" s="8" t="s">
        <v>1014</v>
      </c>
      <c r="F237" s="3">
        <v>74174624474937</v>
      </c>
      <c r="G237" t="s">
        <v>726</v>
      </c>
      <c r="H237" s="3">
        <v>30711497974</v>
      </c>
      <c r="I237" t="s">
        <v>203</v>
      </c>
      <c r="J237" s="12">
        <v>69197.5</v>
      </c>
      <c r="K237" s="12">
        <v>0</v>
      </c>
      <c r="L237" s="12">
        <v>0</v>
      </c>
      <c r="M237" s="12">
        <v>0</v>
      </c>
      <c r="N237" s="12">
        <v>14531.48</v>
      </c>
      <c r="O237" s="12">
        <v>83728.98</v>
      </c>
      <c r="P237" s="27"/>
      <c r="R237" s="12"/>
    </row>
    <row r="238" spans="1:18" x14ac:dyDescent="0.25">
      <c r="A238" t="s">
        <v>731</v>
      </c>
      <c r="B238" t="s">
        <v>724</v>
      </c>
      <c r="C238" s="3">
        <v>3</v>
      </c>
      <c r="D238" s="3">
        <v>47723</v>
      </c>
      <c r="E238" s="8" t="s">
        <v>1015</v>
      </c>
      <c r="F238" s="3">
        <v>74174623504490</v>
      </c>
      <c r="G238" t="s">
        <v>726</v>
      </c>
      <c r="H238" s="3">
        <v>30711497974</v>
      </c>
      <c r="I238" t="s">
        <v>203</v>
      </c>
      <c r="J238" s="12">
        <v>57188</v>
      </c>
      <c r="K238" s="12">
        <v>0</v>
      </c>
      <c r="L238" s="12">
        <v>0</v>
      </c>
      <c r="M238" s="12">
        <v>0</v>
      </c>
      <c r="N238" s="12">
        <v>12009.48</v>
      </c>
      <c r="O238" s="16">
        <v>69197.48</v>
      </c>
      <c r="P238" s="27"/>
      <c r="R238" s="12"/>
    </row>
    <row r="239" spans="1:18" x14ac:dyDescent="0.25">
      <c r="A239" s="9" t="s">
        <v>731</v>
      </c>
      <c r="B239" s="9" t="s">
        <v>741</v>
      </c>
      <c r="C239" s="10">
        <v>3</v>
      </c>
      <c r="D239" s="10">
        <v>5468</v>
      </c>
      <c r="E239" s="9" t="s">
        <v>1016</v>
      </c>
      <c r="F239" s="10">
        <v>74174623695398</v>
      </c>
      <c r="G239" s="9" t="s">
        <v>726</v>
      </c>
      <c r="H239" s="10">
        <v>30711497974</v>
      </c>
      <c r="I239" s="9" t="s">
        <v>203</v>
      </c>
      <c r="J239" s="13">
        <v>57188</v>
      </c>
      <c r="K239" s="13">
        <v>0</v>
      </c>
      <c r="L239" s="13">
        <v>0</v>
      </c>
      <c r="M239" s="13">
        <v>0</v>
      </c>
      <c r="N239" s="13">
        <v>12009.48</v>
      </c>
      <c r="O239" s="16">
        <v>69197.48</v>
      </c>
      <c r="P239" s="27"/>
      <c r="R239" s="12"/>
    </row>
    <row r="240" spans="1:18" x14ac:dyDescent="0.25">
      <c r="A240" t="s">
        <v>737</v>
      </c>
      <c r="B240" t="s">
        <v>724</v>
      </c>
      <c r="C240" s="3">
        <v>21</v>
      </c>
      <c r="D240" s="3">
        <v>1111527</v>
      </c>
      <c r="E240" s="8" t="s">
        <v>1017</v>
      </c>
      <c r="F240" s="3">
        <v>74149869315518</v>
      </c>
      <c r="G240" t="s">
        <v>726</v>
      </c>
      <c r="H240" s="3">
        <v>30550245309</v>
      </c>
      <c r="I240" t="s">
        <v>1018</v>
      </c>
      <c r="J240" s="12">
        <v>2440034.2999999998</v>
      </c>
      <c r="K240" s="12">
        <v>0</v>
      </c>
      <c r="L240" s="12">
        <v>0</v>
      </c>
      <c r="M240" s="12">
        <v>0</v>
      </c>
      <c r="N240" s="12">
        <v>272525.3</v>
      </c>
      <c r="O240" s="12">
        <v>2834561.32</v>
      </c>
      <c r="P240" s="27"/>
      <c r="R240" s="12"/>
    </row>
    <row r="241" spans="1:18" x14ac:dyDescent="0.25">
      <c r="A241" t="s">
        <v>970</v>
      </c>
      <c r="B241" t="s">
        <v>724</v>
      </c>
      <c r="C241" s="3">
        <v>7294</v>
      </c>
      <c r="D241" s="3">
        <v>28672</v>
      </c>
      <c r="E241" s="8" t="s">
        <v>1019</v>
      </c>
      <c r="F241" s="3">
        <v>74145007494407</v>
      </c>
      <c r="G241" t="s">
        <v>726</v>
      </c>
      <c r="H241" s="3">
        <v>30678774495</v>
      </c>
      <c r="I241" t="s">
        <v>1020</v>
      </c>
      <c r="J241" s="12">
        <v>42288.6</v>
      </c>
      <c r="K241" s="12">
        <v>0</v>
      </c>
      <c r="L241" s="12">
        <v>0</v>
      </c>
      <c r="M241" s="12">
        <v>0</v>
      </c>
      <c r="N241" s="12">
        <v>8880.61</v>
      </c>
      <c r="O241" s="12">
        <v>57989.93</v>
      </c>
      <c r="P241" s="27"/>
      <c r="R241" s="12"/>
    </row>
    <row r="242" spans="1:18" x14ac:dyDescent="0.25">
      <c r="A242" t="s">
        <v>885</v>
      </c>
      <c r="B242" t="s">
        <v>724</v>
      </c>
      <c r="C242" s="3">
        <v>7298</v>
      </c>
      <c r="D242" s="3">
        <v>29663</v>
      </c>
      <c r="E242" s="8" t="s">
        <v>1021</v>
      </c>
      <c r="F242" s="3">
        <v>74155772417334</v>
      </c>
      <c r="G242" t="s">
        <v>726</v>
      </c>
      <c r="H242" s="3">
        <v>30678774495</v>
      </c>
      <c r="I242" t="s">
        <v>1020</v>
      </c>
      <c r="J242" s="12">
        <v>45980.79</v>
      </c>
      <c r="K242" s="12">
        <v>0</v>
      </c>
      <c r="L242" s="12">
        <v>0</v>
      </c>
      <c r="M242" s="12">
        <v>0</v>
      </c>
      <c r="N242" s="12">
        <v>9655.9699999999993</v>
      </c>
      <c r="O242" s="12">
        <v>63052.98</v>
      </c>
      <c r="P242" s="27"/>
      <c r="R242" s="12"/>
    </row>
    <row r="243" spans="1:18" x14ac:dyDescent="0.25">
      <c r="A243" t="s">
        <v>830</v>
      </c>
      <c r="B243" t="s">
        <v>724</v>
      </c>
      <c r="C243" s="3">
        <v>7008</v>
      </c>
      <c r="D243" s="3">
        <v>22666</v>
      </c>
      <c r="E243" s="8" t="s">
        <v>1022</v>
      </c>
      <c r="F243" s="3">
        <v>74185379582507</v>
      </c>
      <c r="G243" t="s">
        <v>726</v>
      </c>
      <c r="H243" s="3">
        <v>30678774495</v>
      </c>
      <c r="I243" t="s">
        <v>1020</v>
      </c>
      <c r="J243" s="12">
        <v>69026.789999999994</v>
      </c>
      <c r="K243" s="12">
        <v>0</v>
      </c>
      <c r="L243" s="12">
        <v>0</v>
      </c>
      <c r="M243" s="12">
        <v>0</v>
      </c>
      <c r="N243" s="12">
        <v>14495.62</v>
      </c>
      <c r="O243" s="12">
        <v>91757.39</v>
      </c>
      <c r="P243" s="27"/>
      <c r="R243" s="12"/>
    </row>
    <row r="244" spans="1:18" x14ac:dyDescent="0.25">
      <c r="A244" t="s">
        <v>740</v>
      </c>
      <c r="B244" t="s">
        <v>724</v>
      </c>
      <c r="C244" s="3">
        <v>8117</v>
      </c>
      <c r="D244" s="3">
        <v>45496</v>
      </c>
      <c r="E244" s="8" t="s">
        <v>1023</v>
      </c>
      <c r="F244" s="3">
        <v>34136228723484</v>
      </c>
      <c r="G244" t="s">
        <v>726</v>
      </c>
      <c r="H244" s="3">
        <v>30695542476</v>
      </c>
      <c r="I244" t="s">
        <v>1024</v>
      </c>
      <c r="J244" s="12">
        <v>177933.1</v>
      </c>
      <c r="K244" s="12">
        <v>0</v>
      </c>
      <c r="L244" s="12">
        <v>0</v>
      </c>
      <c r="M244" s="12">
        <v>0</v>
      </c>
      <c r="N244" s="12">
        <v>37365.949999999997</v>
      </c>
      <c r="O244" s="12">
        <v>245297.61</v>
      </c>
      <c r="P244" s="27"/>
      <c r="R244" s="12"/>
    </row>
    <row r="245" spans="1:18" x14ac:dyDescent="0.25">
      <c r="A245" t="s">
        <v>766</v>
      </c>
      <c r="B245" t="s">
        <v>724</v>
      </c>
      <c r="C245" s="3">
        <v>8117</v>
      </c>
      <c r="D245" s="3">
        <v>46361</v>
      </c>
      <c r="E245" s="8" t="s">
        <v>1025</v>
      </c>
      <c r="F245" s="3">
        <v>34136228723484</v>
      </c>
      <c r="G245" t="s">
        <v>726</v>
      </c>
      <c r="H245" s="3">
        <v>30695542476</v>
      </c>
      <c r="I245" t="s">
        <v>1024</v>
      </c>
      <c r="J245" s="12">
        <v>103532.29</v>
      </c>
      <c r="K245" s="12">
        <v>0</v>
      </c>
      <c r="L245" s="12">
        <v>0</v>
      </c>
      <c r="M245" s="12">
        <v>0</v>
      </c>
      <c r="N245" s="12">
        <v>21741.78</v>
      </c>
      <c r="O245" s="12">
        <v>142708.85</v>
      </c>
      <c r="P245" s="27"/>
      <c r="R245" s="12"/>
    </row>
    <row r="246" spans="1:18" x14ac:dyDescent="0.25">
      <c r="A246" t="s">
        <v>970</v>
      </c>
      <c r="B246" t="s">
        <v>724</v>
      </c>
      <c r="C246" s="3">
        <v>14</v>
      </c>
      <c r="D246" s="3">
        <v>1495</v>
      </c>
      <c r="E246" s="8" t="s">
        <v>1026</v>
      </c>
      <c r="F246" s="3">
        <v>74140977739794</v>
      </c>
      <c r="G246" t="s">
        <v>726</v>
      </c>
      <c r="H246" s="3">
        <v>20936208690</v>
      </c>
      <c r="I246" t="s">
        <v>1027</v>
      </c>
      <c r="J246" s="12">
        <v>29421.49</v>
      </c>
      <c r="K246" s="12">
        <v>0</v>
      </c>
      <c r="L246" s="12">
        <v>0</v>
      </c>
      <c r="M246" s="12">
        <v>0</v>
      </c>
      <c r="N246" s="12">
        <v>6178.51</v>
      </c>
      <c r="O246" s="12">
        <v>35600</v>
      </c>
      <c r="P246" s="27"/>
      <c r="R246" s="12"/>
    </row>
    <row r="247" spans="1:18" x14ac:dyDescent="0.25">
      <c r="A247" t="s">
        <v>873</v>
      </c>
      <c r="B247" t="s">
        <v>744</v>
      </c>
      <c r="C247" s="3">
        <v>7</v>
      </c>
      <c r="D247" s="3">
        <v>70</v>
      </c>
      <c r="E247" s="8" t="s">
        <v>1028</v>
      </c>
      <c r="F247" s="3">
        <v>74158382537351</v>
      </c>
      <c r="G247" t="s">
        <v>726</v>
      </c>
      <c r="H247" s="3">
        <v>27316244918</v>
      </c>
      <c r="I247" t="s">
        <v>259</v>
      </c>
      <c r="J247" s="12"/>
      <c r="K247" s="12"/>
      <c r="L247" s="12"/>
      <c r="M247" s="12">
        <v>0</v>
      </c>
      <c r="N247" s="12"/>
      <c r="O247" s="12">
        <v>120000</v>
      </c>
      <c r="P247" s="27"/>
      <c r="R247" s="12"/>
    </row>
    <row r="248" spans="1:18" x14ac:dyDescent="0.25">
      <c r="A248" t="s">
        <v>835</v>
      </c>
      <c r="B248" t="s">
        <v>744</v>
      </c>
      <c r="C248" s="3">
        <v>7</v>
      </c>
      <c r="D248" s="3">
        <v>71</v>
      </c>
      <c r="E248" s="8" t="s">
        <v>1029</v>
      </c>
      <c r="F248" s="3">
        <v>74178877984386</v>
      </c>
      <c r="G248" t="s">
        <v>726</v>
      </c>
      <c r="H248" s="3">
        <v>27316244918</v>
      </c>
      <c r="I248" t="s">
        <v>259</v>
      </c>
      <c r="J248" s="12"/>
      <c r="K248" s="12"/>
      <c r="L248" s="12"/>
      <c r="M248" s="12">
        <v>0</v>
      </c>
      <c r="N248" s="12"/>
      <c r="O248" s="12">
        <v>100000</v>
      </c>
      <c r="P248" s="27"/>
      <c r="R248" s="12"/>
    </row>
    <row r="249" spans="1:18" x14ac:dyDescent="0.25">
      <c r="A249" t="s">
        <v>747</v>
      </c>
      <c r="B249" t="s">
        <v>744</v>
      </c>
      <c r="C249" s="3">
        <v>7</v>
      </c>
      <c r="D249" s="3">
        <v>73</v>
      </c>
      <c r="E249" s="8" t="s">
        <v>1030</v>
      </c>
      <c r="F249" s="3">
        <v>74188479261219</v>
      </c>
      <c r="G249" t="s">
        <v>726</v>
      </c>
      <c r="H249" s="3">
        <v>27316244918</v>
      </c>
      <c r="I249" t="s">
        <v>259</v>
      </c>
      <c r="J249" s="12"/>
      <c r="K249" s="12"/>
      <c r="L249" s="12"/>
      <c r="M249" s="12">
        <v>0</v>
      </c>
      <c r="N249" s="12"/>
      <c r="O249" s="12">
        <v>100000</v>
      </c>
      <c r="P249" s="27"/>
      <c r="R249" s="12"/>
    </row>
    <row r="250" spans="1:18" x14ac:dyDescent="0.25">
      <c r="A250" t="s">
        <v>747</v>
      </c>
      <c r="B250" t="s">
        <v>744</v>
      </c>
      <c r="C250" s="3">
        <v>7</v>
      </c>
      <c r="D250" s="3">
        <v>72</v>
      </c>
      <c r="E250" s="8" t="s">
        <v>1031</v>
      </c>
      <c r="F250" s="3">
        <v>74188478875924</v>
      </c>
      <c r="G250" t="s">
        <v>726</v>
      </c>
      <c r="H250" s="3">
        <v>27316244918</v>
      </c>
      <c r="I250" t="s">
        <v>259</v>
      </c>
      <c r="J250" s="12"/>
      <c r="K250" s="12"/>
      <c r="L250" s="12"/>
      <c r="M250" s="12">
        <v>0</v>
      </c>
      <c r="N250" s="12"/>
      <c r="O250" s="12">
        <v>250000</v>
      </c>
      <c r="P250" s="27"/>
      <c r="R250" s="12"/>
    </row>
    <row r="251" spans="1:18" x14ac:dyDescent="0.25">
      <c r="A251" t="s">
        <v>873</v>
      </c>
      <c r="B251" t="s">
        <v>724</v>
      </c>
      <c r="C251" s="3">
        <v>18</v>
      </c>
      <c r="D251" s="3">
        <v>5665</v>
      </c>
      <c r="E251" s="8" t="s">
        <v>1032</v>
      </c>
      <c r="F251" s="3">
        <v>74153423897842</v>
      </c>
      <c r="G251" t="s">
        <v>726</v>
      </c>
      <c r="H251" s="3">
        <v>30624419193</v>
      </c>
      <c r="I251" t="s">
        <v>255</v>
      </c>
      <c r="J251" s="12">
        <v>2626800</v>
      </c>
      <c r="K251" s="12">
        <v>0</v>
      </c>
      <c r="L251" s="12">
        <v>0</v>
      </c>
      <c r="M251" s="12">
        <v>0</v>
      </c>
      <c r="N251" s="12">
        <v>551628</v>
      </c>
      <c r="O251" s="12">
        <v>3309768</v>
      </c>
      <c r="P251" s="27"/>
      <c r="R251" s="12"/>
    </row>
    <row r="252" spans="1:18" x14ac:dyDescent="0.25">
      <c r="A252" t="s">
        <v>747</v>
      </c>
      <c r="B252" t="s">
        <v>724</v>
      </c>
      <c r="C252" s="3">
        <v>18</v>
      </c>
      <c r="D252" s="3">
        <v>5701</v>
      </c>
      <c r="E252" s="8" t="s">
        <v>1033</v>
      </c>
      <c r="F252" s="3">
        <v>74183519921948</v>
      </c>
      <c r="G252" t="s">
        <v>726</v>
      </c>
      <c r="H252" s="3">
        <v>30624419193</v>
      </c>
      <c r="I252" t="s">
        <v>255</v>
      </c>
      <c r="J252" s="12">
        <v>10800000</v>
      </c>
      <c r="K252" s="12">
        <v>0</v>
      </c>
      <c r="L252" s="12">
        <v>0</v>
      </c>
      <c r="M252" s="12">
        <v>0</v>
      </c>
      <c r="N252" s="12">
        <v>2268000</v>
      </c>
      <c r="O252" s="12">
        <v>13608000</v>
      </c>
      <c r="P252" s="27"/>
      <c r="R252" s="12"/>
    </row>
    <row r="253" spans="1:18" x14ac:dyDescent="0.25">
      <c r="A253" t="s">
        <v>735</v>
      </c>
      <c r="B253" t="s">
        <v>724</v>
      </c>
      <c r="C253" s="3">
        <v>3</v>
      </c>
      <c r="D253" s="3">
        <v>99387</v>
      </c>
      <c r="E253" s="8" t="s">
        <v>1034</v>
      </c>
      <c r="F253" s="3">
        <v>74148708859278</v>
      </c>
      <c r="G253" t="s">
        <v>726</v>
      </c>
      <c r="H253" s="3">
        <v>30703957478</v>
      </c>
      <c r="I253" t="s">
        <v>133</v>
      </c>
      <c r="J253" s="12">
        <v>77132.23</v>
      </c>
      <c r="K253" s="12">
        <v>0</v>
      </c>
      <c r="L253" s="12">
        <v>0</v>
      </c>
      <c r="M253" s="12">
        <v>0</v>
      </c>
      <c r="N253" s="12">
        <v>16197.77</v>
      </c>
      <c r="O253" s="12">
        <v>94872.639999999999</v>
      </c>
      <c r="P253" s="27"/>
      <c r="R253" s="12"/>
    </row>
    <row r="254" spans="1:18" x14ac:dyDescent="0.25">
      <c r="A254" t="s">
        <v>802</v>
      </c>
      <c r="B254" t="s">
        <v>724</v>
      </c>
      <c r="C254" s="3">
        <v>3</v>
      </c>
      <c r="D254" s="3">
        <v>99962</v>
      </c>
      <c r="E254" s="8" t="s">
        <v>1035</v>
      </c>
      <c r="F254" s="3">
        <v>74178831725570</v>
      </c>
      <c r="G254" t="s">
        <v>726</v>
      </c>
      <c r="H254" s="3">
        <v>30703957478</v>
      </c>
      <c r="I254" t="s">
        <v>133</v>
      </c>
      <c r="J254" s="12">
        <v>514490.49</v>
      </c>
      <c r="K254" s="12">
        <v>0</v>
      </c>
      <c r="L254" s="12">
        <v>0</v>
      </c>
      <c r="M254" s="12">
        <v>0</v>
      </c>
      <c r="N254" s="12">
        <v>108043</v>
      </c>
      <c r="O254" s="12">
        <v>632823.30000000005</v>
      </c>
      <c r="P254" s="27"/>
      <c r="R254" s="12"/>
    </row>
    <row r="255" spans="1:18" x14ac:dyDescent="0.25">
      <c r="A255" t="s">
        <v>802</v>
      </c>
      <c r="B255" t="s">
        <v>724</v>
      </c>
      <c r="C255" s="3">
        <v>3</v>
      </c>
      <c r="D255" s="3">
        <v>99961</v>
      </c>
      <c r="E255" s="8" t="s">
        <v>1036</v>
      </c>
      <c r="F255" s="3">
        <v>74178831591141</v>
      </c>
      <c r="G255" t="s">
        <v>726</v>
      </c>
      <c r="H255" s="3">
        <v>30703957478</v>
      </c>
      <c r="I255" t="s">
        <v>133</v>
      </c>
      <c r="J255" s="12">
        <v>1621605.34</v>
      </c>
      <c r="K255" s="12">
        <v>0</v>
      </c>
      <c r="L255" s="12">
        <v>0</v>
      </c>
      <c r="M255" s="12">
        <v>0</v>
      </c>
      <c r="N255" s="12">
        <v>340537.12</v>
      </c>
      <c r="O255" s="12">
        <v>1994574.57</v>
      </c>
      <c r="P255" s="27"/>
      <c r="R255" s="12"/>
    </row>
    <row r="256" spans="1:18" x14ac:dyDescent="0.25">
      <c r="A256" t="s">
        <v>802</v>
      </c>
      <c r="B256" t="s">
        <v>724</v>
      </c>
      <c r="C256" s="3">
        <v>3</v>
      </c>
      <c r="D256" s="3">
        <v>99960</v>
      </c>
      <c r="E256" s="8" t="s">
        <v>1037</v>
      </c>
      <c r="F256" s="3">
        <v>74178831265637</v>
      </c>
      <c r="G256" t="s">
        <v>726</v>
      </c>
      <c r="H256" s="3">
        <v>30703957478</v>
      </c>
      <c r="I256" t="s">
        <v>133</v>
      </c>
      <c r="J256" s="12">
        <v>2102836.5099999998</v>
      </c>
      <c r="K256" s="12">
        <v>0</v>
      </c>
      <c r="L256" s="12">
        <v>0</v>
      </c>
      <c r="M256" s="12">
        <v>0</v>
      </c>
      <c r="N256" s="12">
        <v>441595.67</v>
      </c>
      <c r="O256" s="12">
        <v>2586488.91</v>
      </c>
      <c r="P256" s="27"/>
      <c r="R256" s="12"/>
    </row>
    <row r="257" spans="1:18" x14ac:dyDescent="0.25">
      <c r="A257" t="s">
        <v>773</v>
      </c>
      <c r="B257" t="s">
        <v>724</v>
      </c>
      <c r="C257" s="3">
        <v>3</v>
      </c>
      <c r="D257" s="3">
        <v>100028</v>
      </c>
      <c r="E257" s="8" t="s">
        <v>1038</v>
      </c>
      <c r="F257" s="3">
        <v>74178995562044</v>
      </c>
      <c r="G257" t="s">
        <v>726</v>
      </c>
      <c r="H257" s="3">
        <v>30703957478</v>
      </c>
      <c r="I257" t="s">
        <v>133</v>
      </c>
      <c r="J257" s="12">
        <v>1846328.47</v>
      </c>
      <c r="K257" s="12">
        <v>0</v>
      </c>
      <c r="L257" s="12">
        <v>0</v>
      </c>
      <c r="M257" s="12">
        <v>0</v>
      </c>
      <c r="N257" s="12">
        <v>387728.98</v>
      </c>
      <c r="O257" s="12">
        <v>2270984.02</v>
      </c>
      <c r="P257" s="27"/>
      <c r="R257" s="12"/>
    </row>
    <row r="258" spans="1:18" x14ac:dyDescent="0.25">
      <c r="A258" t="s">
        <v>735</v>
      </c>
      <c r="B258" t="s">
        <v>724</v>
      </c>
      <c r="C258" s="3">
        <v>1</v>
      </c>
      <c r="D258" s="3">
        <v>2310</v>
      </c>
      <c r="E258" s="8" t="s">
        <v>1039</v>
      </c>
      <c r="F258" s="3">
        <v>74149734010597</v>
      </c>
      <c r="G258" t="s">
        <v>726</v>
      </c>
      <c r="H258" s="3">
        <v>30716161109</v>
      </c>
      <c r="I258" t="s">
        <v>127</v>
      </c>
      <c r="J258" s="12">
        <v>2297670</v>
      </c>
      <c r="K258" s="12">
        <v>0</v>
      </c>
      <c r="L258" s="12">
        <v>0</v>
      </c>
      <c r="M258" s="12">
        <v>0</v>
      </c>
      <c r="N258" s="12">
        <v>482510.7</v>
      </c>
      <c r="O258" s="12">
        <v>2780180.7</v>
      </c>
      <c r="P258" s="27"/>
      <c r="R258" s="12"/>
    </row>
    <row r="259" spans="1:18" x14ac:dyDescent="0.25">
      <c r="A259" t="s">
        <v>731</v>
      </c>
      <c r="B259" t="s">
        <v>724</v>
      </c>
      <c r="C259" s="3">
        <v>1</v>
      </c>
      <c r="D259" s="3">
        <v>2334</v>
      </c>
      <c r="E259" s="8" t="s">
        <v>1040</v>
      </c>
      <c r="F259" s="3">
        <v>74179666085671</v>
      </c>
      <c r="G259" t="s">
        <v>726</v>
      </c>
      <c r="H259" s="3">
        <v>30716161109</v>
      </c>
      <c r="I259" t="s">
        <v>127</v>
      </c>
      <c r="J259" s="12">
        <v>1023705</v>
      </c>
      <c r="K259" s="12">
        <v>0</v>
      </c>
      <c r="L259" s="12">
        <v>0</v>
      </c>
      <c r="M259" s="12">
        <v>0</v>
      </c>
      <c r="N259" s="12">
        <v>214978.05</v>
      </c>
      <c r="O259" s="12">
        <v>1238683.05</v>
      </c>
      <c r="P259" s="27"/>
      <c r="R259" s="12"/>
    </row>
    <row r="260" spans="1:18" x14ac:dyDescent="0.25">
      <c r="A260" t="s">
        <v>830</v>
      </c>
      <c r="B260" t="s">
        <v>724</v>
      </c>
      <c r="C260" s="3">
        <v>32</v>
      </c>
      <c r="D260" s="3">
        <v>81935</v>
      </c>
      <c r="E260" s="8" t="s">
        <v>1041</v>
      </c>
      <c r="F260" s="3">
        <v>74189387572606</v>
      </c>
      <c r="G260" t="s">
        <v>726</v>
      </c>
      <c r="H260" s="3">
        <v>30501214279</v>
      </c>
      <c r="I260" t="s">
        <v>548</v>
      </c>
      <c r="J260" s="12">
        <v>601644.81000000006</v>
      </c>
      <c r="K260" s="12">
        <v>0</v>
      </c>
      <c r="L260" s="12">
        <v>0</v>
      </c>
      <c r="M260" s="12">
        <v>0</v>
      </c>
      <c r="N260" s="12">
        <v>126345.41</v>
      </c>
      <c r="O260" s="12">
        <v>776121.81</v>
      </c>
      <c r="P260" s="27"/>
      <c r="R260" s="12"/>
    </row>
    <row r="261" spans="1:18" x14ac:dyDescent="0.25">
      <c r="A261" t="s">
        <v>723</v>
      </c>
      <c r="B261" t="s">
        <v>724</v>
      </c>
      <c r="C261" s="3">
        <v>3</v>
      </c>
      <c r="D261" s="3">
        <v>19368</v>
      </c>
      <c r="E261" s="8" t="s">
        <v>1042</v>
      </c>
      <c r="F261" s="3">
        <v>74157169174764</v>
      </c>
      <c r="G261" t="s">
        <v>726</v>
      </c>
      <c r="H261" s="3">
        <v>30715421557</v>
      </c>
      <c r="I261" t="s">
        <v>200</v>
      </c>
      <c r="J261" s="12">
        <v>97938.02</v>
      </c>
      <c r="K261" s="12">
        <v>0</v>
      </c>
      <c r="L261" s="12">
        <v>2495</v>
      </c>
      <c r="M261" s="12">
        <v>0</v>
      </c>
      <c r="N261" s="12">
        <v>20566.98</v>
      </c>
      <c r="O261" s="12">
        <v>121000</v>
      </c>
      <c r="P261" s="27"/>
      <c r="R261" s="12"/>
    </row>
    <row r="262" spans="1:18" x14ac:dyDescent="0.25">
      <c r="A262" t="s">
        <v>740</v>
      </c>
      <c r="B262" t="s">
        <v>744</v>
      </c>
      <c r="C262" s="3">
        <v>2</v>
      </c>
      <c r="D262" s="3">
        <v>188</v>
      </c>
      <c r="E262" s="8" t="s">
        <v>1043</v>
      </c>
      <c r="F262" s="3">
        <v>74143679480104</v>
      </c>
      <c r="G262" t="s">
        <v>726</v>
      </c>
      <c r="H262" s="3">
        <v>20330065983</v>
      </c>
      <c r="I262" t="s">
        <v>118</v>
      </c>
      <c r="J262" s="12"/>
      <c r="K262" s="12"/>
      <c r="L262" s="12"/>
      <c r="M262" s="12">
        <v>0</v>
      </c>
      <c r="N262" s="12"/>
      <c r="O262" s="12">
        <v>163000</v>
      </c>
      <c r="P262" s="27"/>
      <c r="R262" s="12"/>
    </row>
    <row r="263" spans="1:18" x14ac:dyDescent="0.25">
      <c r="A263" t="s">
        <v>747</v>
      </c>
      <c r="B263" t="s">
        <v>744</v>
      </c>
      <c r="C263" s="3">
        <v>2</v>
      </c>
      <c r="D263" s="3">
        <v>189</v>
      </c>
      <c r="E263" s="8" t="s">
        <v>1044</v>
      </c>
      <c r="F263" s="3">
        <v>74183452919133</v>
      </c>
      <c r="G263" t="s">
        <v>726</v>
      </c>
      <c r="H263" s="3">
        <v>20330065983</v>
      </c>
      <c r="I263" t="s">
        <v>118</v>
      </c>
      <c r="J263" s="12"/>
      <c r="K263" s="12"/>
      <c r="L263" s="12"/>
      <c r="M263" s="12">
        <v>0</v>
      </c>
      <c r="N263" s="12"/>
      <c r="O263" s="12">
        <v>150250</v>
      </c>
      <c r="P263" s="27"/>
      <c r="R263" s="12"/>
    </row>
    <row r="264" spans="1:18" x14ac:dyDescent="0.25">
      <c r="A264" t="s">
        <v>747</v>
      </c>
      <c r="B264" t="s">
        <v>1045</v>
      </c>
      <c r="C264" s="3">
        <v>2</v>
      </c>
      <c r="D264" s="3">
        <v>6</v>
      </c>
      <c r="E264" s="8" t="s">
        <v>1046</v>
      </c>
      <c r="F264" s="3">
        <v>74183016806515</v>
      </c>
      <c r="G264" t="s">
        <v>726</v>
      </c>
      <c r="H264" s="3">
        <v>20330065983</v>
      </c>
      <c r="I264" t="s">
        <v>118</v>
      </c>
      <c r="J264" s="12"/>
      <c r="K264" s="12"/>
      <c r="L264" s="12"/>
      <c r="M264" s="12">
        <v>0</v>
      </c>
      <c r="N264" s="12"/>
      <c r="O264" s="12">
        <v>150250</v>
      </c>
      <c r="P264" s="27"/>
      <c r="R264" s="12"/>
    </row>
    <row r="265" spans="1:18" x14ac:dyDescent="0.25">
      <c r="A265" t="s">
        <v>723</v>
      </c>
      <c r="B265" t="s">
        <v>724</v>
      </c>
      <c r="C265" s="3">
        <v>1</v>
      </c>
      <c r="D265" s="3">
        <v>773</v>
      </c>
      <c r="E265" s="8" t="s">
        <v>1047</v>
      </c>
      <c r="F265" s="3">
        <v>74156548204335</v>
      </c>
      <c r="G265" t="s">
        <v>726</v>
      </c>
      <c r="H265" s="3">
        <v>30715048066</v>
      </c>
      <c r="I265" t="s">
        <v>191</v>
      </c>
      <c r="J265" s="12">
        <v>4710744.5</v>
      </c>
      <c r="K265" s="12">
        <v>0</v>
      </c>
      <c r="L265" s="12">
        <v>0</v>
      </c>
      <c r="M265" s="12">
        <v>0</v>
      </c>
      <c r="N265" s="12">
        <v>989256.35</v>
      </c>
      <c r="O265" s="12">
        <v>5700000.8499999996</v>
      </c>
      <c r="P265" s="27"/>
      <c r="R265" s="12"/>
    </row>
    <row r="266" spans="1:18" x14ac:dyDescent="0.25">
      <c r="A266" t="s">
        <v>864</v>
      </c>
      <c r="B266" t="s">
        <v>724</v>
      </c>
      <c r="C266" s="3">
        <v>1</v>
      </c>
      <c r="D266" s="3">
        <v>774</v>
      </c>
      <c r="E266" s="8" t="s">
        <v>1048</v>
      </c>
      <c r="F266" s="3">
        <v>74166224399111</v>
      </c>
      <c r="G266" t="s">
        <v>726</v>
      </c>
      <c r="H266" s="3">
        <v>30715048066</v>
      </c>
      <c r="I266" t="s">
        <v>191</v>
      </c>
      <c r="J266" s="12">
        <v>5181819.5</v>
      </c>
      <c r="K266" s="12">
        <v>0</v>
      </c>
      <c r="L266" s="12">
        <v>0</v>
      </c>
      <c r="M266" s="12">
        <v>0</v>
      </c>
      <c r="N266" s="12">
        <v>1088182.1000000001</v>
      </c>
      <c r="O266" s="12">
        <v>6270001.5999999996</v>
      </c>
      <c r="P266" s="27"/>
      <c r="R266" s="12"/>
    </row>
    <row r="267" spans="1:18" x14ac:dyDescent="0.25">
      <c r="A267" t="s">
        <v>873</v>
      </c>
      <c r="B267" t="s">
        <v>724</v>
      </c>
      <c r="C267" s="3">
        <v>9</v>
      </c>
      <c r="D267" s="3">
        <v>8260</v>
      </c>
      <c r="E267" s="8" t="s">
        <v>1049</v>
      </c>
      <c r="F267" s="3">
        <v>74155475790794</v>
      </c>
      <c r="G267" t="s">
        <v>726</v>
      </c>
      <c r="H267" s="3">
        <v>20214656575</v>
      </c>
      <c r="I267" t="s">
        <v>252</v>
      </c>
      <c r="J267" s="12">
        <v>22710.74</v>
      </c>
      <c r="K267" s="12">
        <v>0</v>
      </c>
      <c r="L267" s="12">
        <v>0</v>
      </c>
      <c r="M267" s="12">
        <v>0</v>
      </c>
      <c r="N267" s="12">
        <v>4769.26</v>
      </c>
      <c r="O267" s="12">
        <v>27480</v>
      </c>
      <c r="P267" s="27"/>
      <c r="R267" s="12"/>
    </row>
    <row r="268" spans="1:18" x14ac:dyDescent="0.25">
      <c r="A268" t="s">
        <v>729</v>
      </c>
      <c r="B268" t="s">
        <v>724</v>
      </c>
      <c r="C268" s="3">
        <v>8</v>
      </c>
      <c r="D268" s="3">
        <v>78166</v>
      </c>
      <c r="E268" s="8" t="s">
        <v>1050</v>
      </c>
      <c r="F268" s="3">
        <v>74168008028864</v>
      </c>
      <c r="G268" t="s">
        <v>726</v>
      </c>
      <c r="H268" s="3">
        <v>30586172308</v>
      </c>
      <c r="I268" t="s">
        <v>1051</v>
      </c>
      <c r="J268" s="12">
        <v>63990</v>
      </c>
      <c r="K268" s="12">
        <v>0</v>
      </c>
      <c r="L268" s="12">
        <v>0</v>
      </c>
      <c r="M268" s="12">
        <v>0</v>
      </c>
      <c r="N268" s="12">
        <v>13437.9</v>
      </c>
      <c r="O268" s="12">
        <v>77427.899999999994</v>
      </c>
      <c r="P268" s="27"/>
      <c r="R268" s="12"/>
    </row>
    <row r="269" spans="1:18" x14ac:dyDescent="0.25">
      <c r="A269" t="s">
        <v>797</v>
      </c>
      <c r="B269" t="s">
        <v>724</v>
      </c>
      <c r="C269" s="3">
        <v>1678</v>
      </c>
      <c r="D269" s="3">
        <v>36428</v>
      </c>
      <c r="E269" s="8" t="s">
        <v>1052</v>
      </c>
      <c r="F269" s="3">
        <v>74169238066035</v>
      </c>
      <c r="G269" t="s">
        <v>726</v>
      </c>
      <c r="H269" s="3">
        <v>30589621499</v>
      </c>
      <c r="I269" t="s">
        <v>1053</v>
      </c>
      <c r="J269" s="12">
        <v>11235.41</v>
      </c>
      <c r="K269" s="12">
        <v>0</v>
      </c>
      <c r="L269" s="12">
        <v>0</v>
      </c>
      <c r="M269" s="12">
        <v>0</v>
      </c>
      <c r="N269" s="12">
        <v>2359.44</v>
      </c>
      <c r="O269" s="12">
        <v>14493.68</v>
      </c>
      <c r="P269" s="27"/>
      <c r="R269" s="12"/>
    </row>
    <row r="270" spans="1:18" x14ac:dyDescent="0.25">
      <c r="A270" t="s">
        <v>747</v>
      </c>
      <c r="B270" t="s">
        <v>744</v>
      </c>
      <c r="C270" s="3">
        <v>2</v>
      </c>
      <c r="D270" s="3">
        <v>352</v>
      </c>
      <c r="E270" s="8" t="s">
        <v>1054</v>
      </c>
      <c r="F270" s="3">
        <v>74185440024438</v>
      </c>
      <c r="G270" t="s">
        <v>726</v>
      </c>
      <c r="H270" s="3">
        <v>20245294825</v>
      </c>
      <c r="I270" t="s">
        <v>582</v>
      </c>
      <c r="J270" s="12"/>
      <c r="K270" s="12"/>
      <c r="L270" s="12"/>
      <c r="M270" s="12">
        <v>0</v>
      </c>
      <c r="N270" s="12"/>
      <c r="O270" s="12">
        <v>24000</v>
      </c>
      <c r="P270" s="27"/>
      <c r="R270" s="12"/>
    </row>
    <row r="271" spans="1:18" x14ac:dyDescent="0.25">
      <c r="A271" t="s">
        <v>747</v>
      </c>
      <c r="B271" t="s">
        <v>724</v>
      </c>
      <c r="C271" s="3">
        <v>6364</v>
      </c>
      <c r="D271" s="3">
        <v>8290087</v>
      </c>
      <c r="E271" s="8" t="s">
        <v>1055</v>
      </c>
      <c r="F271" s="3">
        <v>74188627003516</v>
      </c>
      <c r="G271" t="s">
        <v>726</v>
      </c>
      <c r="H271" s="3">
        <v>30639453738</v>
      </c>
      <c r="I271" t="s">
        <v>1056</v>
      </c>
      <c r="J271" s="12">
        <v>227003.84</v>
      </c>
      <c r="K271" s="12">
        <v>0</v>
      </c>
      <c r="L271" s="12">
        <v>0</v>
      </c>
      <c r="M271" s="12">
        <v>0</v>
      </c>
      <c r="N271" s="12">
        <v>47798.78</v>
      </c>
      <c r="O271" s="12">
        <v>288679.38</v>
      </c>
      <c r="P271" s="27"/>
      <c r="R271" s="12"/>
    </row>
    <row r="272" spans="1:18" x14ac:dyDescent="0.25">
      <c r="A272" t="s">
        <v>755</v>
      </c>
      <c r="B272" t="s">
        <v>724</v>
      </c>
      <c r="C272" s="3">
        <v>7</v>
      </c>
      <c r="D272" s="3">
        <v>2051</v>
      </c>
      <c r="E272" s="8" t="s">
        <v>1057</v>
      </c>
      <c r="F272" s="3">
        <v>74166165749080</v>
      </c>
      <c r="G272" t="s">
        <v>726</v>
      </c>
      <c r="H272" s="3">
        <v>30715830236</v>
      </c>
      <c r="I272" t="s">
        <v>382</v>
      </c>
      <c r="J272" s="12">
        <v>287200</v>
      </c>
      <c r="K272" s="12">
        <v>0</v>
      </c>
      <c r="L272" s="12">
        <v>0</v>
      </c>
      <c r="M272" s="12">
        <v>0</v>
      </c>
      <c r="N272" s="12">
        <v>60312</v>
      </c>
      <c r="O272" s="12">
        <v>347512</v>
      </c>
      <c r="P272" s="27"/>
      <c r="R272" s="12"/>
    </row>
    <row r="273" spans="1:18" x14ac:dyDescent="0.25">
      <c r="A273" s="9" t="s">
        <v>729</v>
      </c>
      <c r="B273" s="9" t="s">
        <v>741</v>
      </c>
      <c r="C273" s="10">
        <v>437</v>
      </c>
      <c r="D273" s="10">
        <v>281102</v>
      </c>
      <c r="E273" s="9" t="s">
        <v>1058</v>
      </c>
      <c r="F273" s="10">
        <v>34156213855860</v>
      </c>
      <c r="G273" s="9" t="s">
        <v>726</v>
      </c>
      <c r="H273" s="10">
        <v>30501092696</v>
      </c>
      <c r="I273" s="9" t="s">
        <v>37</v>
      </c>
      <c r="J273" s="13">
        <v>541320</v>
      </c>
      <c r="K273" s="13">
        <v>0</v>
      </c>
      <c r="L273" s="13">
        <v>0</v>
      </c>
      <c r="M273" s="13">
        <v>0</v>
      </c>
      <c r="N273" s="13">
        <v>113677.2</v>
      </c>
      <c r="O273" s="13">
        <v>671236.8</v>
      </c>
      <c r="P273" s="27"/>
      <c r="R273" s="12"/>
    </row>
    <row r="274" spans="1:18" x14ac:dyDescent="0.25">
      <c r="A274" s="9" t="s">
        <v>729</v>
      </c>
      <c r="B274" s="9" t="s">
        <v>741</v>
      </c>
      <c r="C274" s="10">
        <v>437</v>
      </c>
      <c r="D274" s="10">
        <v>281178</v>
      </c>
      <c r="E274" s="9" t="s">
        <v>1059</v>
      </c>
      <c r="F274" s="10">
        <v>34156213855860</v>
      </c>
      <c r="G274" s="9" t="s">
        <v>726</v>
      </c>
      <c r="H274" s="10">
        <v>30501092696</v>
      </c>
      <c r="I274" s="9" t="s">
        <v>37</v>
      </c>
      <c r="J274" s="13">
        <v>307095.24</v>
      </c>
      <c r="K274" s="13">
        <v>0</v>
      </c>
      <c r="L274" s="13">
        <v>0</v>
      </c>
      <c r="M274" s="13">
        <v>0</v>
      </c>
      <c r="N274" s="13">
        <v>64490</v>
      </c>
      <c r="O274" s="13">
        <v>380798.06</v>
      </c>
      <c r="P274" s="27"/>
      <c r="R274" s="12"/>
    </row>
    <row r="275" spans="1:18" x14ac:dyDescent="0.25">
      <c r="A275" t="s">
        <v>821</v>
      </c>
      <c r="B275" t="s">
        <v>724</v>
      </c>
      <c r="C275" s="3">
        <v>437</v>
      </c>
      <c r="D275" s="3">
        <v>1653025</v>
      </c>
      <c r="E275" s="8" t="s">
        <v>1060</v>
      </c>
      <c r="F275" s="3">
        <v>34156213855860</v>
      </c>
      <c r="G275" t="s">
        <v>726</v>
      </c>
      <c r="H275" s="3">
        <v>30501092696</v>
      </c>
      <c r="I275" t="s">
        <v>37</v>
      </c>
      <c r="J275" s="12">
        <v>12250333.050000001</v>
      </c>
      <c r="K275" s="12">
        <v>0</v>
      </c>
      <c r="L275" s="12">
        <v>0</v>
      </c>
      <c r="M275" s="12">
        <v>0</v>
      </c>
      <c r="N275" s="12">
        <v>2572569.94</v>
      </c>
      <c r="O275" s="12">
        <v>15802929.609999999</v>
      </c>
      <c r="P275" s="27"/>
      <c r="R275" s="12"/>
    </row>
    <row r="276" spans="1:18" x14ac:dyDescent="0.25">
      <c r="A276" t="s">
        <v>830</v>
      </c>
      <c r="B276" t="s">
        <v>724</v>
      </c>
      <c r="C276" s="3">
        <v>437</v>
      </c>
      <c r="D276" s="3">
        <v>1654380</v>
      </c>
      <c r="E276" s="8" t="s">
        <v>1061</v>
      </c>
      <c r="F276" s="3">
        <v>34156213855860</v>
      </c>
      <c r="G276" t="s">
        <v>726</v>
      </c>
      <c r="H276" s="3">
        <v>30501092696</v>
      </c>
      <c r="I276" t="s">
        <v>37</v>
      </c>
      <c r="J276" s="12">
        <v>35859052</v>
      </c>
      <c r="K276" s="12">
        <v>0</v>
      </c>
      <c r="L276" s="12">
        <v>0</v>
      </c>
      <c r="M276" s="12">
        <v>0</v>
      </c>
      <c r="N276" s="12">
        <v>7530400.9199999999</v>
      </c>
      <c r="O276" s="12">
        <v>46258177.009999998</v>
      </c>
      <c r="P276" s="27"/>
      <c r="R276" s="12"/>
    </row>
    <row r="277" spans="1:18" x14ac:dyDescent="0.25">
      <c r="A277" t="s">
        <v>755</v>
      </c>
      <c r="B277" t="s">
        <v>724</v>
      </c>
      <c r="C277" s="3">
        <v>28</v>
      </c>
      <c r="D277" s="3">
        <v>5295</v>
      </c>
      <c r="E277" s="8" t="s">
        <v>1062</v>
      </c>
      <c r="F277" s="3">
        <v>74160110059188</v>
      </c>
      <c r="G277" t="s">
        <v>726</v>
      </c>
      <c r="H277" s="3">
        <v>30685200070</v>
      </c>
      <c r="I277" t="s">
        <v>1063</v>
      </c>
      <c r="J277" s="12">
        <v>22830.52</v>
      </c>
      <c r="K277" s="12">
        <v>0</v>
      </c>
      <c r="L277" s="12">
        <v>0</v>
      </c>
      <c r="M277" s="12">
        <v>0</v>
      </c>
      <c r="N277" s="12">
        <v>4794.41</v>
      </c>
      <c r="O277" s="12">
        <v>28766.46</v>
      </c>
      <c r="P277" s="27"/>
      <c r="R277" s="12"/>
    </row>
    <row r="278" spans="1:18" x14ac:dyDescent="0.25">
      <c r="A278" t="s">
        <v>740</v>
      </c>
      <c r="B278" t="s">
        <v>724</v>
      </c>
      <c r="C278" s="3">
        <v>3</v>
      </c>
      <c r="D278" s="3">
        <v>3715</v>
      </c>
      <c r="E278" s="8" t="s">
        <v>1064</v>
      </c>
      <c r="F278" s="3">
        <v>74142574836703</v>
      </c>
      <c r="G278" t="s">
        <v>726</v>
      </c>
      <c r="H278" s="3">
        <v>30715296132</v>
      </c>
      <c r="I278" t="s">
        <v>66</v>
      </c>
      <c r="J278" s="12">
        <v>1619836</v>
      </c>
      <c r="K278" s="12">
        <v>0</v>
      </c>
      <c r="L278" s="12">
        <v>0</v>
      </c>
      <c r="M278" s="12">
        <v>0</v>
      </c>
      <c r="N278" s="12">
        <v>340165.56</v>
      </c>
      <c r="O278" s="12">
        <v>1960001.56</v>
      </c>
      <c r="P278" s="27"/>
      <c r="R278" s="12"/>
    </row>
    <row r="279" spans="1:18" x14ac:dyDescent="0.25">
      <c r="A279" t="s">
        <v>755</v>
      </c>
      <c r="B279" t="s">
        <v>724</v>
      </c>
      <c r="C279" s="3">
        <v>3</v>
      </c>
      <c r="D279" s="3">
        <v>3760</v>
      </c>
      <c r="E279" s="8" t="s">
        <v>1065</v>
      </c>
      <c r="F279" s="3">
        <v>74162106519471</v>
      </c>
      <c r="G279" t="s">
        <v>726</v>
      </c>
      <c r="H279" s="3">
        <v>30715296132</v>
      </c>
      <c r="I279" t="s">
        <v>66</v>
      </c>
      <c r="J279" s="12">
        <v>1619836</v>
      </c>
      <c r="K279" s="12">
        <v>0</v>
      </c>
      <c r="L279" s="12">
        <v>0</v>
      </c>
      <c r="M279" s="12">
        <v>0</v>
      </c>
      <c r="N279" s="12">
        <v>340165.56</v>
      </c>
      <c r="O279" s="12">
        <v>1960001.56</v>
      </c>
      <c r="P279" s="27"/>
      <c r="R279" s="12"/>
    </row>
    <row r="280" spans="1:18" x14ac:dyDescent="0.25">
      <c r="A280" t="s">
        <v>740</v>
      </c>
      <c r="B280" t="s">
        <v>724</v>
      </c>
      <c r="C280" s="3">
        <v>1</v>
      </c>
      <c r="D280" s="3">
        <v>439983</v>
      </c>
      <c r="E280" s="8" t="s">
        <v>1066</v>
      </c>
      <c r="F280" s="3">
        <v>74149929581916</v>
      </c>
      <c r="G280" t="s">
        <v>726</v>
      </c>
      <c r="H280" s="3">
        <v>33716307749</v>
      </c>
      <c r="I280" t="s">
        <v>63</v>
      </c>
      <c r="J280" s="12">
        <v>22999</v>
      </c>
      <c r="K280" s="12">
        <v>0</v>
      </c>
      <c r="L280" s="12">
        <v>0</v>
      </c>
      <c r="M280" s="12">
        <v>0</v>
      </c>
      <c r="N280" s="12">
        <v>4829.79</v>
      </c>
      <c r="O280" s="12">
        <v>27828.79</v>
      </c>
      <c r="P280" s="27"/>
      <c r="R280" s="12"/>
    </row>
    <row r="281" spans="1:18" x14ac:dyDescent="0.25">
      <c r="A281" t="s">
        <v>970</v>
      </c>
      <c r="B281" t="s">
        <v>724</v>
      </c>
      <c r="C281" s="3">
        <v>43</v>
      </c>
      <c r="D281" s="3">
        <v>290572</v>
      </c>
      <c r="E281" s="8" t="s">
        <v>1067</v>
      </c>
      <c r="F281" s="3">
        <v>34134761874413</v>
      </c>
      <c r="G281" t="s">
        <v>726</v>
      </c>
      <c r="H281" s="3">
        <v>30500979824</v>
      </c>
      <c r="I281" t="s">
        <v>1068</v>
      </c>
      <c r="J281" s="12">
        <v>463492.48</v>
      </c>
      <c r="K281" s="12">
        <v>0</v>
      </c>
      <c r="L281" s="12">
        <v>0</v>
      </c>
      <c r="M281" s="12">
        <v>0</v>
      </c>
      <c r="N281" s="12">
        <v>97333.42</v>
      </c>
      <c r="O281" s="12">
        <v>597905.29</v>
      </c>
      <c r="P281" s="27"/>
      <c r="R281" s="12"/>
    </row>
    <row r="282" spans="1:18" x14ac:dyDescent="0.25">
      <c r="A282" t="s">
        <v>885</v>
      </c>
      <c r="B282" t="s">
        <v>724</v>
      </c>
      <c r="C282" s="3">
        <v>43</v>
      </c>
      <c r="D282" s="3">
        <v>291418</v>
      </c>
      <c r="E282" s="8" t="s">
        <v>1069</v>
      </c>
      <c r="F282" s="3">
        <v>34134761874413</v>
      </c>
      <c r="G282" t="s">
        <v>726</v>
      </c>
      <c r="H282" s="3">
        <v>30500979824</v>
      </c>
      <c r="I282" t="s">
        <v>1068</v>
      </c>
      <c r="J282" s="12">
        <v>2441745</v>
      </c>
      <c r="K282" s="12">
        <v>0</v>
      </c>
      <c r="L282" s="12">
        <v>0</v>
      </c>
      <c r="M282" s="12">
        <v>0</v>
      </c>
      <c r="N282" s="12">
        <v>512766.45</v>
      </c>
      <c r="O282" s="12">
        <v>3149851.05</v>
      </c>
      <c r="P282" s="27"/>
      <c r="R282" s="12"/>
    </row>
    <row r="283" spans="1:18" x14ac:dyDescent="0.25">
      <c r="A283" t="s">
        <v>755</v>
      </c>
      <c r="B283" t="s">
        <v>724</v>
      </c>
      <c r="C283" s="3">
        <v>43</v>
      </c>
      <c r="D283" s="3">
        <v>291869</v>
      </c>
      <c r="E283" s="8" t="s">
        <v>1070</v>
      </c>
      <c r="F283" s="3">
        <v>34154823382238</v>
      </c>
      <c r="G283" t="s">
        <v>726</v>
      </c>
      <c r="H283" s="3">
        <v>30500979824</v>
      </c>
      <c r="I283" t="s">
        <v>1068</v>
      </c>
      <c r="J283" s="12">
        <v>1148187.3799999999</v>
      </c>
      <c r="K283" s="12">
        <v>0</v>
      </c>
      <c r="L283" s="12">
        <v>0</v>
      </c>
      <c r="M283" s="12">
        <v>0</v>
      </c>
      <c r="N283" s="12">
        <v>241119.35</v>
      </c>
      <c r="O283" s="12">
        <v>1481161.73</v>
      </c>
      <c r="P283" s="27"/>
      <c r="R283" s="12"/>
    </row>
    <row r="284" spans="1:18" x14ac:dyDescent="0.25">
      <c r="A284" t="s">
        <v>974</v>
      </c>
      <c r="B284" t="s">
        <v>724</v>
      </c>
      <c r="C284" s="3">
        <v>43</v>
      </c>
      <c r="D284" s="3">
        <v>292278</v>
      </c>
      <c r="E284" s="8" t="s">
        <v>1071</v>
      </c>
      <c r="F284" s="3">
        <v>34154823382238</v>
      </c>
      <c r="G284" t="s">
        <v>726</v>
      </c>
      <c r="H284" s="3">
        <v>30500979824</v>
      </c>
      <c r="I284" t="s">
        <v>1068</v>
      </c>
      <c r="J284" s="12">
        <v>1098785.24</v>
      </c>
      <c r="K284" s="12">
        <v>0</v>
      </c>
      <c r="L284" s="12">
        <v>0</v>
      </c>
      <c r="M284" s="12">
        <v>0</v>
      </c>
      <c r="N284" s="12">
        <v>230744.9</v>
      </c>
      <c r="O284" s="12">
        <v>1417432.98</v>
      </c>
      <c r="P284" s="27"/>
      <c r="R284" s="12"/>
    </row>
    <row r="285" spans="1:18" x14ac:dyDescent="0.25">
      <c r="A285" t="s">
        <v>747</v>
      </c>
      <c r="B285" t="s">
        <v>724</v>
      </c>
      <c r="C285" s="3">
        <v>43</v>
      </c>
      <c r="D285" s="3">
        <v>293465</v>
      </c>
      <c r="E285" s="8" t="s">
        <v>1072</v>
      </c>
      <c r="F285" s="3">
        <v>34154823382238</v>
      </c>
      <c r="G285" t="s">
        <v>726</v>
      </c>
      <c r="H285" s="3">
        <v>30500979824</v>
      </c>
      <c r="I285" t="s">
        <v>1068</v>
      </c>
      <c r="J285" s="12">
        <v>1220872.52</v>
      </c>
      <c r="K285" s="12">
        <v>0</v>
      </c>
      <c r="L285" s="12">
        <v>0</v>
      </c>
      <c r="M285" s="12">
        <v>0</v>
      </c>
      <c r="N285" s="12">
        <v>256383.23</v>
      </c>
      <c r="O285" s="12">
        <v>1574925.54</v>
      </c>
      <c r="P285" s="27"/>
      <c r="R285" s="12"/>
    </row>
    <row r="286" spans="1:18" x14ac:dyDescent="0.25">
      <c r="A286" t="s">
        <v>766</v>
      </c>
      <c r="B286" t="s">
        <v>744</v>
      </c>
      <c r="C286" s="3">
        <v>3</v>
      </c>
      <c r="D286" s="3">
        <v>5307</v>
      </c>
      <c r="E286" s="8" t="s">
        <v>1073</v>
      </c>
      <c r="F286" s="3">
        <v>74157255546838</v>
      </c>
      <c r="G286" t="s">
        <v>726</v>
      </c>
      <c r="H286" s="3">
        <v>20180563017</v>
      </c>
      <c r="I286" t="s">
        <v>238</v>
      </c>
      <c r="J286" s="12"/>
      <c r="K286" s="12"/>
      <c r="L286" s="12"/>
      <c r="M286" s="12">
        <v>0</v>
      </c>
      <c r="N286" s="12"/>
      <c r="O286" s="12">
        <v>80000</v>
      </c>
      <c r="P286" s="27"/>
      <c r="R286" s="12"/>
    </row>
    <row r="287" spans="1:18" x14ac:dyDescent="0.25">
      <c r="A287" t="s">
        <v>864</v>
      </c>
      <c r="B287" t="s">
        <v>744</v>
      </c>
      <c r="C287" s="3">
        <v>3</v>
      </c>
      <c r="D287" s="3">
        <v>5314</v>
      </c>
      <c r="E287" s="8" t="s">
        <v>1074</v>
      </c>
      <c r="F287" s="3">
        <v>74167899290439</v>
      </c>
      <c r="G287" t="s">
        <v>726</v>
      </c>
      <c r="H287" s="3">
        <v>20180563017</v>
      </c>
      <c r="I287" t="s">
        <v>238</v>
      </c>
      <c r="J287" s="12"/>
      <c r="K287" s="12"/>
      <c r="L287" s="12"/>
      <c r="M287" s="12">
        <v>0</v>
      </c>
      <c r="N287" s="12"/>
      <c r="O287" s="12">
        <v>190000</v>
      </c>
      <c r="P287" s="27"/>
      <c r="R287" s="12"/>
    </row>
    <row r="288" spans="1:18" x14ac:dyDescent="0.25">
      <c r="A288" t="s">
        <v>755</v>
      </c>
      <c r="B288" t="s">
        <v>744</v>
      </c>
      <c r="C288" s="3">
        <v>3</v>
      </c>
      <c r="D288" s="3">
        <v>5316</v>
      </c>
      <c r="E288" s="8" t="s">
        <v>1075</v>
      </c>
      <c r="F288" s="3">
        <v>74167139301259</v>
      </c>
      <c r="G288" t="s">
        <v>726</v>
      </c>
      <c r="H288" s="3">
        <v>20180563017</v>
      </c>
      <c r="I288" t="s">
        <v>238</v>
      </c>
      <c r="J288" s="12"/>
      <c r="K288" s="12"/>
      <c r="L288" s="12"/>
      <c r="M288" s="12">
        <v>0</v>
      </c>
      <c r="N288" s="12"/>
      <c r="O288" s="12">
        <v>166000</v>
      </c>
      <c r="P288" s="27"/>
      <c r="R288" s="12"/>
    </row>
    <row r="289" spans="1:18" x14ac:dyDescent="0.25">
      <c r="A289" t="s">
        <v>835</v>
      </c>
      <c r="B289" t="s">
        <v>744</v>
      </c>
      <c r="C289" s="3">
        <v>3</v>
      </c>
      <c r="D289" s="3">
        <v>5319</v>
      </c>
      <c r="E289" s="8" t="s">
        <v>1076</v>
      </c>
      <c r="F289" s="3">
        <v>74167362257602</v>
      </c>
      <c r="G289" t="s">
        <v>726</v>
      </c>
      <c r="H289" s="3">
        <v>20180563017</v>
      </c>
      <c r="I289" t="s">
        <v>238</v>
      </c>
      <c r="J289" s="12"/>
      <c r="K289" s="12"/>
      <c r="L289" s="12"/>
      <c r="M289" s="12">
        <v>0</v>
      </c>
      <c r="N289" s="12"/>
      <c r="O289" s="12">
        <v>80000</v>
      </c>
      <c r="P289" s="27"/>
      <c r="R289" s="12"/>
    </row>
    <row r="290" spans="1:18" x14ac:dyDescent="0.25">
      <c r="E290" s="8"/>
      <c r="J290" s="12"/>
      <c r="K290" s="12"/>
      <c r="L290" s="12"/>
      <c r="M290" s="12"/>
      <c r="N290" s="12"/>
      <c r="O290" s="12"/>
      <c r="P290" s="27"/>
    </row>
    <row r="291" spans="1:18" x14ac:dyDescent="0.25">
      <c r="E291" s="8"/>
      <c r="J291" s="12"/>
      <c r="K291" s="12"/>
      <c r="L291" s="12"/>
      <c r="M291" s="12"/>
      <c r="N291" s="12"/>
      <c r="O291" s="12"/>
      <c r="P291" s="27"/>
    </row>
    <row r="292" spans="1:18" x14ac:dyDescent="0.25">
      <c r="E292" s="8"/>
      <c r="J292" s="12"/>
      <c r="K292" s="12"/>
      <c r="L292" s="12"/>
      <c r="M292" s="12"/>
      <c r="N292" s="12"/>
      <c r="O292" s="12"/>
      <c r="P292" s="27"/>
    </row>
    <row r="293" spans="1:18" x14ac:dyDescent="0.25">
      <c r="E293" s="8"/>
      <c r="J293" s="12"/>
      <c r="K293" s="12"/>
      <c r="L293" s="12"/>
      <c r="M293" s="12"/>
      <c r="N293" s="12"/>
      <c r="O293" s="12"/>
      <c r="P293" s="27"/>
    </row>
    <row r="294" spans="1:18" x14ac:dyDescent="0.25">
      <c r="E294" s="8"/>
      <c r="J294" s="12"/>
      <c r="K294" s="12"/>
      <c r="L294" s="12"/>
      <c r="M294" s="12"/>
      <c r="N294" s="12"/>
      <c r="O294" s="12"/>
      <c r="P294" s="27"/>
    </row>
    <row r="295" spans="1:18" x14ac:dyDescent="0.25">
      <c r="E295" s="8"/>
      <c r="J295" s="12"/>
      <c r="K295" s="12"/>
      <c r="L295" s="12"/>
      <c r="M295" s="12"/>
      <c r="N295" s="12"/>
      <c r="O295" s="12"/>
      <c r="P295" s="27"/>
    </row>
    <row r="296" spans="1:18" x14ac:dyDescent="0.25">
      <c r="E296" s="8"/>
      <c r="J296" s="12"/>
      <c r="K296" s="12"/>
      <c r="L296" s="12"/>
      <c r="M296" s="12"/>
      <c r="N296" s="12"/>
      <c r="O296" s="12"/>
      <c r="P296" s="27"/>
    </row>
    <row r="297" spans="1:18" x14ac:dyDescent="0.25">
      <c r="E297" s="8"/>
      <c r="J297" s="12"/>
      <c r="K297" s="12"/>
      <c r="L297" s="12"/>
      <c r="M297" s="12"/>
      <c r="N297" s="12"/>
      <c r="O297" s="12"/>
      <c r="P297" s="27"/>
    </row>
    <row r="298" spans="1:18" x14ac:dyDescent="0.25">
      <c r="E298" s="8"/>
      <c r="J298" s="12"/>
      <c r="K298" s="12"/>
      <c r="L298" s="12"/>
      <c r="M298" s="12"/>
      <c r="N298" s="12"/>
      <c r="O298" s="12"/>
      <c r="P298" s="27"/>
    </row>
    <row r="299" spans="1:18" x14ac:dyDescent="0.25">
      <c r="E299" s="8"/>
      <c r="J299" s="12"/>
      <c r="K299" s="12"/>
      <c r="L299" s="12"/>
      <c r="M299" s="12"/>
      <c r="N299" s="12"/>
      <c r="O299" s="12"/>
      <c r="P299" s="27"/>
    </row>
    <row r="300" spans="1:18" x14ac:dyDescent="0.25">
      <c r="E300" s="8"/>
      <c r="J300" s="12"/>
      <c r="K300" s="12"/>
      <c r="L300" s="12"/>
      <c r="M300" s="12"/>
      <c r="N300" s="12"/>
      <c r="O300" s="12"/>
      <c r="P300" s="27"/>
    </row>
    <row r="301" spans="1:18" x14ac:dyDescent="0.25">
      <c r="E301" s="8"/>
      <c r="J301" s="12"/>
      <c r="K301" s="12"/>
      <c r="L301" s="12"/>
      <c r="M301" s="12"/>
      <c r="N301" s="12"/>
      <c r="O301" s="12"/>
      <c r="P301" s="27"/>
    </row>
    <row r="302" spans="1:18" x14ac:dyDescent="0.25">
      <c r="E302" s="8"/>
      <c r="J302" s="12"/>
      <c r="K302" s="12"/>
      <c r="L302" s="12"/>
      <c r="M302" s="12"/>
      <c r="N302" s="12"/>
      <c r="O302" s="12"/>
      <c r="P302" s="27"/>
    </row>
    <row r="303" spans="1:18" x14ac:dyDescent="0.25">
      <c r="E303" s="8"/>
      <c r="J303" s="12"/>
      <c r="K303" s="12"/>
      <c r="L303" s="12"/>
      <c r="M303" s="12"/>
      <c r="N303" s="12"/>
      <c r="O303" s="12"/>
      <c r="P303" s="27"/>
    </row>
    <row r="304" spans="1:18" x14ac:dyDescent="0.25">
      <c r="E304" s="8"/>
      <c r="J304" s="12"/>
      <c r="K304" s="12"/>
      <c r="L304" s="12"/>
      <c r="M304" s="12"/>
      <c r="N304" s="12"/>
      <c r="O304" s="12"/>
      <c r="P304" s="27"/>
    </row>
    <row r="305" spans="5:16" x14ac:dyDescent="0.25">
      <c r="E305" s="8"/>
      <c r="J305" s="12"/>
      <c r="K305" s="12"/>
      <c r="L305" s="12"/>
      <c r="M305" s="12"/>
      <c r="N305" s="12"/>
      <c r="O305" s="12"/>
      <c r="P305" s="27"/>
    </row>
    <row r="306" spans="5:16" x14ac:dyDescent="0.25">
      <c r="E306" s="8"/>
      <c r="J306" s="12"/>
      <c r="K306" s="12"/>
      <c r="L306" s="12"/>
      <c r="M306" s="12"/>
      <c r="N306" s="12"/>
      <c r="O306" s="12"/>
      <c r="P306" s="27"/>
    </row>
    <row r="307" spans="5:16" x14ac:dyDescent="0.25">
      <c r="E307" s="8"/>
      <c r="J307" s="12"/>
      <c r="K307" s="12"/>
      <c r="L307" s="12"/>
      <c r="M307" s="12"/>
      <c r="N307" s="12"/>
      <c r="O307" s="12"/>
      <c r="P307" s="27"/>
    </row>
    <row r="308" spans="5:16" x14ac:dyDescent="0.25">
      <c r="E308" s="8"/>
      <c r="J308" s="12"/>
      <c r="K308" s="12"/>
      <c r="L308" s="12"/>
      <c r="M308" s="12"/>
      <c r="N308" s="12"/>
      <c r="O308" s="12"/>
      <c r="P308" s="27"/>
    </row>
    <row r="309" spans="5:16" x14ac:dyDescent="0.25">
      <c r="E309" s="8"/>
      <c r="J309" s="12"/>
      <c r="K309" s="12"/>
      <c r="L309" s="12"/>
      <c r="M309" s="12"/>
      <c r="N309" s="12"/>
      <c r="O309" s="12"/>
      <c r="P309" s="27"/>
    </row>
    <row r="310" spans="5:16" x14ac:dyDescent="0.25">
      <c r="E310" s="8"/>
      <c r="J310" s="12"/>
      <c r="K310" s="12"/>
      <c r="L310" s="12"/>
      <c r="M310" s="12"/>
      <c r="N310" s="12"/>
      <c r="O310" s="12"/>
      <c r="P310" s="27"/>
    </row>
    <row r="311" spans="5:16" x14ac:dyDescent="0.25">
      <c r="E311" s="8"/>
      <c r="J311" s="12"/>
      <c r="K311" s="12"/>
      <c r="L311" s="12"/>
      <c r="M311" s="12"/>
      <c r="N311" s="12"/>
      <c r="O311" s="12"/>
      <c r="P311" s="27"/>
    </row>
    <row r="312" spans="5:16" x14ac:dyDescent="0.25">
      <c r="E312" s="8"/>
      <c r="J312" s="12"/>
      <c r="K312" s="12"/>
      <c r="L312" s="12"/>
      <c r="M312" s="12"/>
      <c r="N312" s="12"/>
      <c r="O312" s="12"/>
      <c r="P312" s="27"/>
    </row>
    <row r="313" spans="5:16" x14ac:dyDescent="0.25">
      <c r="E313" s="8"/>
      <c r="J313" s="12"/>
      <c r="K313" s="12"/>
      <c r="L313" s="12"/>
      <c r="M313" s="12"/>
      <c r="N313" s="12"/>
      <c r="O313" s="12"/>
      <c r="P313" s="27"/>
    </row>
    <row r="314" spans="5:16" x14ac:dyDescent="0.25">
      <c r="E314" s="8"/>
      <c r="J314" s="12"/>
      <c r="K314" s="12"/>
      <c r="L314" s="12"/>
      <c r="M314" s="12"/>
      <c r="N314" s="12"/>
      <c r="O314" s="12"/>
      <c r="P314" s="27"/>
    </row>
    <row r="315" spans="5:16" x14ac:dyDescent="0.25">
      <c r="E315" s="8"/>
      <c r="J315" s="12"/>
      <c r="K315" s="12"/>
      <c r="L315" s="12"/>
      <c r="M315" s="12"/>
      <c r="N315" s="12"/>
      <c r="O315" s="12"/>
      <c r="P315" s="27"/>
    </row>
    <row r="316" spans="5:16" x14ac:dyDescent="0.25">
      <c r="E316" s="8"/>
      <c r="J316" s="12"/>
      <c r="K316" s="12"/>
      <c r="L316" s="12"/>
      <c r="M316" s="12"/>
      <c r="N316" s="12"/>
      <c r="O316" s="12"/>
      <c r="P316" s="27"/>
    </row>
    <row r="317" spans="5:16" x14ac:dyDescent="0.25">
      <c r="E317" s="8"/>
      <c r="J317" s="12"/>
      <c r="K317" s="12"/>
      <c r="L317" s="12"/>
      <c r="M317" s="12"/>
      <c r="N317" s="12"/>
      <c r="O317" s="12"/>
      <c r="P317" s="27"/>
    </row>
    <row r="318" spans="5:16" x14ac:dyDescent="0.25">
      <c r="E318" s="8"/>
      <c r="J318" s="12"/>
      <c r="K318" s="12"/>
      <c r="L318" s="12"/>
      <c r="M318" s="12"/>
      <c r="N318" s="12"/>
      <c r="O318" s="12"/>
      <c r="P318" s="27"/>
    </row>
    <row r="319" spans="5:16" x14ac:dyDescent="0.25">
      <c r="E319" s="8"/>
      <c r="J319" s="12"/>
      <c r="K319" s="12"/>
      <c r="L319" s="12"/>
      <c r="M319" s="12"/>
      <c r="N319" s="12"/>
      <c r="O319" s="12"/>
      <c r="P319" s="27"/>
    </row>
    <row r="320" spans="5:16" x14ac:dyDescent="0.25">
      <c r="E320" s="8"/>
      <c r="J320" s="12"/>
      <c r="K320" s="12"/>
      <c r="L320" s="12"/>
      <c r="M320" s="12"/>
      <c r="N320" s="12"/>
      <c r="O320" s="12"/>
      <c r="P320" s="27"/>
    </row>
    <row r="321" spans="5:16" x14ac:dyDescent="0.25">
      <c r="E321" s="8"/>
      <c r="J321" s="12"/>
      <c r="K321" s="12"/>
      <c r="L321" s="12"/>
      <c r="M321" s="12"/>
      <c r="N321" s="12"/>
      <c r="O321" s="12"/>
      <c r="P321" s="27"/>
    </row>
    <row r="322" spans="5:16" x14ac:dyDescent="0.25">
      <c r="E322" s="8"/>
      <c r="J322" s="12"/>
      <c r="K322" s="12"/>
      <c r="L322" s="12"/>
      <c r="M322" s="12"/>
      <c r="N322" s="12"/>
      <c r="O322" s="12"/>
      <c r="P322" s="27"/>
    </row>
    <row r="323" spans="5:16" x14ac:dyDescent="0.25">
      <c r="E323" s="8"/>
      <c r="J323" s="12"/>
      <c r="K323" s="12"/>
      <c r="L323" s="12"/>
      <c r="M323" s="12"/>
      <c r="N323" s="12"/>
      <c r="O323" s="12"/>
      <c r="P323" s="27"/>
    </row>
    <row r="324" spans="5:16" x14ac:dyDescent="0.25">
      <c r="E324" s="8"/>
      <c r="J324" s="12"/>
      <c r="K324" s="12"/>
      <c r="L324" s="12"/>
      <c r="M324" s="12"/>
      <c r="N324" s="12"/>
      <c r="O324" s="12"/>
      <c r="P324" s="27"/>
    </row>
    <row r="325" spans="5:16" x14ac:dyDescent="0.25">
      <c r="E325" s="8"/>
      <c r="J325" s="12"/>
      <c r="K325" s="12"/>
      <c r="L325" s="12"/>
      <c r="M325" s="12"/>
      <c r="N325" s="12"/>
      <c r="O325" s="12"/>
      <c r="P325" s="27"/>
    </row>
    <row r="326" spans="5:16" x14ac:dyDescent="0.25">
      <c r="E326" s="8"/>
      <c r="J326" s="12"/>
      <c r="K326" s="12"/>
      <c r="L326" s="12"/>
      <c r="M326" s="12"/>
      <c r="N326" s="12"/>
      <c r="O326" s="12"/>
      <c r="P326" s="27"/>
    </row>
    <row r="327" spans="5:16" x14ac:dyDescent="0.25">
      <c r="E327" s="8"/>
      <c r="J327" s="12"/>
      <c r="K327" s="12"/>
      <c r="L327" s="12"/>
      <c r="M327" s="12"/>
      <c r="N327" s="12"/>
      <c r="O327" s="12"/>
      <c r="P327" s="27"/>
    </row>
    <row r="328" spans="5:16" x14ac:dyDescent="0.25">
      <c r="E328" s="8"/>
      <c r="J328" s="12"/>
      <c r="K328" s="12"/>
      <c r="L328" s="12"/>
      <c r="M328" s="12"/>
      <c r="N328" s="12"/>
      <c r="O328" s="12"/>
      <c r="P328" s="27"/>
    </row>
    <row r="329" spans="5:16" x14ac:dyDescent="0.25">
      <c r="E329" s="8"/>
      <c r="J329" s="12"/>
      <c r="K329" s="12"/>
      <c r="L329" s="12"/>
      <c r="M329" s="12"/>
      <c r="N329" s="12"/>
      <c r="O329" s="12"/>
      <c r="P329" s="27"/>
    </row>
    <row r="330" spans="5:16" x14ac:dyDescent="0.25">
      <c r="E330" s="8"/>
      <c r="J330" s="12"/>
      <c r="K330" s="12"/>
      <c r="L330" s="12"/>
      <c r="M330" s="12"/>
      <c r="N330" s="12"/>
      <c r="O330" s="12"/>
      <c r="P330" s="27"/>
    </row>
    <row r="331" spans="5:16" x14ac:dyDescent="0.25">
      <c r="E331" s="8"/>
      <c r="J331" s="12"/>
      <c r="K331" s="12"/>
      <c r="L331" s="12"/>
      <c r="M331" s="12"/>
      <c r="N331" s="12"/>
      <c r="O331" s="12"/>
      <c r="P331" s="27"/>
    </row>
    <row r="332" spans="5:16" x14ac:dyDescent="0.25">
      <c r="E332" s="8"/>
      <c r="J332" s="12"/>
      <c r="K332" s="12"/>
      <c r="L332" s="12"/>
      <c r="M332" s="12"/>
      <c r="N332" s="12"/>
      <c r="O332" s="12"/>
      <c r="P332" s="27"/>
    </row>
    <row r="333" spans="5:16" x14ac:dyDescent="0.25">
      <c r="E333" s="8"/>
      <c r="J333" s="12"/>
      <c r="K333" s="12"/>
      <c r="L333" s="12"/>
      <c r="M333" s="12"/>
      <c r="N333" s="12"/>
      <c r="O333" s="12"/>
      <c r="P333" s="27"/>
    </row>
    <row r="334" spans="5:16" x14ac:dyDescent="0.25">
      <c r="E334" s="8"/>
      <c r="J334" s="12"/>
      <c r="K334" s="12"/>
      <c r="L334" s="12"/>
      <c r="M334" s="12"/>
      <c r="N334" s="12"/>
      <c r="O334" s="12"/>
      <c r="P334" s="27"/>
    </row>
    <row r="335" spans="5:16" x14ac:dyDescent="0.25">
      <c r="E335" s="8"/>
      <c r="J335" s="12"/>
      <c r="K335" s="12"/>
      <c r="L335" s="12"/>
      <c r="M335" s="12"/>
      <c r="N335" s="12"/>
      <c r="O335" s="12"/>
      <c r="P335" s="27"/>
    </row>
    <row r="336" spans="5:16" x14ac:dyDescent="0.25">
      <c r="E336" s="8"/>
      <c r="J336" s="12"/>
      <c r="K336" s="12"/>
      <c r="L336" s="12"/>
      <c r="M336" s="12"/>
      <c r="N336" s="12"/>
      <c r="O336" s="12"/>
      <c r="P336" s="27"/>
    </row>
    <row r="337" spans="5:16" x14ac:dyDescent="0.25">
      <c r="E337" s="8"/>
      <c r="J337" s="12"/>
      <c r="K337" s="12"/>
      <c r="L337" s="12"/>
      <c r="M337" s="12"/>
      <c r="N337" s="12"/>
      <c r="O337" s="12"/>
      <c r="P337" s="27"/>
    </row>
    <row r="338" spans="5:16" x14ac:dyDescent="0.25">
      <c r="E338" s="8"/>
      <c r="J338" s="12"/>
      <c r="K338" s="12"/>
      <c r="L338" s="12"/>
      <c r="M338" s="12"/>
      <c r="N338" s="12"/>
      <c r="O338" s="12"/>
      <c r="P338" s="27"/>
    </row>
    <row r="339" spans="5:16" x14ac:dyDescent="0.25">
      <c r="E339" s="8"/>
      <c r="J339" s="12"/>
      <c r="K339" s="12"/>
      <c r="L339" s="12"/>
      <c r="M339" s="12"/>
      <c r="N339" s="12"/>
      <c r="O339" s="12"/>
      <c r="P339" s="27"/>
    </row>
    <row r="340" spans="5:16" x14ac:dyDescent="0.25">
      <c r="E340" s="8"/>
      <c r="J340" s="12"/>
      <c r="K340" s="12"/>
      <c r="L340" s="12"/>
      <c r="M340" s="12"/>
      <c r="N340" s="12"/>
      <c r="O340" s="12"/>
      <c r="P340" s="27"/>
    </row>
    <row r="341" spans="5:16" x14ac:dyDescent="0.25">
      <c r="E341" s="8"/>
      <c r="J341" s="12"/>
      <c r="K341" s="12"/>
      <c r="L341" s="12"/>
      <c r="M341" s="12"/>
      <c r="N341" s="12"/>
      <c r="O341" s="12"/>
      <c r="P341" s="27"/>
    </row>
    <row r="342" spans="5:16" x14ac:dyDescent="0.25">
      <c r="E342" s="8"/>
      <c r="J342" s="12"/>
      <c r="K342" s="12"/>
      <c r="L342" s="12"/>
      <c r="M342" s="12"/>
      <c r="N342" s="12"/>
      <c r="O342" s="12"/>
      <c r="P342" s="27"/>
    </row>
    <row r="343" spans="5:16" x14ac:dyDescent="0.25">
      <c r="E343" s="8"/>
      <c r="J343" s="12"/>
      <c r="K343" s="12"/>
      <c r="L343" s="12"/>
      <c r="M343" s="12"/>
      <c r="N343" s="12"/>
      <c r="O343" s="12"/>
      <c r="P343" s="27"/>
    </row>
    <row r="344" spans="5:16" x14ac:dyDescent="0.25">
      <c r="E344" s="8"/>
      <c r="J344" s="12"/>
      <c r="K344" s="12"/>
      <c r="L344" s="12"/>
      <c r="M344" s="12"/>
      <c r="N344" s="12"/>
      <c r="O344" s="12"/>
      <c r="P344" s="27"/>
    </row>
    <row r="345" spans="5:16" x14ac:dyDescent="0.25">
      <c r="E345" s="8"/>
      <c r="J345" s="12"/>
      <c r="K345" s="12"/>
      <c r="L345" s="12"/>
      <c r="M345" s="12"/>
      <c r="N345" s="12"/>
      <c r="O345" s="12"/>
      <c r="P345" s="27"/>
    </row>
    <row r="346" spans="5:16" x14ac:dyDescent="0.25">
      <c r="E346" s="8"/>
      <c r="J346" s="12"/>
      <c r="K346" s="12"/>
      <c r="L346" s="12"/>
      <c r="M346" s="12"/>
      <c r="N346" s="12"/>
      <c r="O346" s="12"/>
      <c r="P346" s="27"/>
    </row>
    <row r="347" spans="5:16" x14ac:dyDescent="0.25">
      <c r="E347" s="8"/>
      <c r="J347" s="12"/>
      <c r="K347" s="12"/>
      <c r="L347" s="12"/>
      <c r="M347" s="12"/>
      <c r="N347" s="12"/>
      <c r="O347" s="12"/>
      <c r="P347" s="27"/>
    </row>
    <row r="348" spans="5:16" x14ac:dyDescent="0.25">
      <c r="E348" s="8"/>
      <c r="J348" s="12"/>
      <c r="K348" s="12"/>
      <c r="L348" s="12"/>
      <c r="M348" s="12"/>
      <c r="N348" s="12"/>
      <c r="O348" s="12"/>
      <c r="P348" s="27"/>
    </row>
    <row r="349" spans="5:16" x14ac:dyDescent="0.25">
      <c r="E349" s="8"/>
      <c r="J349" s="12"/>
      <c r="K349" s="12"/>
      <c r="L349" s="12"/>
      <c r="M349" s="12"/>
      <c r="N349" s="12"/>
      <c r="O349" s="12"/>
      <c r="P349" s="27"/>
    </row>
    <row r="350" spans="5:16" x14ac:dyDescent="0.25">
      <c r="E350" s="8"/>
      <c r="J350" s="12"/>
      <c r="K350" s="12"/>
      <c r="L350" s="12"/>
      <c r="M350" s="12"/>
      <c r="N350" s="12"/>
      <c r="O350" s="12"/>
      <c r="P350" s="27"/>
    </row>
    <row r="351" spans="5:16" x14ac:dyDescent="0.25">
      <c r="E351" s="8"/>
      <c r="J351" s="12"/>
      <c r="K351" s="12"/>
      <c r="L351" s="12"/>
      <c r="M351" s="12"/>
      <c r="N351" s="12"/>
      <c r="O351" s="12"/>
      <c r="P351" s="27"/>
    </row>
    <row r="352" spans="5:16" x14ac:dyDescent="0.25">
      <c r="E352" s="8"/>
      <c r="J352" s="12"/>
      <c r="K352" s="12"/>
      <c r="L352" s="12"/>
      <c r="M352" s="12"/>
      <c r="N352" s="12"/>
      <c r="O352" s="12"/>
      <c r="P352" s="27"/>
    </row>
    <row r="353" spans="5:16" x14ac:dyDescent="0.25">
      <c r="E353" s="8"/>
      <c r="J353" s="12"/>
      <c r="K353" s="12"/>
      <c r="L353" s="12"/>
      <c r="M353" s="12"/>
      <c r="N353" s="12"/>
      <c r="O353" s="12"/>
      <c r="P353" s="27"/>
    </row>
    <row r="354" spans="5:16" x14ac:dyDescent="0.25">
      <c r="E354" s="8"/>
      <c r="J354" s="12"/>
      <c r="K354" s="12"/>
      <c r="L354" s="12"/>
      <c r="M354" s="12"/>
      <c r="N354" s="12"/>
      <c r="O354" s="12"/>
      <c r="P354" s="27"/>
    </row>
    <row r="355" spans="5:16" x14ac:dyDescent="0.25">
      <c r="E355" s="8"/>
      <c r="J355" s="12"/>
      <c r="K355" s="12"/>
      <c r="L355" s="12"/>
      <c r="M355" s="12"/>
      <c r="N355" s="12"/>
      <c r="O355" s="12"/>
      <c r="P355" s="27"/>
    </row>
    <row r="356" spans="5:16" x14ac:dyDescent="0.25">
      <c r="E356" s="8"/>
      <c r="J356" s="12"/>
      <c r="K356" s="12"/>
      <c r="L356" s="12"/>
      <c r="M356" s="12"/>
      <c r="N356" s="12"/>
      <c r="O356" s="12"/>
      <c r="P356" s="27"/>
    </row>
    <row r="357" spans="5:16" x14ac:dyDescent="0.25">
      <c r="E357" s="8"/>
      <c r="J357" s="12"/>
      <c r="K357" s="12"/>
      <c r="L357" s="12"/>
      <c r="M357" s="12"/>
      <c r="N357" s="12"/>
      <c r="O357" s="12"/>
      <c r="P357" s="27"/>
    </row>
    <row r="358" spans="5:16" x14ac:dyDescent="0.25">
      <c r="E358" s="8"/>
      <c r="J358" s="12"/>
      <c r="K358" s="12"/>
      <c r="L358" s="12"/>
      <c r="M358" s="12"/>
      <c r="N358" s="12"/>
      <c r="O358" s="12"/>
      <c r="P358" s="27"/>
    </row>
    <row r="359" spans="5:16" x14ac:dyDescent="0.25">
      <c r="E359" s="8"/>
      <c r="J359" s="12"/>
      <c r="K359" s="12"/>
      <c r="L359" s="12"/>
      <c r="M359" s="12"/>
      <c r="N359" s="12"/>
      <c r="O359" s="12"/>
      <c r="P359" s="27"/>
    </row>
    <row r="360" spans="5:16" x14ac:dyDescent="0.25">
      <c r="E360" s="8"/>
      <c r="J360" s="12"/>
      <c r="K360" s="12"/>
      <c r="L360" s="12"/>
      <c r="M360" s="12"/>
      <c r="N360" s="12"/>
      <c r="O360" s="12"/>
      <c r="P360" s="27"/>
    </row>
    <row r="361" spans="5:16" x14ac:dyDescent="0.25">
      <c r="E361" s="8"/>
      <c r="J361" s="12"/>
      <c r="K361" s="12"/>
      <c r="L361" s="12"/>
      <c r="M361" s="12"/>
      <c r="N361" s="12"/>
      <c r="O361" s="12"/>
      <c r="P361" s="27"/>
    </row>
    <row r="362" spans="5:16" x14ac:dyDescent="0.25">
      <c r="E362" s="8"/>
      <c r="J362" s="12"/>
      <c r="K362" s="12"/>
      <c r="L362" s="12"/>
      <c r="M362" s="12"/>
      <c r="N362" s="12"/>
      <c r="O362" s="12"/>
      <c r="P362" s="27"/>
    </row>
    <row r="363" spans="5:16" x14ac:dyDescent="0.25">
      <c r="E363" s="8"/>
      <c r="J363" s="12"/>
      <c r="K363" s="12"/>
      <c r="L363" s="12"/>
      <c r="M363" s="12"/>
      <c r="N363" s="12"/>
      <c r="O363" s="12"/>
      <c r="P363" s="27"/>
    </row>
    <row r="364" spans="5:16" x14ac:dyDescent="0.25">
      <c r="E364" s="8"/>
      <c r="J364" s="12"/>
      <c r="K364" s="12"/>
      <c r="L364" s="12"/>
      <c r="M364" s="12"/>
      <c r="N364" s="12"/>
      <c r="O364" s="12"/>
      <c r="P364" s="27"/>
    </row>
    <row r="365" spans="5:16" x14ac:dyDescent="0.25">
      <c r="E365" s="8"/>
      <c r="J365" s="12"/>
      <c r="K365" s="12"/>
      <c r="L365" s="12"/>
      <c r="M365" s="12"/>
      <c r="N365" s="12"/>
      <c r="O365" s="12"/>
      <c r="P365" s="27"/>
    </row>
    <row r="366" spans="5:16" x14ac:dyDescent="0.25">
      <c r="E366" s="8"/>
      <c r="J366" s="12"/>
      <c r="K366" s="12"/>
      <c r="L366" s="12"/>
      <c r="M366" s="12"/>
      <c r="N366" s="12"/>
      <c r="O366" s="12"/>
      <c r="P366" s="27"/>
    </row>
    <row r="367" spans="5:16" x14ac:dyDescent="0.25">
      <c r="E367" s="8"/>
      <c r="J367" s="12"/>
      <c r="K367" s="12"/>
      <c r="L367" s="12"/>
      <c r="M367" s="12"/>
      <c r="N367" s="12"/>
      <c r="O367" s="12"/>
      <c r="P367" s="27"/>
    </row>
    <row r="368" spans="5:16" x14ac:dyDescent="0.25">
      <c r="E368" s="8"/>
      <c r="J368" s="12"/>
      <c r="K368" s="12"/>
      <c r="L368" s="12"/>
      <c r="M368" s="12"/>
      <c r="N368" s="12"/>
      <c r="O368" s="12"/>
      <c r="P368" s="27"/>
    </row>
    <row r="369" spans="5:16" x14ac:dyDescent="0.25">
      <c r="E369" s="8"/>
      <c r="J369" s="12"/>
      <c r="K369" s="12"/>
      <c r="L369" s="12"/>
      <c r="M369" s="12"/>
      <c r="N369" s="12"/>
      <c r="O369" s="12"/>
      <c r="P369" s="27"/>
    </row>
    <row r="370" spans="5:16" x14ac:dyDescent="0.25">
      <c r="E370" s="8"/>
      <c r="J370" s="12"/>
      <c r="K370" s="12"/>
      <c r="L370" s="12"/>
      <c r="M370" s="12"/>
      <c r="N370" s="12"/>
      <c r="O370" s="12"/>
      <c r="P370" s="27"/>
    </row>
    <row r="371" spans="5:16" x14ac:dyDescent="0.25">
      <c r="E371" s="8"/>
      <c r="J371" s="12"/>
      <c r="K371" s="12"/>
      <c r="L371" s="12"/>
      <c r="M371" s="12"/>
      <c r="N371" s="12"/>
      <c r="O371" s="12"/>
      <c r="P371" s="27"/>
    </row>
    <row r="372" spans="5:16" x14ac:dyDescent="0.25">
      <c r="E372" s="8"/>
      <c r="J372" s="12"/>
      <c r="K372" s="12"/>
      <c r="L372" s="12"/>
      <c r="M372" s="12"/>
      <c r="N372" s="12"/>
      <c r="O372" s="12"/>
      <c r="P372" s="27"/>
    </row>
    <row r="373" spans="5:16" x14ac:dyDescent="0.25">
      <c r="E373" s="8"/>
      <c r="J373" s="12"/>
      <c r="K373" s="12"/>
      <c r="L373" s="12"/>
      <c r="M373" s="12"/>
      <c r="N373" s="12"/>
      <c r="O373" s="12"/>
      <c r="P373" s="27"/>
    </row>
    <row r="374" spans="5:16" x14ac:dyDescent="0.25">
      <c r="E374" s="8"/>
      <c r="J374" s="12"/>
      <c r="K374" s="12"/>
      <c r="L374" s="12"/>
      <c r="M374" s="12"/>
      <c r="N374" s="12"/>
      <c r="O374" s="12"/>
      <c r="P374" s="27"/>
    </row>
    <row r="375" spans="5:16" x14ac:dyDescent="0.25">
      <c r="E375" s="8"/>
      <c r="J375" s="12"/>
      <c r="K375" s="12"/>
      <c r="L375" s="12"/>
      <c r="M375" s="12"/>
      <c r="N375" s="12"/>
      <c r="O375" s="12"/>
      <c r="P375" s="27"/>
    </row>
    <row r="376" spans="5:16" x14ac:dyDescent="0.25">
      <c r="E376" s="8"/>
      <c r="J376" s="12"/>
      <c r="K376" s="12"/>
      <c r="L376" s="12"/>
      <c r="M376" s="12"/>
      <c r="N376" s="12"/>
      <c r="O376" s="12"/>
      <c r="P376" s="27"/>
    </row>
    <row r="377" spans="5:16" x14ac:dyDescent="0.25">
      <c r="E377" s="8"/>
      <c r="J377" s="12"/>
      <c r="K377" s="12"/>
      <c r="L377" s="12"/>
      <c r="M377" s="12"/>
      <c r="N377" s="12"/>
      <c r="O377" s="12"/>
      <c r="P377" s="27"/>
    </row>
    <row r="378" spans="5:16" x14ac:dyDescent="0.25">
      <c r="E378" s="8"/>
      <c r="J378" s="12"/>
      <c r="K378" s="12"/>
      <c r="L378" s="12"/>
      <c r="M378" s="12"/>
      <c r="N378" s="12"/>
      <c r="O378" s="12"/>
      <c r="P378" s="27"/>
    </row>
    <row r="379" spans="5:16" x14ac:dyDescent="0.25">
      <c r="E379" s="8"/>
      <c r="J379" s="12"/>
      <c r="K379" s="12"/>
      <c r="L379" s="12"/>
      <c r="M379" s="12"/>
      <c r="N379" s="12"/>
      <c r="O379" s="12"/>
      <c r="P379" s="27"/>
    </row>
    <row r="380" spans="5:16" x14ac:dyDescent="0.25">
      <c r="E380" s="8"/>
      <c r="J380" s="12"/>
      <c r="K380" s="12"/>
      <c r="L380" s="12"/>
      <c r="M380" s="12"/>
      <c r="N380" s="12"/>
      <c r="O380" s="12"/>
      <c r="P380" s="27"/>
    </row>
    <row r="381" spans="5:16" x14ac:dyDescent="0.25">
      <c r="E381" s="8"/>
      <c r="J381" s="12"/>
      <c r="K381" s="12"/>
      <c r="L381" s="12"/>
      <c r="M381" s="12"/>
      <c r="N381" s="12"/>
      <c r="O381" s="12"/>
      <c r="P381" s="27"/>
    </row>
    <row r="382" spans="5:16" x14ac:dyDescent="0.25">
      <c r="E382" s="8"/>
      <c r="J382" s="12"/>
      <c r="K382" s="12"/>
      <c r="L382" s="12"/>
      <c r="M382" s="12"/>
      <c r="N382" s="12"/>
      <c r="O382" s="12"/>
      <c r="P382" s="27"/>
    </row>
    <row r="383" spans="5:16" x14ac:dyDescent="0.25">
      <c r="E383" s="8"/>
      <c r="J383" s="12"/>
      <c r="K383" s="12"/>
      <c r="L383" s="12"/>
      <c r="M383" s="12"/>
      <c r="N383" s="12"/>
      <c r="O383" s="12"/>
      <c r="P383" s="27"/>
    </row>
    <row r="384" spans="5:16" x14ac:dyDescent="0.25">
      <c r="E384" s="8"/>
      <c r="J384" s="12"/>
      <c r="K384" s="12"/>
      <c r="L384" s="12"/>
      <c r="M384" s="12"/>
      <c r="N384" s="12"/>
      <c r="O384" s="12"/>
      <c r="P384" s="27"/>
    </row>
    <row r="385" spans="5:16" x14ac:dyDescent="0.25">
      <c r="E385" s="8"/>
      <c r="J385" s="12"/>
      <c r="K385" s="12"/>
      <c r="L385" s="12"/>
      <c r="M385" s="12"/>
      <c r="N385" s="12"/>
      <c r="O385" s="12"/>
      <c r="P385" s="27"/>
    </row>
    <row r="386" spans="5:16" x14ac:dyDescent="0.25">
      <c r="E386" s="8"/>
      <c r="J386" s="12"/>
      <c r="K386" s="12"/>
      <c r="L386" s="12"/>
      <c r="M386" s="12"/>
      <c r="N386" s="12"/>
      <c r="O386" s="12"/>
      <c r="P386" s="27"/>
    </row>
    <row r="387" spans="5:16" x14ac:dyDescent="0.25">
      <c r="E387" s="8"/>
      <c r="J387" s="12"/>
      <c r="K387" s="12"/>
      <c r="L387" s="12"/>
      <c r="M387" s="12"/>
      <c r="N387" s="12"/>
      <c r="O387" s="12"/>
      <c r="P387" s="27"/>
    </row>
    <row r="388" spans="5:16" x14ac:dyDescent="0.25">
      <c r="E388" s="8"/>
      <c r="J388" s="12"/>
      <c r="K388" s="12"/>
      <c r="L388" s="12"/>
      <c r="M388" s="12"/>
      <c r="N388" s="12"/>
      <c r="O388" s="12"/>
      <c r="P388" s="27"/>
    </row>
    <row r="389" spans="5:16" x14ac:dyDescent="0.25">
      <c r="E389" s="8"/>
      <c r="J389" s="12"/>
      <c r="K389" s="12"/>
      <c r="L389" s="12"/>
      <c r="M389" s="12"/>
      <c r="N389" s="12"/>
      <c r="O389" s="12"/>
      <c r="P389" s="27"/>
    </row>
    <row r="390" spans="5:16" x14ac:dyDescent="0.25">
      <c r="E390" s="8"/>
      <c r="J390" s="12"/>
      <c r="K390" s="12"/>
      <c r="L390" s="12"/>
      <c r="M390" s="12"/>
      <c r="N390" s="12"/>
      <c r="O390" s="12"/>
      <c r="P390" s="27"/>
    </row>
    <row r="391" spans="5:16" x14ac:dyDescent="0.25">
      <c r="E391" s="8"/>
      <c r="J391" s="12"/>
      <c r="K391" s="12"/>
      <c r="L391" s="12"/>
      <c r="M391" s="12"/>
      <c r="N391" s="12"/>
      <c r="O391" s="12"/>
      <c r="P391" s="27"/>
    </row>
    <row r="392" spans="5:16" x14ac:dyDescent="0.25">
      <c r="E392" s="8"/>
      <c r="J392" s="12"/>
      <c r="K392" s="12"/>
      <c r="L392" s="12"/>
      <c r="M392" s="12"/>
      <c r="N392" s="12"/>
      <c r="O392" s="12"/>
      <c r="P392" s="27"/>
    </row>
    <row r="393" spans="5:16" x14ac:dyDescent="0.25">
      <c r="E393" s="8"/>
      <c r="J393" s="12"/>
      <c r="K393" s="12"/>
      <c r="L393" s="12"/>
      <c r="M393" s="12"/>
      <c r="N393" s="12"/>
      <c r="O393" s="12"/>
      <c r="P393" s="27"/>
    </row>
    <row r="394" spans="5:16" x14ac:dyDescent="0.25">
      <c r="E394" s="8"/>
      <c r="J394" s="12"/>
      <c r="K394" s="12"/>
      <c r="L394" s="12"/>
      <c r="M394" s="12"/>
      <c r="N394" s="12"/>
      <c r="O394" s="12"/>
      <c r="P394" s="27"/>
    </row>
    <row r="395" spans="5:16" x14ac:dyDescent="0.25">
      <c r="E395" s="8"/>
      <c r="J395" s="12"/>
      <c r="K395" s="12"/>
      <c r="L395" s="12"/>
      <c r="M395" s="12"/>
      <c r="N395" s="12"/>
      <c r="O395" s="12"/>
      <c r="P395" s="27"/>
    </row>
    <row r="396" spans="5:16" x14ac:dyDescent="0.25">
      <c r="E396" s="8"/>
      <c r="J396" s="12"/>
      <c r="K396" s="12"/>
      <c r="L396" s="12"/>
      <c r="M396" s="12"/>
      <c r="N396" s="12"/>
      <c r="O396" s="12"/>
      <c r="P396" s="27"/>
    </row>
    <row r="397" spans="5:16" x14ac:dyDescent="0.25">
      <c r="E397" s="8"/>
      <c r="J397" s="12"/>
      <c r="K397" s="12"/>
      <c r="L397" s="12"/>
      <c r="M397" s="12"/>
      <c r="N397" s="12"/>
      <c r="O397" s="12"/>
      <c r="P397" s="27"/>
    </row>
    <row r="398" spans="5:16" x14ac:dyDescent="0.25">
      <c r="E398" s="8"/>
      <c r="J398" s="12"/>
      <c r="K398" s="12"/>
      <c r="L398" s="12"/>
      <c r="M398" s="12"/>
      <c r="N398" s="12"/>
      <c r="O398" s="12"/>
      <c r="P398" s="27"/>
    </row>
    <row r="399" spans="5:16" x14ac:dyDescent="0.25">
      <c r="E399" s="8"/>
      <c r="J399" s="12"/>
      <c r="K399" s="12"/>
      <c r="L399" s="12"/>
      <c r="M399" s="12"/>
      <c r="N399" s="12"/>
      <c r="O399" s="12"/>
      <c r="P399" s="27"/>
    </row>
    <row r="400" spans="5:16" x14ac:dyDescent="0.25">
      <c r="E400" s="8"/>
      <c r="J400" s="12"/>
      <c r="K400" s="12"/>
      <c r="L400" s="12"/>
      <c r="M400" s="12"/>
      <c r="N400" s="12"/>
      <c r="O400" s="12"/>
      <c r="P400" s="27"/>
    </row>
    <row r="401" spans="5:16" x14ac:dyDescent="0.25">
      <c r="E401" s="8"/>
      <c r="J401" s="12"/>
      <c r="K401" s="12"/>
      <c r="L401" s="12"/>
      <c r="M401" s="12"/>
      <c r="N401" s="12"/>
      <c r="O401" s="12"/>
      <c r="P401" s="27"/>
    </row>
    <row r="402" spans="5:16" x14ac:dyDescent="0.25">
      <c r="E402" s="8"/>
      <c r="J402" s="12"/>
      <c r="K402" s="12"/>
      <c r="L402" s="12"/>
      <c r="M402" s="12"/>
      <c r="N402" s="12"/>
      <c r="O402" s="12"/>
      <c r="P402" s="27"/>
    </row>
    <row r="403" spans="5:16" x14ac:dyDescent="0.25">
      <c r="E403" s="8"/>
      <c r="J403" s="12"/>
      <c r="K403" s="12"/>
      <c r="L403" s="12"/>
      <c r="M403" s="12"/>
      <c r="N403" s="12"/>
      <c r="O403" s="12"/>
      <c r="P403" s="27"/>
    </row>
    <row r="404" spans="5:16" x14ac:dyDescent="0.25">
      <c r="E404" s="8"/>
      <c r="J404" s="12"/>
      <c r="K404" s="12"/>
      <c r="L404" s="12"/>
      <c r="M404" s="12"/>
      <c r="N404" s="12"/>
      <c r="O404" s="12"/>
      <c r="P404" s="27"/>
    </row>
    <row r="405" spans="5:16" x14ac:dyDescent="0.25">
      <c r="E405" s="8"/>
      <c r="J405" s="12"/>
      <c r="K405" s="12"/>
      <c r="L405" s="12"/>
      <c r="M405" s="12"/>
      <c r="N405" s="12"/>
      <c r="O405" s="12"/>
      <c r="P405" s="27"/>
    </row>
    <row r="406" spans="5:16" x14ac:dyDescent="0.25">
      <c r="E406" s="8"/>
      <c r="J406" s="12"/>
      <c r="K406" s="12"/>
      <c r="L406" s="12"/>
      <c r="M406" s="12"/>
      <c r="N406" s="12"/>
      <c r="O406" s="12"/>
      <c r="P406" s="27"/>
    </row>
    <row r="407" spans="5:16" x14ac:dyDescent="0.25">
      <c r="E407" s="8"/>
      <c r="J407" s="12"/>
      <c r="K407" s="12"/>
      <c r="L407" s="12"/>
      <c r="M407" s="12"/>
      <c r="N407" s="12"/>
      <c r="O407" s="12"/>
      <c r="P407" s="27"/>
    </row>
    <row r="408" spans="5:16" x14ac:dyDescent="0.25">
      <c r="E408" s="8"/>
      <c r="J408" s="12"/>
      <c r="K408" s="12"/>
      <c r="L408" s="12"/>
      <c r="M408" s="12"/>
      <c r="N408" s="12"/>
      <c r="O408" s="12"/>
      <c r="P408" s="27"/>
    </row>
    <row r="409" spans="5:16" x14ac:dyDescent="0.25">
      <c r="E409" s="8"/>
      <c r="J409" s="12"/>
      <c r="K409" s="12"/>
      <c r="L409" s="12"/>
      <c r="M409" s="12"/>
      <c r="N409" s="12"/>
      <c r="O409" s="12"/>
      <c r="P409" s="27"/>
    </row>
    <row r="410" spans="5:16" x14ac:dyDescent="0.25">
      <c r="E410" s="8"/>
      <c r="J410" s="12"/>
      <c r="K410" s="12"/>
      <c r="L410" s="12"/>
      <c r="M410" s="12"/>
      <c r="N410" s="12"/>
      <c r="O410" s="12"/>
      <c r="P410" s="27"/>
    </row>
    <row r="411" spans="5:16" x14ac:dyDescent="0.25">
      <c r="E411" s="8"/>
      <c r="J411" s="12"/>
      <c r="K411" s="12"/>
      <c r="L411" s="12"/>
      <c r="M411" s="12"/>
      <c r="N411" s="12"/>
      <c r="O411" s="12"/>
      <c r="P411" s="27"/>
    </row>
    <row r="412" spans="5:16" x14ac:dyDescent="0.25">
      <c r="E412" s="8"/>
      <c r="J412" s="12"/>
      <c r="K412" s="12"/>
      <c r="L412" s="12"/>
      <c r="M412" s="12"/>
      <c r="N412" s="12"/>
      <c r="O412" s="12"/>
      <c r="P412" s="27"/>
    </row>
    <row r="413" spans="5:16" x14ac:dyDescent="0.25">
      <c r="E413" s="8"/>
      <c r="J413" s="12"/>
      <c r="K413" s="12"/>
      <c r="L413" s="12"/>
      <c r="M413" s="12"/>
      <c r="N413" s="12"/>
      <c r="O413" s="12"/>
      <c r="P413" s="27"/>
    </row>
    <row r="414" spans="5:16" x14ac:dyDescent="0.25">
      <c r="E414" s="8"/>
      <c r="J414" s="12"/>
      <c r="K414" s="12"/>
      <c r="L414" s="12"/>
      <c r="M414" s="12"/>
      <c r="N414" s="12"/>
      <c r="O414" s="12"/>
      <c r="P414" s="27"/>
    </row>
    <row r="415" spans="5:16" x14ac:dyDescent="0.25">
      <c r="E415" s="8"/>
      <c r="J415" s="12"/>
      <c r="K415" s="12"/>
      <c r="L415" s="12"/>
      <c r="M415" s="12"/>
      <c r="N415" s="12"/>
      <c r="O415" s="12"/>
      <c r="P415" s="27"/>
    </row>
    <row r="416" spans="5:16" x14ac:dyDescent="0.25">
      <c r="E416" s="8"/>
      <c r="J416" s="12"/>
      <c r="K416" s="12"/>
      <c r="L416" s="12"/>
      <c r="M416" s="12"/>
      <c r="N416" s="12"/>
      <c r="O416" s="12"/>
      <c r="P416" s="27"/>
    </row>
    <row r="417" spans="5:16" x14ac:dyDescent="0.25">
      <c r="E417" s="8"/>
      <c r="J417" s="12"/>
      <c r="K417" s="12"/>
      <c r="L417" s="12"/>
      <c r="M417" s="12"/>
      <c r="N417" s="12"/>
      <c r="O417" s="12"/>
      <c r="P417" s="27"/>
    </row>
    <row r="418" spans="5:16" x14ac:dyDescent="0.25">
      <c r="E418" s="8"/>
      <c r="J418" s="12"/>
      <c r="K418" s="12"/>
      <c r="L418" s="12"/>
      <c r="M418" s="12"/>
      <c r="N418" s="12"/>
      <c r="O418" s="12"/>
      <c r="P418" s="27"/>
    </row>
    <row r="419" spans="5:16" x14ac:dyDescent="0.25">
      <c r="E419" s="8"/>
      <c r="J419" s="12"/>
      <c r="K419" s="12"/>
      <c r="L419" s="12"/>
      <c r="M419" s="12"/>
      <c r="N419" s="12"/>
      <c r="O419" s="12"/>
      <c r="P419" s="27"/>
    </row>
    <row r="420" spans="5:16" x14ac:dyDescent="0.25">
      <c r="E420" s="8"/>
      <c r="J420" s="12"/>
      <c r="K420" s="12"/>
      <c r="L420" s="12"/>
      <c r="M420" s="12"/>
      <c r="N420" s="12"/>
      <c r="O420" s="12"/>
      <c r="P420" s="27"/>
    </row>
    <row r="421" spans="5:16" x14ac:dyDescent="0.25">
      <c r="E421" s="8"/>
      <c r="J421" s="12"/>
      <c r="K421" s="12"/>
      <c r="L421" s="12"/>
      <c r="M421" s="12"/>
      <c r="N421" s="12"/>
      <c r="O421" s="12"/>
      <c r="P421" s="27"/>
    </row>
    <row r="422" spans="5:16" x14ac:dyDescent="0.25">
      <c r="E422" s="8"/>
      <c r="J422" s="12"/>
      <c r="K422" s="12"/>
      <c r="L422" s="12"/>
      <c r="M422" s="12"/>
      <c r="N422" s="12"/>
      <c r="O422" s="12"/>
      <c r="P422" s="27"/>
    </row>
    <row r="423" spans="5:16" x14ac:dyDescent="0.25">
      <c r="E423" s="8"/>
      <c r="J423" s="12"/>
      <c r="K423" s="12"/>
      <c r="L423" s="12"/>
      <c r="M423" s="12"/>
      <c r="N423" s="12"/>
      <c r="O423" s="12"/>
      <c r="P423" s="27"/>
    </row>
    <row r="424" spans="5:16" x14ac:dyDescent="0.25">
      <c r="E424" s="8"/>
      <c r="J424" s="12"/>
      <c r="K424" s="12"/>
      <c r="L424" s="12"/>
      <c r="M424" s="12"/>
      <c r="N424" s="12"/>
      <c r="O424" s="12"/>
      <c r="P424" s="27"/>
    </row>
    <row r="425" spans="5:16" x14ac:dyDescent="0.25">
      <c r="E425" s="8"/>
      <c r="J425" s="12"/>
      <c r="K425" s="12"/>
      <c r="L425" s="12"/>
      <c r="M425" s="12"/>
      <c r="N425" s="12"/>
      <c r="O425" s="12"/>
      <c r="P425" s="27"/>
    </row>
    <row r="426" spans="5:16" x14ac:dyDescent="0.25">
      <c r="E426" s="8"/>
      <c r="J426" s="12"/>
      <c r="K426" s="12"/>
      <c r="L426" s="12"/>
      <c r="M426" s="12"/>
      <c r="N426" s="12"/>
      <c r="O426" s="12"/>
      <c r="P426" s="27"/>
    </row>
    <row r="427" spans="5:16" x14ac:dyDescent="0.25">
      <c r="E427" s="8"/>
      <c r="J427" s="12"/>
      <c r="K427" s="12"/>
      <c r="L427" s="12"/>
      <c r="M427" s="12"/>
      <c r="N427" s="12"/>
      <c r="O427" s="12"/>
      <c r="P427" s="27"/>
    </row>
    <row r="428" spans="5:16" x14ac:dyDescent="0.25">
      <c r="E428" s="8"/>
      <c r="J428" s="12"/>
      <c r="K428" s="12"/>
      <c r="L428" s="12"/>
      <c r="M428" s="12"/>
      <c r="N428" s="12"/>
      <c r="O428" s="12"/>
      <c r="P428" s="27"/>
    </row>
    <row r="429" spans="5:16" x14ac:dyDescent="0.25">
      <c r="E429" s="8"/>
      <c r="J429" s="12"/>
      <c r="K429" s="12"/>
      <c r="L429" s="12"/>
      <c r="M429" s="12"/>
      <c r="N429" s="12"/>
      <c r="O429" s="12"/>
      <c r="P429" s="27"/>
    </row>
    <row r="430" spans="5:16" x14ac:dyDescent="0.25">
      <c r="E430" s="8"/>
      <c r="J430" s="12"/>
      <c r="K430" s="12"/>
      <c r="L430" s="12"/>
      <c r="M430" s="12"/>
      <c r="N430" s="12"/>
      <c r="O430" s="12"/>
      <c r="P430" s="27"/>
    </row>
    <row r="431" spans="5:16" x14ac:dyDescent="0.25">
      <c r="E431" s="8"/>
      <c r="J431" s="12"/>
      <c r="K431" s="12"/>
      <c r="L431" s="12"/>
      <c r="M431" s="12"/>
      <c r="N431" s="12"/>
      <c r="O431" s="12"/>
      <c r="P431" s="27"/>
    </row>
    <row r="432" spans="5:16" x14ac:dyDescent="0.25">
      <c r="E432" s="8"/>
      <c r="J432" s="12"/>
      <c r="K432" s="12"/>
      <c r="L432" s="12"/>
      <c r="M432" s="12"/>
      <c r="N432" s="12"/>
      <c r="O432" s="12"/>
      <c r="P432" s="27"/>
    </row>
    <row r="433" spans="5:16" x14ac:dyDescent="0.25">
      <c r="E433" s="8"/>
      <c r="J433" s="12"/>
      <c r="K433" s="12"/>
      <c r="L433" s="12"/>
      <c r="M433" s="12"/>
      <c r="N433" s="12"/>
      <c r="O433" s="12"/>
      <c r="P433" s="27"/>
    </row>
    <row r="434" spans="5:16" x14ac:dyDescent="0.25">
      <c r="E434" s="8"/>
      <c r="J434" s="12"/>
      <c r="K434" s="12"/>
      <c r="L434" s="12"/>
      <c r="M434" s="12"/>
      <c r="N434" s="12"/>
      <c r="O434" s="12"/>
      <c r="P434" s="27"/>
    </row>
    <row r="435" spans="5:16" x14ac:dyDescent="0.25">
      <c r="E435" s="8"/>
      <c r="J435" s="12"/>
      <c r="K435" s="12"/>
      <c r="L435" s="12"/>
      <c r="M435" s="12"/>
      <c r="N435" s="12"/>
      <c r="O435" s="12"/>
      <c r="P435" s="27"/>
    </row>
    <row r="436" spans="5:16" x14ac:dyDescent="0.25">
      <c r="E436" s="8"/>
      <c r="J436" s="12"/>
      <c r="K436" s="12"/>
      <c r="L436" s="12"/>
      <c r="M436" s="12"/>
      <c r="N436" s="12"/>
      <c r="O436" s="12"/>
      <c r="P436" s="27"/>
    </row>
    <row r="437" spans="5:16" x14ac:dyDescent="0.25">
      <c r="E437" s="8"/>
      <c r="J437" s="12"/>
      <c r="K437" s="12"/>
      <c r="L437" s="12"/>
      <c r="M437" s="12"/>
      <c r="N437" s="12"/>
      <c r="O437" s="12"/>
      <c r="P437" s="27"/>
    </row>
    <row r="438" spans="5:16" x14ac:dyDescent="0.25">
      <c r="E438" s="8"/>
      <c r="J438" s="12"/>
      <c r="K438" s="12"/>
      <c r="L438" s="12"/>
      <c r="M438" s="12"/>
      <c r="N438" s="12"/>
      <c r="O438" s="12"/>
      <c r="P438" s="27"/>
    </row>
    <row r="439" spans="5:16" x14ac:dyDescent="0.25">
      <c r="E439" s="8"/>
      <c r="J439" s="12"/>
      <c r="K439" s="12"/>
      <c r="L439" s="12"/>
      <c r="M439" s="12"/>
      <c r="N439" s="12"/>
      <c r="O439" s="12"/>
      <c r="P439" s="27"/>
    </row>
    <row r="440" spans="5:16" x14ac:dyDescent="0.25">
      <c r="E440" s="8"/>
      <c r="J440" s="12"/>
      <c r="K440" s="12"/>
      <c r="L440" s="12"/>
      <c r="M440" s="12"/>
      <c r="N440" s="12"/>
      <c r="O440" s="12"/>
      <c r="P440" s="27"/>
    </row>
    <row r="441" spans="5:16" x14ac:dyDescent="0.25">
      <c r="E441" s="8"/>
      <c r="J441" s="12"/>
      <c r="K441" s="12"/>
      <c r="L441" s="12"/>
      <c r="M441" s="12"/>
      <c r="N441" s="12"/>
      <c r="O441" s="12"/>
      <c r="P441" s="27"/>
    </row>
    <row r="442" spans="5:16" x14ac:dyDescent="0.25">
      <c r="E442" s="8"/>
      <c r="J442" s="12"/>
      <c r="K442" s="12"/>
      <c r="L442" s="12"/>
      <c r="M442" s="12"/>
      <c r="N442" s="12"/>
      <c r="O442" s="12"/>
      <c r="P442" s="27"/>
    </row>
    <row r="443" spans="5:16" x14ac:dyDescent="0.25">
      <c r="E443" s="8"/>
      <c r="J443" s="12"/>
      <c r="K443" s="12"/>
      <c r="L443" s="12"/>
      <c r="M443" s="12"/>
      <c r="N443" s="12"/>
      <c r="O443" s="12"/>
      <c r="P443" s="27"/>
    </row>
    <row r="444" spans="5:16" x14ac:dyDescent="0.25">
      <c r="E444" s="8"/>
      <c r="J444" s="12"/>
      <c r="K444" s="12"/>
      <c r="L444" s="12"/>
      <c r="M444" s="12"/>
      <c r="N444" s="12"/>
      <c r="O444" s="12"/>
      <c r="P444" s="27"/>
    </row>
    <row r="445" spans="5:16" x14ac:dyDescent="0.25">
      <c r="E445" s="8"/>
      <c r="J445" s="12"/>
      <c r="K445" s="12"/>
      <c r="L445" s="12"/>
      <c r="M445" s="12"/>
      <c r="N445" s="12"/>
      <c r="O445" s="12"/>
      <c r="P445" s="27"/>
    </row>
    <row r="446" spans="5:16" x14ac:dyDescent="0.25">
      <c r="E446" s="8"/>
      <c r="J446" s="12"/>
      <c r="K446" s="12"/>
      <c r="L446" s="12"/>
      <c r="M446" s="12"/>
      <c r="N446" s="12"/>
      <c r="O446" s="12"/>
      <c r="P446" s="27"/>
    </row>
    <row r="447" spans="5:16" x14ac:dyDescent="0.25">
      <c r="E447" s="8"/>
      <c r="J447" s="12"/>
      <c r="K447" s="12"/>
      <c r="L447" s="12"/>
      <c r="M447" s="12"/>
      <c r="N447" s="12"/>
      <c r="O447" s="12"/>
      <c r="P447" s="27"/>
    </row>
    <row r="448" spans="5:16" x14ac:dyDescent="0.25">
      <c r="E448" s="8"/>
      <c r="J448" s="12"/>
      <c r="K448" s="12"/>
      <c r="L448" s="12"/>
      <c r="M448" s="12"/>
      <c r="N448" s="12"/>
      <c r="O448" s="12"/>
      <c r="P448" s="27"/>
    </row>
    <row r="449" spans="5:16" x14ac:dyDescent="0.25">
      <c r="E449" s="8"/>
      <c r="J449" s="12"/>
      <c r="K449" s="12"/>
      <c r="L449" s="12"/>
      <c r="M449" s="12"/>
      <c r="N449" s="12"/>
      <c r="O449" s="12"/>
      <c r="P449" s="27"/>
    </row>
    <row r="450" spans="5:16" x14ac:dyDescent="0.25">
      <c r="E450" s="8"/>
      <c r="J450" s="12"/>
      <c r="K450" s="12"/>
      <c r="L450" s="12"/>
      <c r="M450" s="12"/>
      <c r="N450" s="12"/>
      <c r="O450" s="12"/>
      <c r="P450" s="27"/>
    </row>
    <row r="451" spans="5:16" x14ac:dyDescent="0.25">
      <c r="E451" s="8"/>
      <c r="J451" s="12"/>
      <c r="K451" s="12"/>
      <c r="L451" s="12"/>
      <c r="M451" s="12"/>
      <c r="N451" s="12"/>
      <c r="O451" s="12"/>
      <c r="P451" s="27"/>
    </row>
    <row r="452" spans="5:16" x14ac:dyDescent="0.25">
      <c r="E452" s="8"/>
      <c r="J452" s="12"/>
      <c r="K452" s="12"/>
      <c r="L452" s="12"/>
      <c r="M452" s="12"/>
      <c r="N452" s="12"/>
      <c r="O452" s="12"/>
      <c r="P452" s="27"/>
    </row>
    <row r="453" spans="5:16" x14ac:dyDescent="0.25">
      <c r="E453" s="8"/>
      <c r="J453" s="12"/>
      <c r="K453" s="12"/>
      <c r="L453" s="12"/>
      <c r="M453" s="12"/>
      <c r="N453" s="12"/>
      <c r="O453" s="12"/>
      <c r="P453" s="27"/>
    </row>
    <row r="454" spans="5:16" x14ac:dyDescent="0.25">
      <c r="E454" s="8"/>
      <c r="J454" s="12"/>
      <c r="K454" s="12"/>
      <c r="L454" s="12"/>
      <c r="M454" s="12"/>
      <c r="N454" s="12"/>
      <c r="O454" s="12"/>
      <c r="P454" s="27"/>
    </row>
    <row r="455" spans="5:16" x14ac:dyDescent="0.25">
      <c r="E455" s="8"/>
      <c r="J455" s="12"/>
      <c r="K455" s="12"/>
      <c r="L455" s="12"/>
      <c r="M455" s="12"/>
      <c r="N455" s="12"/>
      <c r="O455" s="12"/>
      <c r="P455" s="27"/>
    </row>
    <row r="456" spans="5:16" x14ac:dyDescent="0.25">
      <c r="E456" s="8"/>
      <c r="J456" s="12"/>
      <c r="K456" s="12"/>
      <c r="L456" s="12"/>
      <c r="M456" s="12"/>
      <c r="N456" s="12"/>
      <c r="O456" s="12"/>
      <c r="P456" s="27"/>
    </row>
    <row r="457" spans="5:16" x14ac:dyDescent="0.25">
      <c r="E457" s="8"/>
      <c r="J457" s="12"/>
      <c r="K457" s="12"/>
      <c r="L457" s="12"/>
      <c r="M457" s="12"/>
      <c r="N457" s="12"/>
      <c r="O457" s="12"/>
      <c r="P457" s="27"/>
    </row>
    <row r="458" spans="5:16" x14ac:dyDescent="0.25">
      <c r="E458" s="8"/>
      <c r="J458" s="12"/>
      <c r="K458" s="12"/>
      <c r="L458" s="12"/>
      <c r="M458" s="12"/>
      <c r="N458" s="12"/>
      <c r="O458" s="12"/>
      <c r="P458" s="27"/>
    </row>
    <row r="459" spans="5:16" x14ac:dyDescent="0.25">
      <c r="E459" s="8"/>
      <c r="J459" s="12"/>
      <c r="K459" s="12"/>
      <c r="L459" s="12"/>
      <c r="M459" s="12"/>
      <c r="N459" s="12"/>
      <c r="O459" s="12"/>
      <c r="P459" s="27"/>
    </row>
    <row r="460" spans="5:16" x14ac:dyDescent="0.25">
      <c r="E460" s="8"/>
      <c r="J460" s="12"/>
      <c r="K460" s="12"/>
      <c r="L460" s="12"/>
      <c r="M460" s="12"/>
      <c r="N460" s="12"/>
      <c r="O460" s="12"/>
      <c r="P460" s="27"/>
    </row>
    <row r="461" spans="5:16" x14ac:dyDescent="0.25">
      <c r="E461" s="8"/>
      <c r="J461" s="12"/>
      <c r="K461" s="12"/>
      <c r="L461" s="12"/>
      <c r="M461" s="12"/>
      <c r="N461" s="12"/>
      <c r="O461" s="12"/>
      <c r="P461" s="27"/>
    </row>
    <row r="462" spans="5:16" x14ac:dyDescent="0.25">
      <c r="E462" s="8"/>
      <c r="J462" s="12"/>
      <c r="K462" s="12"/>
      <c r="L462" s="12"/>
      <c r="M462" s="12"/>
      <c r="N462" s="12"/>
      <c r="O462" s="12"/>
      <c r="P462" s="27"/>
    </row>
    <row r="463" spans="5:16" x14ac:dyDescent="0.25">
      <c r="E463" s="8"/>
      <c r="J463" s="12"/>
      <c r="K463" s="12"/>
      <c r="L463" s="12"/>
      <c r="M463" s="12"/>
      <c r="N463" s="12"/>
      <c r="O463" s="12"/>
      <c r="P463" s="27"/>
    </row>
    <row r="464" spans="5:16" x14ac:dyDescent="0.25">
      <c r="E464" s="8"/>
      <c r="J464" s="12"/>
      <c r="K464" s="12"/>
      <c r="L464" s="12"/>
      <c r="M464" s="12"/>
      <c r="N464" s="12"/>
      <c r="O464" s="12"/>
      <c r="P464" s="27"/>
    </row>
    <row r="465" spans="5:16" x14ac:dyDescent="0.25">
      <c r="E465" s="8"/>
      <c r="J465" s="12"/>
      <c r="K465" s="12"/>
      <c r="L465" s="12"/>
      <c r="M465" s="12"/>
      <c r="N465" s="12"/>
      <c r="O465" s="12"/>
      <c r="P465" s="27"/>
    </row>
    <row r="466" spans="5:16" x14ac:dyDescent="0.25">
      <c r="E466" s="8"/>
      <c r="J466" s="12"/>
      <c r="K466" s="12"/>
      <c r="L466" s="12"/>
      <c r="M466" s="12"/>
      <c r="N466" s="12"/>
      <c r="O466" s="12"/>
      <c r="P466" s="27"/>
    </row>
    <row r="467" spans="5:16" x14ac:dyDescent="0.25">
      <c r="E467" s="8"/>
      <c r="J467" s="12"/>
      <c r="K467" s="12"/>
      <c r="L467" s="12"/>
      <c r="M467" s="12"/>
      <c r="N467" s="12"/>
      <c r="O467" s="12"/>
      <c r="P467" s="27"/>
    </row>
    <row r="468" spans="5:16" x14ac:dyDescent="0.25">
      <c r="E468" s="8"/>
      <c r="J468" s="12"/>
      <c r="K468" s="12"/>
      <c r="L468" s="12"/>
      <c r="M468" s="12"/>
      <c r="N468" s="12"/>
      <c r="O468" s="12"/>
      <c r="P468" s="27"/>
    </row>
    <row r="469" spans="5:16" x14ac:dyDescent="0.25">
      <c r="E469" s="8"/>
      <c r="J469" s="12"/>
      <c r="K469" s="12"/>
      <c r="L469" s="12"/>
      <c r="M469" s="12"/>
      <c r="N469" s="12"/>
      <c r="O469" s="12"/>
      <c r="P469" s="27"/>
    </row>
    <row r="470" spans="5:16" x14ac:dyDescent="0.25">
      <c r="E470" s="8"/>
      <c r="J470" s="12"/>
      <c r="K470" s="12"/>
      <c r="L470" s="12"/>
      <c r="M470" s="12"/>
      <c r="N470" s="12"/>
      <c r="O470" s="12"/>
      <c r="P470" s="27"/>
    </row>
    <row r="471" spans="5:16" x14ac:dyDescent="0.25">
      <c r="E471" s="8"/>
      <c r="J471" s="12"/>
      <c r="K471" s="12"/>
      <c r="L471" s="12"/>
      <c r="M471" s="12"/>
      <c r="N471" s="12"/>
      <c r="O471" s="12"/>
      <c r="P471" s="27"/>
    </row>
    <row r="472" spans="5:16" x14ac:dyDescent="0.25">
      <c r="E472" s="8"/>
      <c r="J472" s="12"/>
      <c r="K472" s="12"/>
      <c r="L472" s="12"/>
      <c r="M472" s="12"/>
      <c r="N472" s="12"/>
      <c r="O472" s="12"/>
      <c r="P472" s="27"/>
    </row>
    <row r="473" spans="5:16" x14ac:dyDescent="0.25">
      <c r="E473" s="8"/>
      <c r="J473" s="12"/>
      <c r="K473" s="12"/>
      <c r="L473" s="12"/>
      <c r="M473" s="12"/>
      <c r="N473" s="12"/>
      <c r="O473" s="12"/>
      <c r="P473" s="27"/>
    </row>
    <row r="474" spans="5:16" x14ac:dyDescent="0.25">
      <c r="E474" s="8"/>
      <c r="J474" s="12"/>
      <c r="K474" s="12"/>
      <c r="L474" s="12"/>
      <c r="M474" s="12"/>
      <c r="N474" s="12"/>
      <c r="O474" s="12"/>
      <c r="P474" s="27"/>
    </row>
    <row r="475" spans="5:16" x14ac:dyDescent="0.25">
      <c r="E475" s="8"/>
      <c r="J475" s="12"/>
      <c r="K475" s="12"/>
      <c r="L475" s="12"/>
      <c r="M475" s="12"/>
      <c r="N475" s="12"/>
      <c r="O475" s="12"/>
      <c r="P475" s="27"/>
    </row>
    <row r="476" spans="5:16" x14ac:dyDescent="0.25">
      <c r="E476" s="8"/>
      <c r="J476" s="12"/>
      <c r="K476" s="12"/>
      <c r="L476" s="12"/>
      <c r="M476" s="12"/>
      <c r="N476" s="12"/>
      <c r="O476" s="12"/>
      <c r="P476" s="27"/>
    </row>
    <row r="477" spans="5:16" x14ac:dyDescent="0.25">
      <c r="E477" s="8"/>
      <c r="J477" s="12"/>
      <c r="K477" s="12"/>
      <c r="L477" s="12"/>
      <c r="M477" s="12"/>
      <c r="N477" s="12"/>
      <c r="O477" s="12"/>
      <c r="P477" s="27"/>
    </row>
    <row r="478" spans="5:16" x14ac:dyDescent="0.25">
      <c r="E478" s="8"/>
      <c r="J478" s="12"/>
      <c r="K478" s="12"/>
      <c r="L478" s="12"/>
      <c r="M478" s="12"/>
      <c r="N478" s="12"/>
      <c r="O478" s="12"/>
      <c r="P478" s="27"/>
    </row>
    <row r="479" spans="5:16" x14ac:dyDescent="0.25">
      <c r="E479" s="8"/>
      <c r="J479" s="12"/>
      <c r="K479" s="12"/>
      <c r="L479" s="12"/>
      <c r="M479" s="12"/>
      <c r="N479" s="12"/>
      <c r="O479" s="12"/>
      <c r="P479" s="27"/>
    </row>
    <row r="480" spans="5:16" x14ac:dyDescent="0.25">
      <c r="E480" s="8"/>
      <c r="J480" s="12"/>
      <c r="K480" s="12"/>
      <c r="L480" s="12"/>
      <c r="M480" s="12"/>
      <c r="N480" s="12"/>
      <c r="O480" s="12"/>
      <c r="P480" s="27"/>
    </row>
    <row r="481" spans="5:16" x14ac:dyDescent="0.25">
      <c r="E481" s="8"/>
      <c r="J481" s="12"/>
      <c r="K481" s="12"/>
      <c r="L481" s="12"/>
      <c r="M481" s="12"/>
      <c r="N481" s="12"/>
      <c r="O481" s="12"/>
      <c r="P481" s="27"/>
    </row>
    <row r="482" spans="5:16" x14ac:dyDescent="0.25">
      <c r="E482" s="8"/>
      <c r="J482" s="12"/>
      <c r="K482" s="12"/>
      <c r="L482" s="12"/>
      <c r="M482" s="12"/>
      <c r="N482" s="12"/>
      <c r="O482" s="12"/>
      <c r="P482" s="27"/>
    </row>
    <row r="483" spans="5:16" x14ac:dyDescent="0.25">
      <c r="E483" s="8"/>
      <c r="J483" s="12"/>
      <c r="K483" s="12"/>
      <c r="L483" s="12"/>
      <c r="M483" s="12"/>
      <c r="N483" s="12"/>
      <c r="O483" s="12"/>
      <c r="P483" s="27"/>
    </row>
    <row r="484" spans="5:16" x14ac:dyDescent="0.25">
      <c r="E484" s="8"/>
      <c r="J484" s="12"/>
      <c r="K484" s="12"/>
      <c r="L484" s="12"/>
      <c r="M484" s="12"/>
      <c r="N484" s="12"/>
      <c r="O484" s="12"/>
      <c r="P484" s="27"/>
    </row>
    <row r="485" spans="5:16" x14ac:dyDescent="0.25">
      <c r="E485" s="8"/>
      <c r="J485" s="12"/>
      <c r="K485" s="12"/>
      <c r="L485" s="12"/>
      <c r="M485" s="12"/>
      <c r="N485" s="12"/>
      <c r="O485" s="12"/>
      <c r="P485" s="27"/>
    </row>
    <row r="486" spans="5:16" x14ac:dyDescent="0.25">
      <c r="E486" s="8"/>
      <c r="J486" s="12"/>
      <c r="K486" s="12"/>
      <c r="L486" s="12"/>
      <c r="M486" s="12"/>
      <c r="N486" s="12"/>
      <c r="O486" s="12"/>
      <c r="P486" s="27"/>
    </row>
    <row r="487" spans="5:16" x14ac:dyDescent="0.25">
      <c r="E487" s="8"/>
      <c r="J487" s="12"/>
      <c r="K487" s="12"/>
      <c r="L487" s="12"/>
      <c r="M487" s="12"/>
      <c r="N487" s="12"/>
      <c r="O487" s="12"/>
      <c r="P487" s="27"/>
    </row>
    <row r="488" spans="5:16" x14ac:dyDescent="0.25">
      <c r="E488" s="8"/>
      <c r="J488" s="12"/>
      <c r="K488" s="12"/>
      <c r="L488" s="12"/>
      <c r="M488" s="12"/>
      <c r="N488" s="12"/>
      <c r="O488" s="12"/>
      <c r="P488" s="27"/>
    </row>
    <row r="489" spans="5:16" x14ac:dyDescent="0.25">
      <c r="E489" s="8"/>
      <c r="J489" s="12"/>
      <c r="K489" s="12"/>
      <c r="L489" s="12"/>
      <c r="M489" s="12"/>
      <c r="N489" s="12"/>
      <c r="O489" s="12"/>
      <c r="P489" s="27"/>
    </row>
    <row r="490" spans="5:16" x14ac:dyDescent="0.25">
      <c r="E490" s="8"/>
      <c r="J490" s="12"/>
      <c r="K490" s="12"/>
      <c r="L490" s="12"/>
      <c r="M490" s="12"/>
      <c r="N490" s="12"/>
      <c r="O490" s="12"/>
      <c r="P490" s="27"/>
    </row>
    <row r="491" spans="5:16" x14ac:dyDescent="0.25">
      <c r="E491" s="8"/>
      <c r="J491" s="12"/>
      <c r="K491" s="12"/>
      <c r="L491" s="12"/>
      <c r="M491" s="12"/>
      <c r="N491" s="12"/>
      <c r="O491" s="12"/>
      <c r="P491" s="27"/>
    </row>
    <row r="492" spans="5:16" x14ac:dyDescent="0.25">
      <c r="E492" s="8"/>
      <c r="J492" s="12"/>
      <c r="K492" s="12"/>
      <c r="L492" s="12"/>
      <c r="M492" s="12"/>
      <c r="N492" s="12"/>
      <c r="O492" s="12"/>
      <c r="P492" s="27"/>
    </row>
    <row r="493" spans="5:16" x14ac:dyDescent="0.25">
      <c r="E493" s="8"/>
      <c r="J493" s="12"/>
      <c r="K493" s="12"/>
      <c r="L493" s="12"/>
      <c r="M493" s="12"/>
      <c r="N493" s="12"/>
      <c r="O493" s="12"/>
      <c r="P493" s="27"/>
    </row>
    <row r="494" spans="5:16" x14ac:dyDescent="0.25">
      <c r="E494" s="8"/>
      <c r="J494" s="12"/>
      <c r="K494" s="12"/>
      <c r="L494" s="12"/>
      <c r="M494" s="12"/>
      <c r="N494" s="12"/>
      <c r="O494" s="12"/>
      <c r="P494" s="27"/>
    </row>
    <row r="495" spans="5:16" x14ac:dyDescent="0.25">
      <c r="E495" s="8"/>
      <c r="J495" s="12"/>
      <c r="K495" s="12"/>
      <c r="L495" s="12"/>
      <c r="M495" s="12"/>
      <c r="N495" s="12"/>
      <c r="O495" s="12"/>
      <c r="P495" s="27"/>
    </row>
    <row r="496" spans="5:16" x14ac:dyDescent="0.25">
      <c r="E496" s="8"/>
      <c r="J496" s="12"/>
      <c r="K496" s="12"/>
      <c r="L496" s="12"/>
      <c r="M496" s="12"/>
      <c r="N496" s="12"/>
      <c r="O496" s="12"/>
      <c r="P496" s="27"/>
    </row>
    <row r="497" spans="5:16" x14ac:dyDescent="0.25">
      <c r="E497" s="8"/>
      <c r="J497" s="12"/>
      <c r="K497" s="12"/>
      <c r="L497" s="12"/>
      <c r="M497" s="12"/>
      <c r="N497" s="12"/>
      <c r="O497" s="12"/>
      <c r="P497" s="27"/>
    </row>
    <row r="498" spans="5:16" x14ac:dyDescent="0.25">
      <c r="E498" s="8"/>
      <c r="J498" s="12"/>
      <c r="K498" s="12"/>
      <c r="L498" s="12"/>
      <c r="M498" s="12"/>
      <c r="N498" s="12"/>
      <c r="O498" s="12"/>
      <c r="P498" s="27"/>
    </row>
    <row r="499" spans="5:16" x14ac:dyDescent="0.25">
      <c r="E499" s="8"/>
      <c r="J499" s="12"/>
      <c r="K499" s="12"/>
      <c r="L499" s="12"/>
      <c r="M499" s="12"/>
      <c r="N499" s="12"/>
      <c r="O499" s="12"/>
      <c r="P499" s="27"/>
    </row>
    <row r="500" spans="5:16" x14ac:dyDescent="0.25">
      <c r="E500" s="8"/>
      <c r="J500" s="12"/>
      <c r="K500" s="12"/>
      <c r="L500" s="12"/>
      <c r="M500" s="12"/>
      <c r="N500" s="12"/>
      <c r="O500" s="12"/>
      <c r="P500" s="27"/>
    </row>
    <row r="501" spans="5:16" x14ac:dyDescent="0.25">
      <c r="E501" s="8"/>
      <c r="J501" s="12"/>
      <c r="K501" s="12"/>
      <c r="L501" s="12"/>
      <c r="M501" s="12"/>
      <c r="N501" s="12"/>
      <c r="O501" s="12"/>
      <c r="P501" s="27"/>
    </row>
    <row r="502" spans="5:16" x14ac:dyDescent="0.25">
      <c r="E502" s="8"/>
      <c r="J502" s="12"/>
      <c r="K502" s="12"/>
      <c r="L502" s="12"/>
      <c r="M502" s="12"/>
      <c r="N502" s="12"/>
      <c r="O502" s="12"/>
      <c r="P502" s="27"/>
    </row>
    <row r="503" spans="5:16" x14ac:dyDescent="0.25">
      <c r="E503" s="8"/>
      <c r="J503" s="12"/>
      <c r="K503" s="12"/>
      <c r="L503" s="12"/>
      <c r="M503" s="12"/>
      <c r="N503" s="12"/>
      <c r="O503" s="12"/>
      <c r="P503" s="27"/>
    </row>
    <row r="504" spans="5:16" x14ac:dyDescent="0.25">
      <c r="E504" s="8"/>
      <c r="J504" s="12"/>
      <c r="K504" s="12"/>
      <c r="L504" s="12"/>
      <c r="M504" s="12"/>
      <c r="N504" s="12"/>
      <c r="O504" s="12"/>
      <c r="P504" s="27"/>
    </row>
    <row r="505" spans="5:16" x14ac:dyDescent="0.25">
      <c r="E505" s="8"/>
      <c r="J505" s="12"/>
      <c r="K505" s="12"/>
      <c r="L505" s="12"/>
      <c r="M505" s="12"/>
      <c r="N505" s="12"/>
      <c r="O505" s="12"/>
      <c r="P505" s="27"/>
    </row>
    <row r="506" spans="5:16" x14ac:dyDescent="0.25">
      <c r="E506" s="8"/>
      <c r="J506" s="12"/>
      <c r="K506" s="12"/>
      <c r="L506" s="12"/>
      <c r="M506" s="12"/>
      <c r="N506" s="12"/>
      <c r="O506" s="12"/>
      <c r="P506" s="27"/>
    </row>
    <row r="507" spans="5:16" x14ac:dyDescent="0.25">
      <c r="E507" s="8"/>
      <c r="J507" s="12"/>
      <c r="K507" s="12"/>
      <c r="L507" s="12"/>
      <c r="M507" s="12"/>
      <c r="N507" s="12"/>
      <c r="O507" s="12"/>
      <c r="P507" s="27"/>
    </row>
    <row r="508" spans="5:16" x14ac:dyDescent="0.25">
      <c r="E508" s="8"/>
      <c r="J508" s="12"/>
      <c r="K508" s="12"/>
      <c r="L508" s="12"/>
      <c r="M508" s="12"/>
      <c r="N508" s="12"/>
      <c r="O508" s="12"/>
      <c r="P508" s="27"/>
    </row>
    <row r="509" spans="5:16" x14ac:dyDescent="0.25">
      <c r="E509" s="8"/>
      <c r="J509" s="12"/>
      <c r="K509" s="12"/>
      <c r="L509" s="12"/>
      <c r="M509" s="12"/>
      <c r="N509" s="12"/>
      <c r="O509" s="12"/>
      <c r="P509" s="27"/>
    </row>
    <row r="510" spans="5:16" x14ac:dyDescent="0.25">
      <c r="E510" s="8"/>
      <c r="J510" s="12"/>
      <c r="K510" s="12"/>
      <c r="L510" s="12"/>
      <c r="M510" s="12"/>
      <c r="N510" s="12"/>
      <c r="O510" s="12"/>
      <c r="P510" s="27"/>
    </row>
    <row r="511" spans="5:16" x14ac:dyDescent="0.25">
      <c r="E511" s="8"/>
      <c r="J511" s="12"/>
      <c r="K511" s="12"/>
      <c r="L511" s="12"/>
      <c r="M511" s="12"/>
      <c r="N511" s="12"/>
      <c r="O511" s="12"/>
      <c r="P511" s="27"/>
    </row>
    <row r="512" spans="5:16" x14ac:dyDescent="0.25">
      <c r="E512" s="8"/>
      <c r="J512" s="12"/>
      <c r="K512" s="12"/>
      <c r="L512" s="12"/>
      <c r="M512" s="12"/>
      <c r="N512" s="12"/>
      <c r="O512" s="12"/>
      <c r="P512" s="27"/>
    </row>
    <row r="513" spans="5:16" x14ac:dyDescent="0.25">
      <c r="E513" s="8"/>
      <c r="J513" s="12"/>
      <c r="K513" s="12"/>
      <c r="L513" s="12"/>
      <c r="M513" s="12"/>
      <c r="N513" s="12"/>
      <c r="O513" s="12"/>
      <c r="P513" s="27"/>
    </row>
    <row r="514" spans="5:16" x14ac:dyDescent="0.25">
      <c r="E514" s="8"/>
      <c r="J514" s="12"/>
      <c r="K514" s="12"/>
      <c r="L514" s="12"/>
      <c r="M514" s="12"/>
      <c r="N514" s="12"/>
      <c r="O514" s="12"/>
      <c r="P514" s="27"/>
    </row>
    <row r="515" spans="5:16" x14ac:dyDescent="0.25">
      <c r="E515" s="8"/>
      <c r="J515" s="12"/>
      <c r="K515" s="12"/>
      <c r="L515" s="12"/>
      <c r="M515" s="12"/>
      <c r="N515" s="12"/>
      <c r="O515" s="12"/>
      <c r="P515" s="27"/>
    </row>
    <row r="516" spans="5:16" x14ac:dyDescent="0.25">
      <c r="E516" s="8"/>
      <c r="J516" s="12"/>
      <c r="K516" s="12"/>
      <c r="L516" s="12"/>
      <c r="M516" s="12"/>
      <c r="N516" s="12"/>
      <c r="O516" s="12"/>
      <c r="P516" s="27"/>
    </row>
    <row r="517" spans="5:16" x14ac:dyDescent="0.25">
      <c r="E517" s="8"/>
      <c r="J517" s="12"/>
      <c r="K517" s="12"/>
      <c r="L517" s="12"/>
      <c r="M517" s="12"/>
      <c r="N517" s="12"/>
      <c r="O517" s="12"/>
      <c r="P517" s="27"/>
    </row>
    <row r="518" spans="5:16" x14ac:dyDescent="0.25">
      <c r="E518" s="8"/>
      <c r="J518" s="12"/>
      <c r="K518" s="12"/>
      <c r="L518" s="12"/>
      <c r="M518" s="12"/>
      <c r="N518" s="12"/>
      <c r="O518" s="12"/>
      <c r="P518" s="27"/>
    </row>
    <row r="519" spans="5:16" x14ac:dyDescent="0.25">
      <c r="E519" s="8"/>
      <c r="J519" s="12"/>
      <c r="K519" s="12"/>
      <c r="L519" s="12"/>
      <c r="M519" s="12"/>
      <c r="N519" s="12"/>
      <c r="O519" s="12"/>
      <c r="P519" s="27"/>
    </row>
    <row r="520" spans="5:16" x14ac:dyDescent="0.25">
      <c r="E520" s="8"/>
      <c r="J520" s="12"/>
      <c r="K520" s="12"/>
      <c r="L520" s="12"/>
      <c r="M520" s="12"/>
      <c r="N520" s="12"/>
      <c r="O520" s="12"/>
      <c r="P520" s="27"/>
    </row>
    <row r="521" spans="5:16" x14ac:dyDescent="0.25">
      <c r="E521" s="8"/>
      <c r="J521" s="12"/>
      <c r="K521" s="12"/>
      <c r="L521" s="12"/>
      <c r="M521" s="12"/>
      <c r="N521" s="12"/>
      <c r="O521" s="12"/>
      <c r="P521" s="27"/>
    </row>
    <row r="522" spans="5:16" x14ac:dyDescent="0.25">
      <c r="E522" s="8"/>
      <c r="J522" s="12"/>
      <c r="K522" s="12"/>
      <c r="L522" s="12"/>
      <c r="M522" s="12"/>
      <c r="N522" s="12"/>
      <c r="O522" s="12"/>
      <c r="P522" s="27"/>
    </row>
    <row r="523" spans="5:16" x14ac:dyDescent="0.25">
      <c r="E523" s="8"/>
      <c r="J523" s="12"/>
      <c r="K523" s="12"/>
      <c r="L523" s="12"/>
      <c r="M523" s="12"/>
      <c r="N523" s="12"/>
      <c r="O523" s="12"/>
      <c r="P523" s="27"/>
    </row>
    <row r="524" spans="5:16" x14ac:dyDescent="0.25">
      <c r="E524" s="8"/>
      <c r="J524" s="12"/>
      <c r="K524" s="12"/>
      <c r="L524" s="12"/>
      <c r="M524" s="12"/>
      <c r="N524" s="12"/>
      <c r="O524" s="12"/>
      <c r="P524" s="27"/>
    </row>
    <row r="525" spans="5:16" x14ac:dyDescent="0.25">
      <c r="E525" s="8"/>
      <c r="J525" s="12"/>
      <c r="K525" s="12"/>
      <c r="L525" s="12"/>
      <c r="M525" s="12"/>
      <c r="N525" s="12"/>
      <c r="O525" s="12"/>
      <c r="P525" s="27"/>
    </row>
    <row r="526" spans="5:16" x14ac:dyDescent="0.25">
      <c r="E526" s="8"/>
      <c r="J526" s="12"/>
      <c r="K526" s="12"/>
      <c r="L526" s="12"/>
      <c r="M526" s="12"/>
      <c r="N526" s="12"/>
      <c r="O526" s="12"/>
      <c r="P526" s="27"/>
    </row>
    <row r="527" spans="5:16" x14ac:dyDescent="0.25">
      <c r="E527" s="8"/>
      <c r="J527" s="12"/>
      <c r="K527" s="12"/>
      <c r="L527" s="12"/>
      <c r="M527" s="12"/>
      <c r="N527" s="12"/>
      <c r="O527" s="12"/>
      <c r="P527" s="27"/>
    </row>
    <row r="528" spans="5:16" x14ac:dyDescent="0.25">
      <c r="E528" s="8"/>
      <c r="J528" s="12"/>
      <c r="K528" s="12"/>
      <c r="L528" s="12"/>
      <c r="M528" s="12"/>
      <c r="N528" s="12"/>
      <c r="O528" s="12"/>
      <c r="P528" s="27"/>
    </row>
    <row r="529" spans="5:16" x14ac:dyDescent="0.25">
      <c r="E529" s="8"/>
      <c r="J529" s="12"/>
      <c r="K529" s="12"/>
      <c r="L529" s="12"/>
      <c r="M529" s="12"/>
      <c r="N529" s="12"/>
      <c r="O529" s="12"/>
      <c r="P529" s="27"/>
    </row>
    <row r="530" spans="5:16" x14ac:dyDescent="0.25">
      <c r="E530" s="8"/>
      <c r="J530" s="12"/>
      <c r="K530" s="12"/>
      <c r="L530" s="12"/>
      <c r="M530" s="12"/>
      <c r="N530" s="12"/>
      <c r="O530" s="12"/>
      <c r="P530" s="27"/>
    </row>
    <row r="531" spans="5:16" x14ac:dyDescent="0.25">
      <c r="E531" s="8"/>
      <c r="J531" s="12"/>
      <c r="K531" s="12"/>
      <c r="L531" s="12"/>
      <c r="M531" s="12"/>
      <c r="N531" s="12"/>
      <c r="O531" s="12"/>
      <c r="P531" s="27"/>
    </row>
    <row r="532" spans="5:16" x14ac:dyDescent="0.25">
      <c r="E532" s="8"/>
      <c r="J532" s="12"/>
      <c r="K532" s="12"/>
      <c r="L532" s="12"/>
      <c r="M532" s="12"/>
      <c r="N532" s="12"/>
      <c r="O532" s="12"/>
      <c r="P532" s="27"/>
    </row>
    <row r="533" spans="5:16" x14ac:dyDescent="0.25">
      <c r="E533" s="8"/>
      <c r="J533" s="12"/>
      <c r="K533" s="12"/>
      <c r="L533" s="12"/>
      <c r="M533" s="12"/>
      <c r="N533" s="12"/>
      <c r="O533" s="12"/>
      <c r="P533" s="27"/>
    </row>
    <row r="534" spans="5:16" x14ac:dyDescent="0.25">
      <c r="E534" s="8"/>
      <c r="J534" s="12"/>
      <c r="K534" s="12"/>
      <c r="L534" s="12"/>
      <c r="M534" s="12"/>
      <c r="N534" s="12"/>
      <c r="O534" s="12"/>
      <c r="P534" s="27"/>
    </row>
    <row r="535" spans="5:16" x14ac:dyDescent="0.25">
      <c r="E535" s="8"/>
      <c r="J535" s="12"/>
      <c r="K535" s="12"/>
      <c r="L535" s="12"/>
      <c r="M535" s="12"/>
      <c r="N535" s="12"/>
      <c r="O535" s="12"/>
      <c r="P535" s="27"/>
    </row>
    <row r="536" spans="5:16" x14ac:dyDescent="0.25">
      <c r="E536" s="8"/>
      <c r="J536" s="12"/>
      <c r="K536" s="12"/>
      <c r="L536" s="12"/>
      <c r="M536" s="12"/>
      <c r="N536" s="12"/>
      <c r="O536" s="12"/>
      <c r="P536" s="27"/>
    </row>
    <row r="537" spans="5:16" x14ac:dyDescent="0.25">
      <c r="E537" s="8"/>
      <c r="J537" s="12"/>
      <c r="K537" s="12"/>
      <c r="L537" s="12"/>
      <c r="M537" s="12"/>
      <c r="N537" s="12"/>
      <c r="O537" s="12"/>
      <c r="P537" s="27"/>
    </row>
    <row r="538" spans="5:16" x14ac:dyDescent="0.25">
      <c r="E538" s="8"/>
      <c r="J538" s="12"/>
      <c r="K538" s="12"/>
      <c r="L538" s="12"/>
      <c r="M538" s="12"/>
      <c r="N538" s="12"/>
      <c r="O538" s="12"/>
      <c r="P538" s="27"/>
    </row>
    <row r="539" spans="5:16" x14ac:dyDescent="0.25">
      <c r="E539" s="8"/>
      <c r="J539" s="12"/>
      <c r="K539" s="12"/>
      <c r="L539" s="12"/>
      <c r="M539" s="12"/>
      <c r="N539" s="12"/>
      <c r="O539" s="12"/>
      <c r="P539" s="27"/>
    </row>
    <row r="540" spans="5:16" x14ac:dyDescent="0.25">
      <c r="E540" s="8"/>
      <c r="J540" s="12"/>
      <c r="K540" s="12"/>
      <c r="L540" s="12"/>
      <c r="M540" s="12"/>
      <c r="N540" s="12"/>
      <c r="O540" s="12"/>
      <c r="P540" s="27"/>
    </row>
    <row r="541" spans="5:16" x14ac:dyDescent="0.25">
      <c r="E541" s="8"/>
      <c r="J541" s="12"/>
      <c r="K541" s="12"/>
      <c r="L541" s="12"/>
      <c r="M541" s="12"/>
      <c r="N541" s="12"/>
      <c r="O541" s="12"/>
      <c r="P541" s="27"/>
    </row>
    <row r="542" spans="5:16" x14ac:dyDescent="0.25">
      <c r="E542" s="8"/>
      <c r="J542" s="12"/>
      <c r="K542" s="12"/>
      <c r="L542" s="12"/>
      <c r="M542" s="12"/>
      <c r="N542" s="12"/>
      <c r="O542" s="12"/>
      <c r="P542" s="27"/>
    </row>
    <row r="543" spans="5:16" x14ac:dyDescent="0.25">
      <c r="E543" s="8"/>
      <c r="J543" s="12"/>
      <c r="K543" s="12"/>
      <c r="L543" s="12"/>
      <c r="M543" s="12"/>
      <c r="N543" s="12"/>
      <c r="O543" s="12"/>
      <c r="P543" s="27"/>
    </row>
    <row r="544" spans="5:16" x14ac:dyDescent="0.25">
      <c r="E544" s="8"/>
      <c r="J544" s="12"/>
      <c r="K544" s="12"/>
      <c r="L544" s="12"/>
      <c r="M544" s="12"/>
      <c r="N544" s="12"/>
      <c r="O544" s="12"/>
      <c r="P544" s="27"/>
    </row>
    <row r="545" spans="5:16" x14ac:dyDescent="0.25">
      <c r="E545" s="8"/>
      <c r="J545" s="12"/>
      <c r="K545" s="12"/>
      <c r="L545" s="12"/>
      <c r="M545" s="12"/>
      <c r="N545" s="12"/>
      <c r="O545" s="12"/>
      <c r="P545" s="27"/>
    </row>
    <row r="546" spans="5:16" x14ac:dyDescent="0.25">
      <c r="E546" s="8"/>
      <c r="J546" s="12"/>
      <c r="K546" s="12"/>
      <c r="L546" s="12"/>
      <c r="M546" s="12"/>
      <c r="N546" s="12"/>
      <c r="O546" s="12"/>
      <c r="P546" s="27"/>
    </row>
    <row r="547" spans="5:16" x14ac:dyDescent="0.25">
      <c r="E547" s="8"/>
      <c r="J547" s="12"/>
      <c r="K547" s="12"/>
      <c r="L547" s="12"/>
      <c r="M547" s="12"/>
      <c r="N547" s="12"/>
      <c r="O547" s="12"/>
      <c r="P547" s="27"/>
    </row>
    <row r="548" spans="5:16" x14ac:dyDescent="0.25">
      <c r="E548" s="8"/>
      <c r="J548" s="12"/>
      <c r="K548" s="12"/>
      <c r="L548" s="12"/>
      <c r="M548" s="12"/>
      <c r="N548" s="12"/>
      <c r="O548" s="12"/>
      <c r="P548" s="27"/>
    </row>
    <row r="549" spans="5:16" x14ac:dyDescent="0.25">
      <c r="E549" s="8"/>
      <c r="J549" s="12"/>
      <c r="K549" s="12"/>
      <c r="L549" s="12"/>
      <c r="M549" s="12"/>
      <c r="N549" s="12"/>
      <c r="O549" s="12"/>
      <c r="P549" s="27"/>
    </row>
    <row r="550" spans="5:16" x14ac:dyDescent="0.25">
      <c r="E550" s="8"/>
      <c r="J550" s="12"/>
      <c r="K550" s="12"/>
      <c r="L550" s="12"/>
      <c r="M550" s="12"/>
      <c r="N550" s="12"/>
      <c r="O550" s="12"/>
      <c r="P550" s="27"/>
    </row>
    <row r="551" spans="5:16" x14ac:dyDescent="0.25">
      <c r="E551" s="8"/>
      <c r="J551" s="12"/>
      <c r="K551" s="12"/>
      <c r="L551" s="12"/>
      <c r="M551" s="12"/>
      <c r="N551" s="12"/>
      <c r="O551" s="12"/>
      <c r="P551" s="27"/>
    </row>
    <row r="552" spans="5:16" x14ac:dyDescent="0.25">
      <c r="E552" s="8"/>
      <c r="J552" s="12"/>
      <c r="K552" s="12"/>
      <c r="L552" s="12"/>
      <c r="M552" s="12"/>
      <c r="N552" s="12"/>
      <c r="O552" s="12"/>
      <c r="P552" s="27"/>
    </row>
    <row r="553" spans="5:16" x14ac:dyDescent="0.25">
      <c r="E553" s="8"/>
      <c r="J553" s="12"/>
      <c r="K553" s="12"/>
      <c r="L553" s="12"/>
      <c r="M553" s="12"/>
      <c r="N553" s="12"/>
      <c r="O553" s="12"/>
      <c r="P553" s="27"/>
    </row>
    <row r="554" spans="5:16" x14ac:dyDescent="0.25">
      <c r="E554" s="8"/>
      <c r="J554" s="12"/>
      <c r="K554" s="12"/>
      <c r="L554" s="12"/>
      <c r="M554" s="12"/>
      <c r="N554" s="12"/>
      <c r="O554" s="12"/>
      <c r="P554" s="27"/>
    </row>
    <row r="555" spans="5:16" x14ac:dyDescent="0.25">
      <c r="E555" s="8"/>
      <c r="J555" s="12"/>
      <c r="K555" s="12"/>
      <c r="L555" s="12"/>
      <c r="M555" s="12"/>
      <c r="N555" s="12"/>
      <c r="O555" s="12"/>
      <c r="P555" s="27"/>
    </row>
    <row r="556" spans="5:16" x14ac:dyDescent="0.25">
      <c r="E556" s="8"/>
      <c r="J556" s="12"/>
      <c r="K556" s="12"/>
      <c r="L556" s="12"/>
      <c r="M556" s="12"/>
      <c r="N556" s="12"/>
      <c r="O556" s="12"/>
      <c r="P556" s="27"/>
    </row>
    <row r="557" spans="5:16" x14ac:dyDescent="0.25">
      <c r="E557" s="8"/>
      <c r="J557" s="12"/>
      <c r="K557" s="12"/>
      <c r="L557" s="12"/>
      <c r="M557" s="12"/>
      <c r="N557" s="12"/>
      <c r="O557" s="12"/>
      <c r="P557" s="27"/>
    </row>
    <row r="558" spans="5:16" x14ac:dyDescent="0.25">
      <c r="E558" s="8"/>
      <c r="J558" s="12"/>
      <c r="K558" s="12"/>
      <c r="L558" s="12"/>
      <c r="M558" s="12"/>
      <c r="N558" s="12"/>
      <c r="O558" s="12"/>
      <c r="P558" s="27"/>
    </row>
    <row r="559" spans="5:16" x14ac:dyDescent="0.25">
      <c r="E559" s="8"/>
      <c r="J559" s="12"/>
      <c r="K559" s="12"/>
      <c r="L559" s="12"/>
      <c r="M559" s="12"/>
      <c r="N559" s="12"/>
      <c r="O559" s="12"/>
      <c r="P559" s="27"/>
    </row>
    <row r="560" spans="5:16" x14ac:dyDescent="0.25">
      <c r="E560" s="8"/>
      <c r="J560" s="12"/>
      <c r="K560" s="12"/>
      <c r="L560" s="12"/>
      <c r="M560" s="12"/>
      <c r="N560" s="12"/>
      <c r="O560" s="12"/>
      <c r="P560" s="27"/>
    </row>
    <row r="561" spans="5:16" x14ac:dyDescent="0.25">
      <c r="E561" s="8"/>
      <c r="J561" s="12"/>
      <c r="K561" s="12"/>
      <c r="L561" s="12"/>
      <c r="M561" s="12"/>
      <c r="N561" s="12"/>
      <c r="O561" s="12"/>
      <c r="P561" s="27"/>
    </row>
    <row r="562" spans="5:16" x14ac:dyDescent="0.25">
      <c r="E562" s="8"/>
      <c r="J562" s="12"/>
      <c r="K562" s="12"/>
      <c r="L562" s="12"/>
      <c r="M562" s="12"/>
      <c r="N562" s="12"/>
      <c r="O562" s="12"/>
      <c r="P562" s="27"/>
    </row>
    <row r="563" spans="5:16" x14ac:dyDescent="0.25">
      <c r="E563" s="8"/>
      <c r="J563" s="12"/>
      <c r="K563" s="12"/>
      <c r="L563" s="12"/>
      <c r="M563" s="12"/>
      <c r="N563" s="12"/>
      <c r="O563" s="12"/>
      <c r="P563" s="27"/>
    </row>
    <row r="564" spans="5:16" x14ac:dyDescent="0.25">
      <c r="E564" s="8"/>
      <c r="J564" s="12"/>
      <c r="K564" s="12"/>
      <c r="L564" s="12"/>
      <c r="M564" s="12"/>
      <c r="N564" s="12"/>
      <c r="O564" s="12"/>
      <c r="P564" s="27"/>
    </row>
    <row r="565" spans="5:16" x14ac:dyDescent="0.25">
      <c r="E565" s="8"/>
      <c r="J565" s="12"/>
      <c r="K565" s="12"/>
      <c r="L565" s="12"/>
      <c r="M565" s="12"/>
      <c r="N565" s="12"/>
      <c r="O565" s="12"/>
      <c r="P565" s="27"/>
    </row>
    <row r="566" spans="5:16" x14ac:dyDescent="0.25">
      <c r="E566" s="8"/>
      <c r="J566" s="12"/>
      <c r="K566" s="12"/>
      <c r="L566" s="12"/>
      <c r="M566" s="12"/>
      <c r="N566" s="12"/>
      <c r="O566" s="12"/>
      <c r="P566" s="27"/>
    </row>
    <row r="567" spans="5:16" x14ac:dyDescent="0.25">
      <c r="E567" s="8"/>
      <c r="J567" s="12"/>
      <c r="K567" s="12"/>
      <c r="L567" s="12"/>
      <c r="M567" s="12"/>
      <c r="N567" s="12"/>
      <c r="O567" s="12"/>
      <c r="P567" s="27"/>
    </row>
    <row r="568" spans="5:16" x14ac:dyDescent="0.25">
      <c r="E568" s="8"/>
      <c r="J568" s="12"/>
      <c r="K568" s="12"/>
      <c r="L568" s="12"/>
      <c r="M568" s="12"/>
      <c r="N568" s="12"/>
      <c r="O568" s="12"/>
      <c r="P568" s="27"/>
    </row>
    <row r="569" spans="5:16" x14ac:dyDescent="0.25">
      <c r="E569" s="8"/>
      <c r="J569" s="12"/>
      <c r="K569" s="12"/>
      <c r="L569" s="12"/>
      <c r="M569" s="12"/>
      <c r="N569" s="12"/>
      <c r="O569" s="12"/>
      <c r="P569" s="27"/>
    </row>
    <row r="570" spans="5:16" x14ac:dyDescent="0.25">
      <c r="E570" s="8"/>
      <c r="J570" s="12"/>
      <c r="K570" s="12"/>
      <c r="L570" s="12"/>
      <c r="M570" s="12"/>
      <c r="N570" s="12"/>
      <c r="O570" s="12"/>
      <c r="P570" s="27"/>
    </row>
    <row r="571" spans="5:16" x14ac:dyDescent="0.25">
      <c r="E571" s="8"/>
      <c r="J571" s="12"/>
      <c r="K571" s="12"/>
      <c r="L571" s="12"/>
      <c r="M571" s="12"/>
      <c r="N571" s="12"/>
      <c r="O571" s="12"/>
      <c r="P571" s="27"/>
    </row>
    <row r="572" spans="5:16" x14ac:dyDescent="0.25">
      <c r="E572" s="8"/>
      <c r="J572" s="12"/>
      <c r="K572" s="12"/>
      <c r="L572" s="12"/>
      <c r="M572" s="12"/>
      <c r="N572" s="12"/>
      <c r="O572" s="12"/>
      <c r="P572" s="27"/>
    </row>
    <row r="573" spans="5:16" x14ac:dyDescent="0.25">
      <c r="E573" s="8"/>
      <c r="J573" s="12"/>
      <c r="K573" s="12"/>
      <c r="L573" s="12"/>
      <c r="M573" s="12"/>
      <c r="N573" s="12"/>
      <c r="O573" s="12"/>
      <c r="P573" s="27"/>
    </row>
    <row r="574" spans="5:16" x14ac:dyDescent="0.25">
      <c r="E574" s="8"/>
      <c r="J574" s="12"/>
      <c r="K574" s="12"/>
      <c r="L574" s="12"/>
      <c r="M574" s="12"/>
      <c r="N574" s="12"/>
      <c r="O574" s="12"/>
      <c r="P574" s="27"/>
    </row>
    <row r="575" spans="5:16" x14ac:dyDescent="0.25">
      <c r="E575" s="8"/>
      <c r="J575" s="12"/>
      <c r="K575" s="12"/>
      <c r="L575" s="12"/>
      <c r="M575" s="12"/>
      <c r="N575" s="12"/>
      <c r="O575" s="12"/>
      <c r="P575" s="27"/>
    </row>
    <row r="576" spans="5:16" x14ac:dyDescent="0.25">
      <c r="E576" s="8"/>
      <c r="J576" s="12"/>
      <c r="K576" s="12"/>
      <c r="L576" s="12"/>
      <c r="M576" s="12"/>
      <c r="N576" s="12"/>
      <c r="O576" s="12"/>
      <c r="P576" s="27"/>
    </row>
    <row r="577" spans="5:16" x14ac:dyDescent="0.25">
      <c r="E577" s="8"/>
      <c r="J577" s="12"/>
      <c r="K577" s="12"/>
      <c r="L577" s="12"/>
      <c r="M577" s="12"/>
      <c r="N577" s="12"/>
      <c r="O577" s="12"/>
      <c r="P577" s="27"/>
    </row>
    <row r="578" spans="5:16" x14ac:dyDescent="0.25">
      <c r="E578" s="8"/>
      <c r="J578" s="12"/>
      <c r="K578" s="12"/>
      <c r="L578" s="12"/>
      <c r="M578" s="12"/>
      <c r="N578" s="12"/>
      <c r="O578" s="12"/>
      <c r="P578" s="27"/>
    </row>
    <row r="579" spans="5:16" x14ac:dyDescent="0.25">
      <c r="E579" s="8"/>
      <c r="J579" s="12"/>
      <c r="K579" s="12"/>
      <c r="L579" s="12"/>
      <c r="M579" s="12"/>
      <c r="N579" s="12"/>
      <c r="O579" s="12"/>
      <c r="P579" s="27"/>
    </row>
    <row r="580" spans="5:16" x14ac:dyDescent="0.25">
      <c r="E580" s="8"/>
      <c r="J580" s="12"/>
      <c r="K580" s="12"/>
      <c r="L580" s="12"/>
      <c r="M580" s="12"/>
      <c r="N580" s="12"/>
      <c r="O580" s="12"/>
      <c r="P580" s="27"/>
    </row>
    <row r="581" spans="5:16" x14ac:dyDescent="0.25">
      <c r="E581" s="8"/>
      <c r="J581" s="12"/>
      <c r="K581" s="12"/>
      <c r="L581" s="12"/>
      <c r="M581" s="12"/>
      <c r="N581" s="12"/>
      <c r="O581" s="12"/>
      <c r="P581" s="27"/>
    </row>
    <row r="582" spans="5:16" x14ac:dyDescent="0.25">
      <c r="E582" s="8"/>
      <c r="J582" s="12"/>
      <c r="K582" s="12"/>
      <c r="L582" s="12"/>
      <c r="M582" s="12"/>
      <c r="N582" s="12"/>
      <c r="O582" s="12"/>
      <c r="P582" s="27"/>
    </row>
    <row r="583" spans="5:16" x14ac:dyDescent="0.25">
      <c r="E583" s="8"/>
      <c r="J583" s="12"/>
      <c r="K583" s="12"/>
      <c r="L583" s="12"/>
      <c r="M583" s="12"/>
      <c r="N583" s="12"/>
      <c r="O583" s="12"/>
      <c r="P583" s="27"/>
    </row>
    <row r="584" spans="5:16" x14ac:dyDescent="0.25">
      <c r="E584" s="8"/>
      <c r="J584" s="12"/>
      <c r="K584" s="12"/>
      <c r="L584" s="12"/>
      <c r="M584" s="12"/>
      <c r="N584" s="12"/>
      <c r="O584" s="12"/>
      <c r="P584" s="27"/>
    </row>
    <row r="585" spans="5:16" x14ac:dyDescent="0.25">
      <c r="E585" s="8"/>
      <c r="J585" s="12"/>
      <c r="K585" s="12"/>
      <c r="L585" s="12"/>
      <c r="M585" s="12"/>
      <c r="N585" s="12"/>
      <c r="O585" s="12"/>
      <c r="P585" s="27"/>
    </row>
    <row r="586" spans="5:16" x14ac:dyDescent="0.25">
      <c r="E586" s="8"/>
      <c r="J586" s="12"/>
      <c r="K586" s="12"/>
      <c r="L586" s="12"/>
      <c r="M586" s="12"/>
      <c r="N586" s="12"/>
      <c r="O586" s="12"/>
      <c r="P586" s="27"/>
    </row>
    <row r="587" spans="5:16" x14ac:dyDescent="0.25">
      <c r="E587" s="8"/>
      <c r="J587" s="12"/>
      <c r="K587" s="12"/>
      <c r="L587" s="12"/>
      <c r="M587" s="12"/>
      <c r="N587" s="12"/>
      <c r="O587" s="12"/>
      <c r="P587" s="27"/>
    </row>
    <row r="588" spans="5:16" x14ac:dyDescent="0.25">
      <c r="E588" s="8"/>
      <c r="J588" s="12"/>
      <c r="K588" s="12"/>
      <c r="L588" s="12"/>
      <c r="M588" s="12"/>
      <c r="N588" s="12"/>
      <c r="O588" s="12"/>
      <c r="P588" s="27"/>
    </row>
    <row r="589" spans="5:16" x14ac:dyDescent="0.25">
      <c r="E589" s="8"/>
      <c r="J589" s="12"/>
      <c r="K589" s="12"/>
      <c r="L589" s="12"/>
      <c r="M589" s="12"/>
      <c r="N589" s="12"/>
      <c r="O589" s="12"/>
      <c r="P589" s="27"/>
    </row>
    <row r="590" spans="5:16" x14ac:dyDescent="0.25">
      <c r="E590" s="8"/>
      <c r="J590" s="12"/>
      <c r="K590" s="12"/>
      <c r="L590" s="12"/>
      <c r="M590" s="12"/>
      <c r="N590" s="12"/>
      <c r="O590" s="12"/>
      <c r="P590" s="27"/>
    </row>
    <row r="591" spans="5:16" x14ac:dyDescent="0.25">
      <c r="E591" s="8"/>
      <c r="J591" s="12"/>
      <c r="K591" s="12"/>
      <c r="L591" s="12"/>
      <c r="M591" s="12"/>
      <c r="N591" s="12"/>
      <c r="O591" s="12"/>
      <c r="P591" s="27"/>
    </row>
    <row r="592" spans="5:16" x14ac:dyDescent="0.25">
      <c r="E592" s="8"/>
      <c r="J592" s="12"/>
      <c r="K592" s="12"/>
      <c r="L592" s="12"/>
      <c r="M592" s="12"/>
      <c r="N592" s="12"/>
      <c r="O592" s="12"/>
      <c r="P592" s="27"/>
    </row>
    <row r="593" spans="5:16" x14ac:dyDescent="0.25">
      <c r="E593" s="8"/>
      <c r="J593" s="12"/>
      <c r="K593" s="12"/>
      <c r="L593" s="12"/>
      <c r="M593" s="12"/>
      <c r="N593" s="12"/>
      <c r="O593" s="12"/>
      <c r="P593" s="27"/>
    </row>
    <row r="594" spans="5:16" x14ac:dyDescent="0.25">
      <c r="E594" s="8"/>
      <c r="J594" s="12"/>
      <c r="K594" s="12"/>
      <c r="L594" s="12"/>
      <c r="M594" s="12"/>
      <c r="N594" s="12"/>
      <c r="O594" s="12"/>
      <c r="P594" s="27"/>
    </row>
    <row r="595" spans="5:16" x14ac:dyDescent="0.25">
      <c r="E595" s="8"/>
      <c r="J595" s="12"/>
      <c r="K595" s="12"/>
      <c r="L595" s="12"/>
      <c r="M595" s="12"/>
      <c r="N595" s="12"/>
      <c r="O595" s="12"/>
      <c r="P595" s="27"/>
    </row>
    <row r="596" spans="5:16" x14ac:dyDescent="0.25">
      <c r="E596" s="8"/>
      <c r="J596" s="12"/>
      <c r="K596" s="12"/>
      <c r="L596" s="12"/>
      <c r="M596" s="12"/>
      <c r="N596" s="12"/>
      <c r="O596" s="12"/>
      <c r="P596" s="27"/>
    </row>
    <row r="597" spans="5:16" x14ac:dyDescent="0.25">
      <c r="E597" s="8"/>
      <c r="J597" s="12"/>
      <c r="K597" s="12"/>
      <c r="L597" s="12"/>
      <c r="M597" s="12"/>
      <c r="N597" s="12"/>
      <c r="O597" s="12"/>
      <c r="P597" s="27"/>
    </row>
    <row r="598" spans="5:16" x14ac:dyDescent="0.25">
      <c r="E598" s="8"/>
      <c r="J598" s="12"/>
      <c r="K598" s="12"/>
      <c r="L598" s="12"/>
      <c r="M598" s="12"/>
      <c r="N598" s="12"/>
      <c r="O598" s="12"/>
      <c r="P598" s="27"/>
    </row>
    <row r="599" spans="5:16" x14ac:dyDescent="0.25">
      <c r="E599" s="8"/>
      <c r="J599" s="12"/>
      <c r="K599" s="12"/>
      <c r="L599" s="12"/>
      <c r="M599" s="12"/>
      <c r="N599" s="12"/>
      <c r="O599" s="12"/>
      <c r="P599" s="27"/>
    </row>
    <row r="600" spans="5:16" x14ac:dyDescent="0.25">
      <c r="E600" s="8"/>
      <c r="J600" s="12"/>
      <c r="K600" s="12"/>
      <c r="L600" s="12"/>
      <c r="M600" s="12"/>
      <c r="N600" s="12"/>
      <c r="O600" s="12"/>
      <c r="P600" s="27"/>
    </row>
    <row r="601" spans="5:16" x14ac:dyDescent="0.25">
      <c r="E601" s="8"/>
      <c r="J601" s="12"/>
      <c r="K601" s="12"/>
      <c r="L601" s="12"/>
      <c r="M601" s="12"/>
      <c r="N601" s="12"/>
      <c r="O601" s="12"/>
      <c r="P601" s="27"/>
    </row>
    <row r="602" spans="5:16" x14ac:dyDescent="0.25">
      <c r="E602" s="8"/>
      <c r="J602" s="12"/>
      <c r="K602" s="12"/>
      <c r="L602" s="12"/>
      <c r="M602" s="12"/>
      <c r="N602" s="12"/>
      <c r="O602" s="12"/>
      <c r="P602" s="27"/>
    </row>
    <row r="603" spans="5:16" x14ac:dyDescent="0.25">
      <c r="E603" s="8"/>
      <c r="J603" s="12"/>
      <c r="K603" s="12"/>
      <c r="L603" s="12"/>
      <c r="M603" s="12"/>
      <c r="N603" s="12"/>
      <c r="O603" s="12"/>
      <c r="P603" s="27"/>
    </row>
    <row r="604" spans="5:16" x14ac:dyDescent="0.25">
      <c r="E604" s="8"/>
      <c r="J604" s="12"/>
      <c r="K604" s="12"/>
      <c r="L604" s="12"/>
      <c r="M604" s="12"/>
      <c r="N604" s="12"/>
      <c r="O604" s="12"/>
      <c r="P604" s="27"/>
    </row>
    <row r="605" spans="5:16" x14ac:dyDescent="0.25">
      <c r="E605" s="8"/>
      <c r="J605" s="12"/>
      <c r="K605" s="12"/>
      <c r="L605" s="12"/>
      <c r="M605" s="12"/>
      <c r="N605" s="12"/>
      <c r="O605" s="12"/>
      <c r="P605" s="27"/>
    </row>
    <row r="606" spans="5:16" x14ac:dyDescent="0.25">
      <c r="E606" s="8"/>
      <c r="J606" s="12"/>
      <c r="K606" s="12"/>
      <c r="L606" s="12"/>
      <c r="M606" s="12"/>
      <c r="N606" s="12"/>
      <c r="O606" s="12"/>
      <c r="P606" s="27"/>
    </row>
    <row r="607" spans="5:16" x14ac:dyDescent="0.25">
      <c r="E607" s="8"/>
      <c r="J607" s="12"/>
      <c r="K607" s="12"/>
      <c r="L607" s="12"/>
      <c r="M607" s="12"/>
      <c r="N607" s="12"/>
      <c r="O607" s="12"/>
      <c r="P607" s="27"/>
    </row>
    <row r="608" spans="5:16" x14ac:dyDescent="0.25">
      <c r="E608" s="8"/>
      <c r="J608" s="12"/>
      <c r="K608" s="12"/>
      <c r="L608" s="12"/>
      <c r="M608" s="12"/>
      <c r="N608" s="12"/>
      <c r="O608" s="12"/>
      <c r="P608" s="27"/>
    </row>
    <row r="609" spans="5:16" x14ac:dyDescent="0.25">
      <c r="E609" s="8"/>
      <c r="J609" s="12"/>
      <c r="K609" s="12"/>
      <c r="L609" s="12"/>
      <c r="M609" s="12"/>
      <c r="N609" s="12"/>
      <c r="O609" s="12"/>
      <c r="P609" s="27"/>
    </row>
    <row r="610" spans="5:16" x14ac:dyDescent="0.25">
      <c r="E610" s="8"/>
      <c r="J610" s="12"/>
      <c r="K610" s="12"/>
      <c r="L610" s="12"/>
      <c r="M610" s="12"/>
      <c r="N610" s="12"/>
      <c r="O610" s="12"/>
      <c r="P610" s="27"/>
    </row>
    <row r="611" spans="5:16" x14ac:dyDescent="0.25">
      <c r="E611" s="8"/>
      <c r="J611" s="12"/>
      <c r="K611" s="12"/>
      <c r="L611" s="12"/>
      <c r="M611" s="12"/>
      <c r="N611" s="12"/>
      <c r="O611" s="12"/>
      <c r="P611" s="27"/>
    </row>
    <row r="612" spans="5:16" x14ac:dyDescent="0.25">
      <c r="E612" s="8"/>
      <c r="J612" s="12"/>
      <c r="K612" s="12"/>
      <c r="L612" s="12"/>
      <c r="M612" s="12"/>
      <c r="N612" s="12"/>
      <c r="O612" s="12"/>
      <c r="P612" s="27"/>
    </row>
    <row r="613" spans="5:16" x14ac:dyDescent="0.25">
      <c r="E613" s="8"/>
      <c r="J613" s="12"/>
      <c r="K613" s="12"/>
      <c r="L613" s="12"/>
      <c r="M613" s="12"/>
      <c r="N613" s="12"/>
      <c r="O613" s="12"/>
      <c r="P613" s="27"/>
    </row>
    <row r="614" spans="5:16" x14ac:dyDescent="0.25">
      <c r="E614" s="8"/>
      <c r="J614" s="12"/>
      <c r="K614" s="12"/>
      <c r="L614" s="12"/>
      <c r="M614" s="12"/>
      <c r="N614" s="12"/>
      <c r="O614" s="12"/>
      <c r="P614" s="27"/>
    </row>
    <row r="615" spans="5:16" x14ac:dyDescent="0.25">
      <c r="E615" s="8"/>
      <c r="J615" s="12"/>
      <c r="K615" s="12"/>
      <c r="L615" s="12"/>
      <c r="M615" s="12"/>
      <c r="N615" s="12"/>
      <c r="O615" s="12"/>
      <c r="P615" s="27"/>
    </row>
    <row r="616" spans="5:16" x14ac:dyDescent="0.25">
      <c r="E616" s="8"/>
      <c r="J616" s="12"/>
      <c r="K616" s="12"/>
      <c r="L616" s="12"/>
      <c r="M616" s="12"/>
      <c r="N616" s="12"/>
      <c r="O616" s="12"/>
      <c r="P616" s="27"/>
    </row>
    <row r="617" spans="5:16" x14ac:dyDescent="0.25">
      <c r="E617" s="8"/>
      <c r="J617" s="12"/>
      <c r="K617" s="12"/>
      <c r="L617" s="12"/>
      <c r="M617" s="12"/>
      <c r="N617" s="12"/>
      <c r="O617" s="12"/>
      <c r="P617" s="27"/>
    </row>
    <row r="618" spans="5:16" x14ac:dyDescent="0.25">
      <c r="E618" s="8"/>
      <c r="J618" s="12"/>
      <c r="K618" s="12"/>
      <c r="L618" s="12"/>
      <c r="M618" s="12"/>
      <c r="N618" s="12"/>
      <c r="O618" s="12"/>
      <c r="P618" s="27"/>
    </row>
    <row r="619" spans="5:16" x14ac:dyDescent="0.25">
      <c r="E619" s="8"/>
      <c r="J619" s="12"/>
      <c r="K619" s="12"/>
      <c r="L619" s="12"/>
      <c r="M619" s="12"/>
      <c r="N619" s="12"/>
      <c r="O619" s="12"/>
      <c r="P619" s="27"/>
    </row>
    <row r="620" spans="5:16" x14ac:dyDescent="0.25">
      <c r="E620" s="8"/>
      <c r="J620" s="12"/>
      <c r="K620" s="12"/>
      <c r="L620" s="12"/>
      <c r="M620" s="12"/>
      <c r="N620" s="12"/>
      <c r="O620" s="12"/>
      <c r="P620" s="27"/>
    </row>
    <row r="621" spans="5:16" x14ac:dyDescent="0.25">
      <c r="E621" s="8"/>
      <c r="J621" s="12"/>
      <c r="K621" s="12"/>
      <c r="L621" s="12"/>
      <c r="M621" s="12"/>
      <c r="N621" s="12"/>
      <c r="O621" s="12"/>
      <c r="P621" s="27"/>
    </row>
    <row r="622" spans="5:16" x14ac:dyDescent="0.25">
      <c r="E622" s="8"/>
      <c r="J622" s="12"/>
      <c r="K622" s="12"/>
      <c r="L622" s="12"/>
      <c r="M622" s="12"/>
      <c r="N622" s="12"/>
      <c r="O622" s="12"/>
      <c r="P622" s="27"/>
    </row>
    <row r="623" spans="5:16" x14ac:dyDescent="0.25">
      <c r="E623" s="8"/>
      <c r="J623" s="12"/>
      <c r="K623" s="12"/>
      <c r="L623" s="12"/>
      <c r="M623" s="12"/>
      <c r="N623" s="12"/>
      <c r="O623" s="12"/>
      <c r="P623" s="27"/>
    </row>
    <row r="624" spans="5:16" x14ac:dyDescent="0.25">
      <c r="E624" s="8"/>
      <c r="J624" s="12"/>
      <c r="K624" s="12"/>
      <c r="L624" s="12"/>
      <c r="M624" s="12"/>
      <c r="N624" s="12"/>
      <c r="O624" s="12"/>
      <c r="P624" s="27"/>
    </row>
    <row r="625" spans="5:16" x14ac:dyDescent="0.25">
      <c r="E625" s="8"/>
      <c r="J625" s="12"/>
      <c r="K625" s="12"/>
      <c r="L625" s="12"/>
      <c r="M625" s="12"/>
      <c r="N625" s="12"/>
      <c r="O625" s="12"/>
      <c r="P625" s="27"/>
    </row>
    <row r="626" spans="5:16" x14ac:dyDescent="0.25">
      <c r="E626" s="8"/>
      <c r="J626" s="12"/>
      <c r="K626" s="12"/>
      <c r="L626" s="12"/>
      <c r="M626" s="12"/>
      <c r="N626" s="12"/>
      <c r="O626" s="12"/>
      <c r="P626" s="27"/>
    </row>
    <row r="627" spans="5:16" x14ac:dyDescent="0.25">
      <c r="E627" s="8"/>
      <c r="J627" s="12"/>
      <c r="K627" s="12"/>
      <c r="L627" s="12"/>
      <c r="M627" s="12"/>
      <c r="N627" s="12"/>
      <c r="O627" s="12"/>
      <c r="P627" s="27"/>
    </row>
    <row r="628" spans="5:16" x14ac:dyDescent="0.25">
      <c r="E628" s="8"/>
      <c r="J628" s="12"/>
      <c r="K628" s="12"/>
      <c r="L628" s="12"/>
      <c r="M628" s="12"/>
      <c r="N628" s="12"/>
      <c r="O628" s="12"/>
      <c r="P628" s="27"/>
    </row>
    <row r="629" spans="5:16" x14ac:dyDescent="0.25">
      <c r="E629" s="8"/>
      <c r="J629" s="12"/>
      <c r="K629" s="12"/>
      <c r="L629" s="12"/>
      <c r="M629" s="12"/>
      <c r="N629" s="12"/>
      <c r="O629" s="12"/>
      <c r="P629" s="27"/>
    </row>
    <row r="630" spans="5:16" x14ac:dyDescent="0.25">
      <c r="E630" s="8"/>
      <c r="J630" s="12"/>
      <c r="K630" s="12"/>
      <c r="L630" s="12"/>
      <c r="M630" s="12"/>
      <c r="N630" s="12"/>
      <c r="O630" s="12"/>
      <c r="P630" s="27"/>
    </row>
    <row r="631" spans="5:16" x14ac:dyDescent="0.25">
      <c r="E631" s="8"/>
      <c r="J631" s="12"/>
      <c r="K631" s="12"/>
      <c r="L631" s="12"/>
      <c r="M631" s="12"/>
      <c r="N631" s="12"/>
      <c r="O631" s="12"/>
      <c r="P631" s="27"/>
    </row>
    <row r="632" spans="5:16" x14ac:dyDescent="0.25">
      <c r="E632" s="8"/>
      <c r="J632" s="12"/>
      <c r="K632" s="12"/>
      <c r="L632" s="12"/>
      <c r="M632" s="12"/>
      <c r="N632" s="12"/>
      <c r="O632" s="12"/>
      <c r="P632" s="27"/>
    </row>
    <row r="633" spans="5:16" x14ac:dyDescent="0.25">
      <c r="E633" s="8"/>
      <c r="J633" s="12"/>
      <c r="K633" s="12"/>
      <c r="L633" s="12"/>
      <c r="M633" s="12"/>
      <c r="N633" s="12"/>
      <c r="O633" s="12"/>
      <c r="P633" s="27"/>
    </row>
    <row r="634" spans="5:16" x14ac:dyDescent="0.25">
      <c r="E634" s="8"/>
      <c r="J634" s="12"/>
      <c r="K634" s="12"/>
      <c r="L634" s="12"/>
      <c r="M634" s="12"/>
      <c r="N634" s="12"/>
      <c r="O634" s="12"/>
      <c r="P634" s="27"/>
    </row>
    <row r="635" spans="5:16" x14ac:dyDescent="0.25">
      <c r="E635" s="8"/>
      <c r="J635" s="12"/>
      <c r="K635" s="12"/>
      <c r="L635" s="12"/>
      <c r="M635" s="12"/>
      <c r="N635" s="12"/>
      <c r="O635" s="12"/>
      <c r="P635" s="27"/>
    </row>
    <row r="636" spans="5:16" x14ac:dyDescent="0.25">
      <c r="E636" s="8"/>
      <c r="J636" s="12"/>
      <c r="K636" s="12"/>
      <c r="L636" s="12"/>
      <c r="M636" s="12"/>
      <c r="N636" s="12"/>
      <c r="O636" s="12"/>
      <c r="P636" s="27"/>
    </row>
    <row r="637" spans="5:16" x14ac:dyDescent="0.25">
      <c r="E637" s="8"/>
      <c r="J637" s="12"/>
      <c r="K637" s="12"/>
      <c r="L637" s="12"/>
      <c r="M637" s="12"/>
      <c r="N637" s="12"/>
      <c r="O637" s="12"/>
      <c r="P637" s="27"/>
    </row>
    <row r="638" spans="5:16" x14ac:dyDescent="0.25">
      <c r="E638" s="8"/>
      <c r="J638" s="12"/>
      <c r="K638" s="12"/>
      <c r="L638" s="12"/>
      <c r="M638" s="12"/>
      <c r="N638" s="12"/>
      <c r="O638" s="12"/>
      <c r="P638" s="27"/>
    </row>
    <row r="639" spans="5:16" x14ac:dyDescent="0.25">
      <c r="E639" s="8"/>
      <c r="J639" s="12"/>
      <c r="K639" s="12"/>
      <c r="L639" s="12"/>
      <c r="M639" s="12"/>
      <c r="N639" s="12"/>
      <c r="O639" s="12"/>
      <c r="P639" s="27"/>
    </row>
    <row r="640" spans="5:16" x14ac:dyDescent="0.25">
      <c r="E640" s="8"/>
      <c r="J640" s="12"/>
      <c r="K640" s="12"/>
      <c r="L640" s="12"/>
      <c r="M640" s="12"/>
      <c r="N640" s="12"/>
      <c r="O640" s="12"/>
      <c r="P640" s="27"/>
    </row>
    <row r="641" spans="5:16" x14ac:dyDescent="0.25">
      <c r="E641" s="8"/>
      <c r="J641" s="12"/>
      <c r="K641" s="12"/>
      <c r="L641" s="12"/>
      <c r="M641" s="12"/>
      <c r="N641" s="12"/>
      <c r="O641" s="12"/>
      <c r="P641" s="27"/>
    </row>
    <row r="642" spans="5:16" x14ac:dyDescent="0.25">
      <c r="E642" s="8"/>
      <c r="J642" s="12"/>
      <c r="K642" s="12"/>
      <c r="L642" s="12"/>
      <c r="M642" s="12"/>
      <c r="N642" s="12"/>
      <c r="O642" s="12"/>
      <c r="P642" s="27"/>
    </row>
    <row r="643" spans="5:16" x14ac:dyDescent="0.25">
      <c r="E643" s="8"/>
      <c r="J643" s="12"/>
      <c r="K643" s="12"/>
      <c r="L643" s="12"/>
      <c r="M643" s="12"/>
      <c r="N643" s="12"/>
      <c r="O643" s="12"/>
      <c r="P643" s="27"/>
    </row>
    <row r="644" spans="5:16" x14ac:dyDescent="0.25">
      <c r="E644" s="8"/>
      <c r="J644" s="12"/>
      <c r="K644" s="12"/>
      <c r="L644" s="12"/>
      <c r="M644" s="12"/>
      <c r="N644" s="12"/>
      <c r="O644" s="12"/>
      <c r="P644" s="27"/>
    </row>
    <row r="645" spans="5:16" x14ac:dyDescent="0.25">
      <c r="E645" s="8"/>
      <c r="J645" s="12"/>
      <c r="K645" s="12"/>
      <c r="L645" s="12"/>
      <c r="M645" s="12"/>
      <c r="N645" s="12"/>
      <c r="O645" s="12"/>
      <c r="P645" s="27"/>
    </row>
    <row r="646" spans="5:16" x14ac:dyDescent="0.25">
      <c r="E646" s="8"/>
      <c r="J646" s="12"/>
      <c r="K646" s="12"/>
      <c r="L646" s="12"/>
      <c r="M646" s="12"/>
      <c r="N646" s="12"/>
      <c r="O646" s="12"/>
      <c r="P646" s="27"/>
    </row>
    <row r="647" spans="5:16" x14ac:dyDescent="0.25">
      <c r="E647" s="8"/>
      <c r="J647" s="12"/>
      <c r="K647" s="12"/>
      <c r="L647" s="12"/>
      <c r="M647" s="12"/>
      <c r="N647" s="12"/>
      <c r="O647" s="12"/>
      <c r="P647" s="27"/>
    </row>
    <row r="648" spans="5:16" x14ac:dyDescent="0.25">
      <c r="E648" s="8"/>
      <c r="J648" s="12"/>
      <c r="K648" s="12"/>
      <c r="L648" s="12"/>
      <c r="M648" s="12"/>
      <c r="N648" s="12"/>
      <c r="O648" s="12"/>
      <c r="P648" s="27"/>
    </row>
    <row r="649" spans="5:16" x14ac:dyDescent="0.25">
      <c r="E649" s="8"/>
      <c r="J649" s="12"/>
      <c r="K649" s="12"/>
      <c r="L649" s="12"/>
      <c r="M649" s="12"/>
      <c r="N649" s="12"/>
      <c r="O649" s="12"/>
      <c r="P649" s="27"/>
    </row>
    <row r="650" spans="5:16" x14ac:dyDescent="0.25">
      <c r="E650" s="8"/>
      <c r="J650" s="12"/>
      <c r="K650" s="12"/>
      <c r="L650" s="12"/>
      <c r="M650" s="12"/>
      <c r="N650" s="12"/>
      <c r="O650" s="12"/>
      <c r="P650" s="27"/>
    </row>
    <row r="651" spans="5:16" x14ac:dyDescent="0.25">
      <c r="E651" s="8"/>
      <c r="J651" s="12"/>
      <c r="K651" s="12"/>
      <c r="L651" s="12"/>
      <c r="M651" s="12"/>
      <c r="N651" s="12"/>
      <c r="O651" s="12"/>
      <c r="P651" s="27"/>
    </row>
    <row r="652" spans="5:16" x14ac:dyDescent="0.25">
      <c r="E652" s="8"/>
      <c r="J652" s="12"/>
      <c r="K652" s="12"/>
      <c r="L652" s="12"/>
      <c r="M652" s="12"/>
      <c r="N652" s="12"/>
      <c r="O652" s="12"/>
      <c r="P652" s="27"/>
    </row>
    <row r="653" spans="5:16" x14ac:dyDescent="0.25">
      <c r="E653" s="8"/>
      <c r="J653" s="12"/>
      <c r="K653" s="12"/>
      <c r="L653" s="12"/>
      <c r="M653" s="12"/>
      <c r="N653" s="12"/>
      <c r="O653" s="12"/>
      <c r="P653" s="27"/>
    </row>
    <row r="654" spans="5:16" x14ac:dyDescent="0.25">
      <c r="E654" s="8"/>
      <c r="J654" s="12"/>
      <c r="K654" s="12"/>
      <c r="L654" s="12"/>
      <c r="M654" s="12"/>
      <c r="N654" s="12"/>
      <c r="O654" s="12"/>
      <c r="P654" s="27"/>
    </row>
    <row r="655" spans="5:16" x14ac:dyDescent="0.25">
      <c r="E655" s="8"/>
      <c r="J655" s="12"/>
      <c r="K655" s="12"/>
      <c r="L655" s="12"/>
      <c r="M655" s="12"/>
      <c r="N655" s="12"/>
      <c r="O655" s="12"/>
      <c r="P655" s="27"/>
    </row>
    <row r="656" spans="5:16" x14ac:dyDescent="0.25">
      <c r="E656" s="8"/>
      <c r="J656" s="12"/>
      <c r="K656" s="12"/>
      <c r="L656" s="12"/>
      <c r="M656" s="12"/>
      <c r="N656" s="12"/>
      <c r="O656" s="12"/>
      <c r="P656" s="27"/>
    </row>
    <row r="657" spans="5:16" x14ac:dyDescent="0.25">
      <c r="E657" s="8"/>
      <c r="J657" s="12"/>
      <c r="K657" s="12"/>
      <c r="L657" s="12"/>
      <c r="M657" s="12"/>
      <c r="N657" s="12"/>
      <c r="O657" s="12"/>
      <c r="P657" s="27"/>
    </row>
    <row r="658" spans="5:16" x14ac:dyDescent="0.25">
      <c r="E658" s="8"/>
      <c r="J658" s="12"/>
      <c r="K658" s="12"/>
      <c r="L658" s="12"/>
      <c r="M658" s="12"/>
      <c r="N658" s="12"/>
      <c r="O658" s="12"/>
      <c r="P658" s="27"/>
    </row>
    <row r="659" spans="5:16" x14ac:dyDescent="0.25">
      <c r="E659" s="8"/>
      <c r="J659" s="12"/>
      <c r="K659" s="12"/>
      <c r="L659" s="12"/>
      <c r="M659" s="12"/>
      <c r="N659" s="12"/>
      <c r="O659" s="12"/>
      <c r="P659" s="27"/>
    </row>
    <row r="660" spans="5:16" x14ac:dyDescent="0.25">
      <c r="E660" s="8"/>
      <c r="J660" s="12"/>
      <c r="K660" s="12"/>
      <c r="L660" s="12"/>
      <c r="M660" s="12"/>
      <c r="N660" s="12"/>
      <c r="O660" s="12"/>
      <c r="P660" s="27"/>
    </row>
    <row r="661" spans="5:16" x14ac:dyDescent="0.25">
      <c r="E661" s="8"/>
      <c r="J661" s="12"/>
      <c r="K661" s="12"/>
      <c r="L661" s="12"/>
      <c r="M661" s="12"/>
      <c r="N661" s="12"/>
      <c r="O661" s="12"/>
      <c r="P661" s="27"/>
    </row>
    <row r="662" spans="5:16" x14ac:dyDescent="0.25">
      <c r="E662" s="8"/>
      <c r="J662" s="12"/>
      <c r="K662" s="12"/>
      <c r="L662" s="12"/>
      <c r="M662" s="12"/>
      <c r="N662" s="12"/>
      <c r="O662" s="12"/>
      <c r="P662" s="27"/>
    </row>
    <row r="663" spans="5:16" x14ac:dyDescent="0.25">
      <c r="E663" s="8"/>
      <c r="J663" s="12"/>
      <c r="K663" s="12"/>
      <c r="L663" s="12"/>
      <c r="M663" s="12"/>
      <c r="N663" s="12"/>
      <c r="O663" s="12"/>
      <c r="P663" s="27"/>
    </row>
    <row r="664" spans="5:16" x14ac:dyDescent="0.25">
      <c r="E664" s="8"/>
      <c r="J664" s="12"/>
      <c r="K664" s="12"/>
      <c r="L664" s="12"/>
      <c r="M664" s="12"/>
      <c r="N664" s="12"/>
      <c r="O664" s="12"/>
      <c r="P664" s="27"/>
    </row>
    <row r="665" spans="5:16" x14ac:dyDescent="0.25">
      <c r="E665" s="8"/>
      <c r="J665" s="12"/>
      <c r="K665" s="12"/>
      <c r="L665" s="12"/>
      <c r="M665" s="12"/>
      <c r="N665" s="12"/>
      <c r="O665" s="12"/>
      <c r="P665" s="27"/>
    </row>
    <row r="666" spans="5:16" x14ac:dyDescent="0.25">
      <c r="E666" s="8"/>
      <c r="J666" s="12"/>
      <c r="K666" s="12"/>
      <c r="L666" s="12"/>
      <c r="M666" s="12"/>
      <c r="N666" s="12"/>
      <c r="O666" s="12"/>
      <c r="P666" s="27"/>
    </row>
    <row r="667" spans="5:16" x14ac:dyDescent="0.25">
      <c r="E667" s="8"/>
      <c r="J667" s="12"/>
      <c r="K667" s="12"/>
      <c r="L667" s="12"/>
      <c r="M667" s="12"/>
      <c r="N667" s="12"/>
      <c r="O667" s="12"/>
      <c r="P667" s="27"/>
    </row>
    <row r="668" spans="5:16" x14ac:dyDescent="0.25">
      <c r="E668" s="8"/>
      <c r="J668" s="12"/>
      <c r="K668" s="12"/>
      <c r="L668" s="12"/>
      <c r="M668" s="12"/>
      <c r="N668" s="12"/>
      <c r="O668" s="12"/>
      <c r="P668" s="27"/>
    </row>
    <row r="669" spans="5:16" x14ac:dyDescent="0.25">
      <c r="E669" s="8"/>
      <c r="J669" s="12"/>
      <c r="K669" s="12"/>
      <c r="L669" s="12"/>
      <c r="M669" s="12"/>
      <c r="N669" s="12"/>
      <c r="O669" s="12"/>
      <c r="P669" s="27"/>
    </row>
    <row r="670" spans="5:16" x14ac:dyDescent="0.25">
      <c r="E670" s="8"/>
      <c r="J670" s="12"/>
      <c r="K670" s="12"/>
      <c r="L670" s="12"/>
      <c r="M670" s="12"/>
      <c r="N670" s="12"/>
      <c r="O670" s="12"/>
      <c r="P670" s="27"/>
    </row>
    <row r="671" spans="5:16" x14ac:dyDescent="0.25">
      <c r="E671" s="8"/>
      <c r="J671" s="12"/>
      <c r="K671" s="12"/>
      <c r="L671" s="12"/>
      <c r="M671" s="12"/>
      <c r="N671" s="12"/>
      <c r="O671" s="12"/>
      <c r="P671" s="27"/>
    </row>
    <row r="672" spans="5:16" x14ac:dyDescent="0.25">
      <c r="E672" s="8"/>
      <c r="J672" s="12"/>
      <c r="K672" s="12"/>
      <c r="L672" s="12"/>
      <c r="M672" s="12"/>
      <c r="N672" s="12"/>
      <c r="O672" s="12"/>
      <c r="P672" s="27"/>
    </row>
    <row r="673" spans="5:16" x14ac:dyDescent="0.25">
      <c r="E673" s="8"/>
      <c r="J673" s="12"/>
      <c r="K673" s="12"/>
      <c r="L673" s="12"/>
      <c r="M673" s="12"/>
      <c r="N673" s="12"/>
      <c r="O673" s="12"/>
      <c r="P673" s="27"/>
    </row>
    <row r="674" spans="5:16" x14ac:dyDescent="0.25">
      <c r="E674" s="8"/>
      <c r="J674" s="12"/>
      <c r="K674" s="12"/>
      <c r="L674" s="12"/>
      <c r="M674" s="12"/>
      <c r="N674" s="12"/>
      <c r="O674" s="12"/>
      <c r="P674" s="27"/>
    </row>
    <row r="675" spans="5:16" x14ac:dyDescent="0.25">
      <c r="E675" s="8"/>
      <c r="J675" s="12"/>
      <c r="K675" s="12"/>
      <c r="L675" s="12"/>
      <c r="M675" s="12"/>
      <c r="N675" s="12"/>
      <c r="O675" s="12"/>
      <c r="P675" s="27"/>
    </row>
    <row r="676" spans="5:16" x14ac:dyDescent="0.25">
      <c r="E676" s="8"/>
      <c r="J676" s="12"/>
      <c r="K676" s="12"/>
      <c r="L676" s="12"/>
      <c r="M676" s="12"/>
      <c r="N676" s="12"/>
      <c r="O676" s="12"/>
      <c r="P676" s="27"/>
    </row>
    <row r="677" spans="5:16" x14ac:dyDescent="0.25">
      <c r="E677" s="8"/>
      <c r="J677" s="12"/>
      <c r="K677" s="12"/>
      <c r="L677" s="12"/>
      <c r="M677" s="12"/>
      <c r="N677" s="12"/>
      <c r="O677" s="12"/>
      <c r="P677" s="27"/>
    </row>
    <row r="678" spans="5:16" x14ac:dyDescent="0.25">
      <c r="E678" s="8"/>
      <c r="J678" s="12"/>
      <c r="K678" s="12"/>
      <c r="L678" s="12"/>
      <c r="M678" s="12"/>
      <c r="N678" s="12"/>
      <c r="O678" s="12"/>
      <c r="P678" s="27"/>
    </row>
    <row r="679" spans="5:16" x14ac:dyDescent="0.25">
      <c r="E679" s="8"/>
      <c r="J679" s="12"/>
      <c r="K679" s="12"/>
      <c r="L679" s="12"/>
      <c r="M679" s="12"/>
      <c r="N679" s="12"/>
      <c r="O679" s="12"/>
      <c r="P679" s="27"/>
    </row>
    <row r="680" spans="5:16" x14ac:dyDescent="0.25">
      <c r="E680" s="8"/>
      <c r="J680" s="12"/>
      <c r="K680" s="12"/>
      <c r="L680" s="12"/>
      <c r="M680" s="12"/>
      <c r="N680" s="12"/>
      <c r="O680" s="12"/>
      <c r="P680" s="27"/>
    </row>
    <row r="681" spans="5:16" x14ac:dyDescent="0.25">
      <c r="E681" s="8"/>
      <c r="J681" s="12"/>
      <c r="K681" s="12"/>
      <c r="L681" s="12"/>
      <c r="M681" s="12"/>
      <c r="N681" s="12"/>
      <c r="O681" s="12"/>
      <c r="P681" s="27"/>
    </row>
    <row r="682" spans="5:16" x14ac:dyDescent="0.25">
      <c r="E682" s="8"/>
      <c r="J682" s="12"/>
      <c r="K682" s="12"/>
      <c r="L682" s="12"/>
      <c r="M682" s="12"/>
      <c r="N682" s="12"/>
      <c r="O682" s="12"/>
      <c r="P682" s="27"/>
    </row>
    <row r="683" spans="5:16" x14ac:dyDescent="0.25">
      <c r="E683" s="8"/>
      <c r="J683" s="12"/>
      <c r="K683" s="12"/>
      <c r="L683" s="12"/>
      <c r="M683" s="12"/>
      <c r="N683" s="12"/>
      <c r="O683" s="12"/>
      <c r="P683" s="27"/>
    </row>
    <row r="684" spans="5:16" x14ac:dyDescent="0.25">
      <c r="E684" s="8"/>
      <c r="J684" s="12"/>
      <c r="K684" s="12"/>
      <c r="L684" s="12"/>
      <c r="M684" s="12"/>
      <c r="N684" s="12"/>
      <c r="O684" s="12"/>
      <c r="P684" s="27"/>
    </row>
    <row r="685" spans="5:16" x14ac:dyDescent="0.25">
      <c r="E685" s="8"/>
      <c r="J685" s="12"/>
      <c r="K685" s="12"/>
      <c r="L685" s="12"/>
      <c r="M685" s="12"/>
      <c r="N685" s="12"/>
      <c r="O685" s="12"/>
      <c r="P685" s="27"/>
    </row>
    <row r="686" spans="5:16" x14ac:dyDescent="0.25">
      <c r="E686" s="8"/>
      <c r="J686" s="12"/>
      <c r="K686" s="12"/>
      <c r="L686" s="12"/>
      <c r="M686" s="12"/>
      <c r="N686" s="12"/>
      <c r="O686" s="12"/>
      <c r="P686" s="27"/>
    </row>
    <row r="687" spans="5:16" x14ac:dyDescent="0.25">
      <c r="E687" s="8"/>
      <c r="J687" s="12"/>
      <c r="K687" s="12"/>
      <c r="L687" s="12"/>
      <c r="M687" s="12"/>
      <c r="N687" s="12"/>
      <c r="O687" s="12"/>
      <c r="P687" s="27"/>
    </row>
    <row r="688" spans="5:16" x14ac:dyDescent="0.25">
      <c r="E688" s="8"/>
      <c r="J688" s="12"/>
      <c r="K688" s="12"/>
      <c r="L688" s="12"/>
      <c r="M688" s="12"/>
      <c r="N688" s="12"/>
      <c r="O688" s="12"/>
      <c r="P688" s="27"/>
    </row>
    <row r="689" spans="5:16" x14ac:dyDescent="0.25">
      <c r="E689" s="8"/>
      <c r="J689" s="12"/>
      <c r="K689" s="12"/>
      <c r="L689" s="12"/>
      <c r="M689" s="12"/>
      <c r="N689" s="12"/>
      <c r="O689" s="12"/>
      <c r="P689" s="27"/>
    </row>
    <row r="690" spans="5:16" x14ac:dyDescent="0.25">
      <c r="E690" s="8"/>
      <c r="J690" s="12"/>
      <c r="K690" s="12"/>
      <c r="L690" s="12"/>
      <c r="M690" s="12"/>
      <c r="N690" s="12"/>
      <c r="O690" s="12"/>
      <c r="P690" s="27"/>
    </row>
    <row r="691" spans="5:16" x14ac:dyDescent="0.25">
      <c r="E691" s="8"/>
      <c r="J691" s="12"/>
      <c r="K691" s="12"/>
      <c r="L691" s="12"/>
      <c r="M691" s="12"/>
      <c r="N691" s="12"/>
      <c r="O691" s="12"/>
      <c r="P691" s="27"/>
    </row>
    <row r="692" spans="5:16" x14ac:dyDescent="0.25">
      <c r="E692" s="8"/>
      <c r="J692" s="12"/>
      <c r="K692" s="12"/>
      <c r="L692" s="12"/>
      <c r="M692" s="12"/>
      <c r="N692" s="12"/>
      <c r="O692" s="12"/>
      <c r="P692" s="27"/>
    </row>
    <row r="693" spans="5:16" x14ac:dyDescent="0.25">
      <c r="E693" s="8"/>
      <c r="J693" s="12"/>
      <c r="K693" s="12"/>
      <c r="L693" s="12"/>
      <c r="M693" s="12"/>
      <c r="N693" s="12"/>
      <c r="O693" s="12"/>
      <c r="P693" s="27"/>
    </row>
    <row r="694" spans="5:16" x14ac:dyDescent="0.25">
      <c r="E694" s="8"/>
      <c r="J694" s="12"/>
      <c r="K694" s="12"/>
      <c r="L694" s="12"/>
      <c r="M694" s="12"/>
      <c r="N694" s="12"/>
      <c r="O694" s="12"/>
      <c r="P694" s="27"/>
    </row>
    <row r="695" spans="5:16" x14ac:dyDescent="0.25">
      <c r="E695" s="8"/>
      <c r="J695" s="12"/>
      <c r="K695" s="12"/>
      <c r="L695" s="12"/>
      <c r="M695" s="12"/>
      <c r="N695" s="12"/>
      <c r="O695" s="12"/>
      <c r="P695" s="27"/>
    </row>
    <row r="696" spans="5:16" x14ac:dyDescent="0.25">
      <c r="E696" s="8"/>
      <c r="J696" s="12"/>
      <c r="K696" s="12"/>
      <c r="L696" s="12"/>
      <c r="M696" s="12"/>
      <c r="N696" s="12"/>
      <c r="O696" s="12"/>
      <c r="P696" s="27"/>
    </row>
    <row r="697" spans="5:16" x14ac:dyDescent="0.25">
      <c r="E697" s="8"/>
      <c r="J697" s="12"/>
      <c r="K697" s="12"/>
      <c r="L697" s="12"/>
      <c r="M697" s="12"/>
      <c r="N697" s="12"/>
      <c r="O697" s="12"/>
      <c r="P697" s="27"/>
    </row>
    <row r="698" spans="5:16" x14ac:dyDescent="0.25">
      <c r="E698" s="8"/>
      <c r="J698" s="12"/>
      <c r="K698" s="12"/>
      <c r="L698" s="12"/>
      <c r="M698" s="12"/>
      <c r="N698" s="12"/>
      <c r="O698" s="12"/>
      <c r="P698" s="27"/>
    </row>
    <row r="699" spans="5:16" x14ac:dyDescent="0.25">
      <c r="E699" s="8"/>
      <c r="J699" s="12"/>
      <c r="K699" s="12"/>
      <c r="L699" s="12"/>
      <c r="M699" s="12"/>
      <c r="N699" s="12"/>
      <c r="O699" s="12"/>
      <c r="P699" s="27"/>
    </row>
    <row r="700" spans="5:16" x14ac:dyDescent="0.25">
      <c r="E700" s="8"/>
      <c r="J700" s="12"/>
      <c r="K700" s="12"/>
      <c r="L700" s="12"/>
      <c r="M700" s="12"/>
      <c r="N700" s="12"/>
      <c r="O700" s="12"/>
      <c r="P700" s="27"/>
    </row>
    <row r="701" spans="5:16" x14ac:dyDescent="0.25">
      <c r="E701" s="8"/>
      <c r="J701" s="12"/>
      <c r="K701" s="12"/>
      <c r="L701" s="12"/>
      <c r="M701" s="12"/>
      <c r="N701" s="12"/>
      <c r="O701" s="12"/>
      <c r="P701" s="27"/>
    </row>
    <row r="702" spans="5:16" x14ac:dyDescent="0.25">
      <c r="E702" s="8"/>
      <c r="J702" s="12"/>
      <c r="K702" s="12"/>
      <c r="L702" s="12"/>
      <c r="M702" s="12"/>
      <c r="N702" s="12"/>
      <c r="O702" s="12"/>
      <c r="P702" s="27"/>
    </row>
    <row r="703" spans="5:16" x14ac:dyDescent="0.25">
      <c r="E703" s="8"/>
      <c r="J703" s="12"/>
      <c r="K703" s="12"/>
      <c r="L703" s="12"/>
      <c r="M703" s="12"/>
      <c r="N703" s="12"/>
      <c r="O703" s="12"/>
      <c r="P703" s="27"/>
    </row>
    <row r="704" spans="5:16" x14ac:dyDescent="0.25">
      <c r="E704" s="8"/>
      <c r="J704" s="12"/>
      <c r="K704" s="12"/>
      <c r="L704" s="12"/>
      <c r="M704" s="12"/>
      <c r="N704" s="12"/>
      <c r="O704" s="12"/>
      <c r="P704" s="27"/>
    </row>
    <row r="705" spans="5:16" x14ac:dyDescent="0.25">
      <c r="E705" s="8"/>
      <c r="J705" s="12"/>
      <c r="K705" s="12"/>
      <c r="L705" s="12"/>
      <c r="M705" s="12"/>
      <c r="N705" s="12"/>
      <c r="O705" s="12"/>
      <c r="P705" s="27"/>
    </row>
    <row r="706" spans="5:16" x14ac:dyDescent="0.25">
      <c r="E706" s="8"/>
      <c r="J706" s="12"/>
      <c r="K706" s="12"/>
      <c r="L706" s="12"/>
      <c r="M706" s="12"/>
      <c r="N706" s="12"/>
      <c r="O706" s="12"/>
      <c r="P706" s="27"/>
    </row>
    <row r="707" spans="5:16" x14ac:dyDescent="0.25">
      <c r="E707" s="8"/>
      <c r="J707" s="12"/>
      <c r="K707" s="12"/>
      <c r="L707" s="12"/>
      <c r="M707" s="12"/>
      <c r="N707" s="12"/>
      <c r="O707" s="12"/>
      <c r="P707" s="27"/>
    </row>
    <row r="708" spans="5:16" x14ac:dyDescent="0.25">
      <c r="E708" s="8"/>
      <c r="J708" s="12"/>
      <c r="K708" s="12"/>
      <c r="L708" s="12"/>
      <c r="M708" s="12"/>
      <c r="N708" s="12"/>
      <c r="O708" s="12"/>
      <c r="P708" s="27"/>
    </row>
    <row r="709" spans="5:16" x14ac:dyDescent="0.25">
      <c r="E709" s="8"/>
      <c r="J709" s="12"/>
      <c r="K709" s="12"/>
      <c r="L709" s="12"/>
      <c r="M709" s="12"/>
      <c r="N709" s="12"/>
      <c r="O709" s="12"/>
      <c r="P709" s="27"/>
    </row>
    <row r="710" spans="5:16" x14ac:dyDescent="0.25">
      <c r="E710" s="8"/>
      <c r="J710" s="12"/>
      <c r="K710" s="12"/>
      <c r="L710" s="12"/>
      <c r="M710" s="12"/>
      <c r="N710" s="12"/>
      <c r="O710" s="12"/>
      <c r="P710" s="27"/>
    </row>
    <row r="711" spans="5:16" x14ac:dyDescent="0.25">
      <c r="E711" s="8"/>
      <c r="J711" s="12"/>
      <c r="K711" s="12"/>
      <c r="L711" s="12"/>
      <c r="M711" s="12"/>
      <c r="N711" s="12"/>
      <c r="O711" s="12"/>
      <c r="P711" s="27"/>
    </row>
    <row r="712" spans="5:16" x14ac:dyDescent="0.25">
      <c r="E712" s="8"/>
      <c r="J712" s="12"/>
      <c r="K712" s="12"/>
      <c r="L712" s="12"/>
      <c r="M712" s="12"/>
      <c r="N712" s="12"/>
      <c r="O712" s="12"/>
      <c r="P712" s="27"/>
    </row>
    <row r="713" spans="5:16" x14ac:dyDescent="0.25">
      <c r="E713" s="8"/>
      <c r="J713" s="12"/>
      <c r="K713" s="12"/>
      <c r="L713" s="12"/>
      <c r="M713" s="12"/>
      <c r="N713" s="12"/>
      <c r="O713" s="12"/>
      <c r="P713" s="27"/>
    </row>
    <row r="714" spans="5:16" x14ac:dyDescent="0.25">
      <c r="E714" s="8"/>
      <c r="J714" s="12"/>
      <c r="K714" s="12"/>
      <c r="L714" s="12"/>
      <c r="M714" s="12"/>
      <c r="N714" s="12"/>
      <c r="O714" s="12"/>
      <c r="P714" s="27"/>
    </row>
    <row r="715" spans="5:16" x14ac:dyDescent="0.25">
      <c r="E715" s="8"/>
      <c r="J715" s="12"/>
      <c r="K715" s="12"/>
      <c r="L715" s="12"/>
      <c r="M715" s="12"/>
      <c r="N715" s="12"/>
      <c r="O715" s="12"/>
      <c r="P715" s="27"/>
    </row>
    <row r="716" spans="5:16" x14ac:dyDescent="0.25">
      <c r="E716" s="8"/>
      <c r="J716" s="12"/>
      <c r="K716" s="12"/>
      <c r="L716" s="12"/>
      <c r="M716" s="12"/>
      <c r="N716" s="12"/>
      <c r="O716" s="12"/>
      <c r="P716" s="27"/>
    </row>
    <row r="717" spans="5:16" x14ac:dyDescent="0.25">
      <c r="E717" s="8"/>
      <c r="J717" s="12"/>
      <c r="K717" s="12"/>
      <c r="L717" s="12"/>
      <c r="M717" s="12"/>
      <c r="N717" s="12"/>
      <c r="O717" s="12"/>
      <c r="P717" s="27"/>
    </row>
    <row r="718" spans="5:16" x14ac:dyDescent="0.25">
      <c r="E718" s="8"/>
      <c r="J718" s="12"/>
      <c r="K718" s="12"/>
      <c r="L718" s="12"/>
      <c r="M718" s="12"/>
      <c r="N718" s="12"/>
      <c r="O718" s="12"/>
      <c r="P718" s="27"/>
    </row>
    <row r="719" spans="5:16" x14ac:dyDescent="0.25">
      <c r="E719" s="8"/>
      <c r="J719" s="12"/>
      <c r="K719" s="12"/>
      <c r="L719" s="12"/>
      <c r="M719" s="12"/>
      <c r="N719" s="12"/>
      <c r="O719" s="12"/>
      <c r="P719" s="27"/>
    </row>
    <row r="720" spans="5:16" x14ac:dyDescent="0.25">
      <c r="E720" s="8"/>
      <c r="J720" s="12"/>
      <c r="K720" s="12"/>
      <c r="L720" s="12"/>
      <c r="M720" s="12"/>
      <c r="N720" s="12"/>
      <c r="O720" s="12"/>
      <c r="P720" s="27"/>
    </row>
    <row r="721" spans="5:16" x14ac:dyDescent="0.25">
      <c r="E721" s="8"/>
      <c r="J721" s="12"/>
      <c r="K721" s="12"/>
      <c r="L721" s="12"/>
      <c r="M721" s="12"/>
      <c r="N721" s="12"/>
      <c r="O721" s="12"/>
      <c r="P721" s="27"/>
    </row>
    <row r="722" spans="5:16" x14ac:dyDescent="0.25">
      <c r="E722" s="8"/>
      <c r="J722" s="12"/>
      <c r="K722" s="12"/>
      <c r="L722" s="12"/>
      <c r="M722" s="12"/>
      <c r="N722" s="12"/>
      <c r="O722" s="12"/>
      <c r="P722" s="27"/>
    </row>
    <row r="723" spans="5:16" x14ac:dyDescent="0.25">
      <c r="E723" s="8"/>
      <c r="J723" s="12"/>
      <c r="K723" s="12"/>
      <c r="L723" s="12"/>
      <c r="M723" s="12"/>
      <c r="N723" s="12"/>
      <c r="O723" s="12"/>
      <c r="P723" s="27"/>
    </row>
    <row r="724" spans="5:16" x14ac:dyDescent="0.25">
      <c r="E724" s="8"/>
      <c r="J724" s="12"/>
      <c r="K724" s="12"/>
      <c r="L724" s="12"/>
      <c r="M724" s="12"/>
      <c r="N724" s="12"/>
      <c r="O724" s="12"/>
      <c r="P724" s="27"/>
    </row>
    <row r="725" spans="5:16" x14ac:dyDescent="0.25">
      <c r="E725" s="8"/>
      <c r="J725" s="12"/>
      <c r="K725" s="12"/>
      <c r="L725" s="12"/>
      <c r="M725" s="12"/>
      <c r="N725" s="12"/>
      <c r="O725" s="12"/>
      <c r="P725" s="27"/>
    </row>
    <row r="726" spans="5:16" x14ac:dyDescent="0.25">
      <c r="E726" s="8"/>
      <c r="J726" s="12"/>
      <c r="K726" s="12"/>
      <c r="L726" s="12"/>
      <c r="M726" s="12"/>
      <c r="N726" s="12"/>
      <c r="O726" s="12"/>
      <c r="P726" s="27"/>
    </row>
    <row r="727" spans="5:16" x14ac:dyDescent="0.25">
      <c r="E727" s="8"/>
      <c r="J727" s="12"/>
      <c r="K727" s="12"/>
      <c r="L727" s="12"/>
      <c r="M727" s="12"/>
      <c r="N727" s="12"/>
      <c r="O727" s="12"/>
      <c r="P727" s="27"/>
    </row>
    <row r="728" spans="5:16" x14ac:dyDescent="0.25">
      <c r="E728" s="8"/>
      <c r="J728" s="12"/>
      <c r="K728" s="12"/>
      <c r="L728" s="12"/>
      <c r="M728" s="12"/>
      <c r="N728" s="12"/>
      <c r="O728" s="12"/>
      <c r="P728" s="27"/>
    </row>
    <row r="729" spans="5:16" x14ac:dyDescent="0.25">
      <c r="E729" s="8"/>
      <c r="J729" s="12"/>
      <c r="K729" s="12"/>
      <c r="L729" s="12"/>
      <c r="M729" s="12"/>
      <c r="N729" s="12"/>
      <c r="O729" s="12"/>
      <c r="P729" s="27"/>
    </row>
    <row r="730" spans="5:16" x14ac:dyDescent="0.25">
      <c r="E730" s="8"/>
      <c r="J730" s="12"/>
      <c r="K730" s="12"/>
      <c r="L730" s="12"/>
      <c r="M730" s="12"/>
      <c r="N730" s="12"/>
      <c r="O730" s="12"/>
      <c r="P730" s="27"/>
    </row>
    <row r="731" spans="5:16" x14ac:dyDescent="0.25">
      <c r="E731" s="8"/>
      <c r="J731" s="12"/>
      <c r="K731" s="12"/>
      <c r="L731" s="12"/>
      <c r="M731" s="12"/>
      <c r="N731" s="12"/>
      <c r="O731" s="12"/>
      <c r="P731" s="27"/>
    </row>
    <row r="732" spans="5:16" x14ac:dyDescent="0.25">
      <c r="E732" s="8"/>
      <c r="J732" s="12"/>
      <c r="K732" s="12"/>
      <c r="L732" s="12"/>
      <c r="M732" s="12"/>
      <c r="N732" s="12"/>
      <c r="O732" s="12"/>
      <c r="P732" s="27"/>
    </row>
    <row r="733" spans="5:16" x14ac:dyDescent="0.25">
      <c r="E733" s="8"/>
      <c r="J733" s="12"/>
      <c r="K733" s="12"/>
      <c r="L733" s="12"/>
      <c r="M733" s="12"/>
      <c r="N733" s="12"/>
      <c r="O733" s="12"/>
      <c r="P733" s="27"/>
    </row>
    <row r="734" spans="5:16" x14ac:dyDescent="0.25">
      <c r="E734" s="8"/>
      <c r="J734" s="12"/>
      <c r="K734" s="12"/>
      <c r="L734" s="12"/>
      <c r="M734" s="12"/>
      <c r="N734" s="12"/>
      <c r="O734" s="12"/>
      <c r="P734" s="27"/>
    </row>
    <row r="735" spans="5:16" x14ac:dyDescent="0.25">
      <c r="E735" s="8"/>
      <c r="J735" s="12"/>
      <c r="K735" s="12"/>
      <c r="L735" s="12"/>
      <c r="M735" s="12"/>
      <c r="N735" s="12"/>
      <c r="O735" s="12"/>
      <c r="P735" s="27"/>
    </row>
    <row r="736" spans="5:16" x14ac:dyDescent="0.25">
      <c r="E736" s="8"/>
      <c r="J736" s="12"/>
      <c r="K736" s="12"/>
      <c r="L736" s="12"/>
      <c r="M736" s="12"/>
      <c r="N736" s="12"/>
      <c r="O736" s="12"/>
      <c r="P736" s="27"/>
    </row>
    <row r="737" spans="5:16" x14ac:dyDescent="0.25">
      <c r="E737" s="8"/>
      <c r="J737" s="12"/>
      <c r="K737" s="12"/>
      <c r="L737" s="12"/>
      <c r="M737" s="12"/>
      <c r="N737" s="12"/>
      <c r="O737" s="12"/>
      <c r="P737" s="27"/>
    </row>
    <row r="738" spans="5:16" x14ac:dyDescent="0.25">
      <c r="E738" s="8"/>
      <c r="J738" s="12"/>
      <c r="K738" s="12"/>
      <c r="L738" s="12"/>
      <c r="M738" s="12"/>
      <c r="N738" s="12"/>
      <c r="O738" s="12"/>
      <c r="P738" s="27"/>
    </row>
    <row r="739" spans="5:16" x14ac:dyDescent="0.25">
      <c r="E739" s="8"/>
      <c r="J739" s="12"/>
      <c r="K739" s="12"/>
      <c r="L739" s="12"/>
      <c r="M739" s="12"/>
      <c r="N739" s="12"/>
      <c r="O739" s="12"/>
      <c r="P739" s="27"/>
    </row>
    <row r="740" spans="5:16" x14ac:dyDescent="0.25">
      <c r="E740" s="8"/>
      <c r="J740" s="12"/>
      <c r="K740" s="12"/>
      <c r="L740" s="12"/>
      <c r="M740" s="12"/>
      <c r="N740" s="12"/>
      <c r="O740" s="12"/>
      <c r="P740" s="27"/>
    </row>
    <row r="741" spans="5:16" x14ac:dyDescent="0.25">
      <c r="E741" s="8"/>
      <c r="J741" s="12"/>
      <c r="K741" s="12"/>
      <c r="L741" s="12"/>
      <c r="M741" s="12"/>
      <c r="N741" s="12"/>
      <c r="O741" s="12"/>
      <c r="P741" s="27"/>
    </row>
    <row r="742" spans="5:16" x14ac:dyDescent="0.25">
      <c r="E742" s="8"/>
      <c r="J742" s="12"/>
      <c r="K742" s="12"/>
      <c r="L742" s="12"/>
      <c r="M742" s="12"/>
      <c r="N742" s="12"/>
      <c r="O742" s="12"/>
      <c r="P742" s="27"/>
    </row>
    <row r="743" spans="5:16" x14ac:dyDescent="0.25">
      <c r="E743" s="8"/>
      <c r="J743" s="12"/>
      <c r="K743" s="12"/>
      <c r="L743" s="12"/>
      <c r="M743" s="12"/>
      <c r="N743" s="12"/>
      <c r="O743" s="12"/>
      <c r="P743" s="27"/>
    </row>
    <row r="744" spans="5:16" x14ac:dyDescent="0.25">
      <c r="E744" s="8"/>
      <c r="J744" s="12"/>
      <c r="K744" s="12"/>
      <c r="L744" s="12"/>
      <c r="M744" s="12"/>
      <c r="N744" s="12"/>
      <c r="O744" s="12"/>
      <c r="P744" s="27"/>
    </row>
    <row r="745" spans="5:16" x14ac:dyDescent="0.25">
      <c r="E745" s="8"/>
      <c r="J745" s="12"/>
      <c r="K745" s="12"/>
      <c r="L745" s="12"/>
      <c r="M745" s="12"/>
      <c r="N745" s="12"/>
      <c r="O745" s="12"/>
      <c r="P745" s="27"/>
    </row>
  </sheetData>
  <autoFilter ref="A1:R74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Iva Compras</vt:lpstr>
      <vt:lpstr>Mis Comprobantes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Zuppelli</dc:creator>
  <cp:lastModifiedBy>Usuario</cp:lastModifiedBy>
  <dcterms:created xsi:type="dcterms:W3CDTF">2024-05-16T12:44:55Z</dcterms:created>
  <dcterms:modified xsi:type="dcterms:W3CDTF">2024-07-01T19:59:28Z</dcterms:modified>
</cp:coreProperties>
</file>