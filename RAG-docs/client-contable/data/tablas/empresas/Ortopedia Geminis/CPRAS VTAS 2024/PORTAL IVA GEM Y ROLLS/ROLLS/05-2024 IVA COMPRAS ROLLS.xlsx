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ROLLS Y EMPANADAS\COMPRAS VENTAS 2024\05-2024\"/>
    </mc:Choice>
  </mc:AlternateContent>
  <xr:revisionPtr revIDLastSave="0" documentId="13_ncr:1_{6D1E3E08-5B9C-4445-BE1A-2BD24F4B13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Hoja1!$A$1:$O$62</definedName>
  </definedNames>
  <calcPr calcId="181029"/>
</workbook>
</file>

<file path=xl/calcChain.xml><?xml version="1.0" encoding="utf-8"?>
<calcChain xmlns="http://schemas.openxmlformats.org/spreadsheetml/2006/main">
  <c r="P41" i="1" l="1"/>
  <c r="P39" i="1"/>
  <c r="P37" i="1"/>
  <c r="P35" i="1"/>
  <c r="P33" i="1"/>
  <c r="P31" i="1"/>
  <c r="P29" i="1"/>
  <c r="P26" i="1"/>
  <c r="P24" i="1"/>
  <c r="P22" i="1"/>
  <c r="P20" i="1"/>
  <c r="P18" i="1"/>
  <c r="P16" i="1"/>
  <c r="P14" i="1"/>
  <c r="P12" i="1"/>
  <c r="P11" i="1"/>
  <c r="K9" i="1"/>
  <c r="K8" i="1"/>
  <c r="K6" i="1"/>
  <c r="K4" i="1"/>
  <c r="K2" i="1"/>
  <c r="J63" i="1"/>
  <c r="L63" i="1"/>
  <c r="M63" i="1"/>
  <c r="N63" i="1"/>
  <c r="O63" i="1"/>
  <c r="K63" i="1" l="1"/>
</calcChain>
</file>

<file path=xl/sharedStrings.xml><?xml version="1.0" encoding="utf-8"?>
<sst xmlns="http://schemas.openxmlformats.org/spreadsheetml/2006/main" count="445" uniqueCount="93">
  <si>
    <t>FECHA_EMI</t>
  </si>
  <si>
    <t>COD_PROVE</t>
  </si>
  <si>
    <t>NOM_PROVE</t>
  </si>
  <si>
    <t>COND_IVA</t>
  </si>
  <si>
    <t>IDENTIFTRI</t>
  </si>
  <si>
    <t>N_INTERNO</t>
  </si>
  <si>
    <t>T_COMP</t>
  </si>
  <si>
    <t>N_COMP</t>
  </si>
  <si>
    <t>PORC_IVA</t>
  </si>
  <si>
    <t>IMP_EXENTO</t>
  </si>
  <si>
    <t>IMP_NETO</t>
  </si>
  <si>
    <t>IMP_IVA</t>
  </si>
  <si>
    <t>IMP_TOTAL</t>
  </si>
  <si>
    <t>N_ING_BRU</t>
  </si>
  <si>
    <t>OTROSIMP</t>
  </si>
  <si>
    <t/>
  </si>
  <si>
    <t>PROSEG</t>
  </si>
  <si>
    <t>PROSEGUR ACTIVA ARGENTINA SA</t>
  </si>
  <si>
    <t>RI</t>
  </si>
  <si>
    <t>30-70977656-4</t>
  </si>
  <si>
    <t>FAC</t>
  </si>
  <si>
    <t>A0001101600404</t>
  </si>
  <si>
    <t>BCORIO</t>
  </si>
  <si>
    <t>BANCO SANTANDER RIO SOCIEDAD ANONIMA</t>
  </si>
  <si>
    <t>30-50000845-4</t>
  </si>
  <si>
    <t>00202490002001</t>
  </si>
  <si>
    <t>00202490019701</t>
  </si>
  <si>
    <t>00202409663506</t>
  </si>
  <si>
    <t>00202490027801</t>
  </si>
  <si>
    <t>00202490023101</t>
  </si>
  <si>
    <t>00202490015701</t>
  </si>
  <si>
    <t>00202400900057</t>
  </si>
  <si>
    <t>00202490006701</t>
  </si>
  <si>
    <t>00202490016801</t>
  </si>
  <si>
    <t>00202430042024</t>
  </si>
  <si>
    <t>SLAKE</t>
  </si>
  <si>
    <t>EMBOTELLADORA MIDA SA</t>
  </si>
  <si>
    <t>30-70906544-7</t>
  </si>
  <si>
    <t>A0001100132856</t>
  </si>
  <si>
    <t>A0001100132857</t>
  </si>
  <si>
    <t>A0001100132858</t>
  </si>
  <si>
    <t>DUSAN</t>
  </si>
  <si>
    <t>STEKOVIC DUSAN</t>
  </si>
  <si>
    <t>RS</t>
  </si>
  <si>
    <t>20-10640002-5</t>
  </si>
  <si>
    <t>C0000300000057</t>
  </si>
  <si>
    <t>TELECO</t>
  </si>
  <si>
    <t>TELECOM</t>
  </si>
  <si>
    <t>30-63945373-8</t>
  </si>
  <si>
    <t>A0395001720133</t>
  </si>
  <si>
    <t>MESTRE</t>
  </si>
  <si>
    <t>MESTRE MAURO EDUARDO</t>
  </si>
  <si>
    <t>20-28463402-1</t>
  </si>
  <si>
    <t>A0000400018304</t>
  </si>
  <si>
    <t>CAÑUEL</t>
  </si>
  <si>
    <t>MOLINO CAÑUELAS SOCIEDAD ANONIMA COMERCIAL INDUSTRIAL  FINAN</t>
  </si>
  <si>
    <t>30-50795084-8</t>
  </si>
  <si>
    <t>A0088400103414</t>
  </si>
  <si>
    <t>A0088400103415</t>
  </si>
  <si>
    <t>A0001201731482</t>
  </si>
  <si>
    <t>00202490034101</t>
  </si>
  <si>
    <t>OMINT</t>
  </si>
  <si>
    <t>OMINT SOCIEDAD ANONIMA DE SERVICIOS</t>
  </si>
  <si>
    <t>30-55024530-9</t>
  </si>
  <si>
    <t>A0002101117534</t>
  </si>
  <si>
    <t>00202409663507</t>
  </si>
  <si>
    <t>00202490011401</t>
  </si>
  <si>
    <t>00202490018001</t>
  </si>
  <si>
    <t>00202490019201</t>
  </si>
  <si>
    <t>GEM</t>
  </si>
  <si>
    <t>GASTRONOMIA EN MOVIMIENTO</t>
  </si>
  <si>
    <t>30-70971754-1</t>
  </si>
  <si>
    <t>A0001000119184</t>
  </si>
  <si>
    <t>00202490023401</t>
  </si>
  <si>
    <t>SOCIN</t>
  </si>
  <si>
    <t>SOCIN MARIANO IGNACIO</t>
  </si>
  <si>
    <t>20-21483989-0</t>
  </si>
  <si>
    <t>A0000200000716</t>
  </si>
  <si>
    <t>A0001000119802</t>
  </si>
  <si>
    <t>00202490014001</t>
  </si>
  <si>
    <t>00202490015401</t>
  </si>
  <si>
    <t>ORIETA</t>
  </si>
  <si>
    <t>GOY WIDMER Y CIA SA</t>
  </si>
  <si>
    <t>30-50569294-9</t>
  </si>
  <si>
    <t>N/C</t>
  </si>
  <si>
    <t>A0003400002634</t>
  </si>
  <si>
    <t>00202431052024</t>
  </si>
  <si>
    <t>LACONA</t>
  </si>
  <si>
    <t>ESTUDIO IACONA</t>
  </si>
  <si>
    <t>30-71523129-4</t>
  </si>
  <si>
    <t>A0000500007182</t>
  </si>
  <si>
    <t>PERCEPCIONES</t>
  </si>
  <si>
    <t>AGREGADA A AFIP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</si>
</sst>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quotePrefix="1"/>
    <xf numFmtId="0" fontId="1" fillId="0" borderId="0" xfId="0" quotePrefix="1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3" fontId="1" fillId="0" borderId="0" xfId="1" quotePrefix="1" applyFont="1"/>
    <xf numFmtId="43" fontId="0" fillId="0" borderId="0" xfId="1" applyFont="1"/>
    <xf numFmtId="43" fontId="0" fillId="0" borderId="0" xfId="1" quotePrefix="1" applyFont="1"/>
    <xf numFmtId="43" fontId="0" fillId="0" borderId="0" xfId="0" applyNumberFormat="1" applyFont="1"/>
    <xf numFmtId="0" fontId="0" fillId="2" borderId="0" xfId="0" quotePrefix="1" applyFill="1"/>
    <xf numFmtId="0" fontId="0" fillId="3" borderId="0" xfId="0" quotePrefix="1" applyFill="1"/>
    <xf numFmtId="0" fontId="0" fillId="3" borderId="0" xfId="0" applyFill="1"/>
    <xf numFmtId="0" fontId="0" fillId="4" borderId="0" xfId="0" quotePrefix="1" applyFill="1"/>
    <xf numFmtId="0" fontId="0" fillId="4" borderId="0" xfId="0" applyFill="1"/>
    <xf numFmtId="164" fontId="0" fillId="0" borderId="1" xfId="0" applyNumberFormat="1" applyBorder="1"/>
    <xf numFmtId="0" fontId="0" fillId="0" borderId="1" xfId="0" quotePrefix="1" applyBorder="1"/>
    <xf numFmtId="1" fontId="0" fillId="0" borderId="1" xfId="0" applyNumberFormat="1" applyBorder="1"/>
    <xf numFmtId="0" fontId="0" fillId="3" borderId="1" xfId="0" quotePrefix="1" applyFill="1" applyBorder="1"/>
    <xf numFmtId="2" fontId="0" fillId="0" borderId="1" xfId="0" applyNumberFormat="1" applyBorder="1"/>
    <xf numFmtId="43" fontId="0" fillId="0" borderId="1" xfId="1" applyFont="1" applyBorder="1"/>
    <xf numFmtId="43" fontId="0" fillId="0" borderId="1" xfId="1" quotePrefix="1" applyFont="1" applyBorder="1"/>
    <xf numFmtId="0" fontId="0" fillId="0" borderId="1" xfId="0" applyBorder="1"/>
    <xf numFmtId="43" fontId="0" fillId="0" borderId="0" xfId="0" applyNumberFormat="1"/>
  </cellXfs>
  <cellStyles count="2">
    <cellStyle name="Millares" xfId="1" builtinId="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4" formatCode="dd/mm/yyyy"/>
    </dxf>
    <dxf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B069B-37A1-4EBC-B99E-E8456A90052D}" name="Tabla1" displayName="Tabla1" ref="A1:O63" totalsRowCount="1" headerRowDxfId="19" dataDxfId="18" headerRowCellStyle="Millares" dataCellStyle="Millares">
  <autoFilter ref="A1:O62" xr:uid="{00000000-0001-0000-0000-000000000000}">
    <filterColumn colId="3">
      <filters>
        <filter val="RI"/>
      </filters>
    </filterColumn>
  </autoFilter>
  <sortState xmlns:xlrd2="http://schemas.microsoft.com/office/spreadsheetml/2017/richdata2" ref="A2:O62">
    <sortCondition ref="H1:H62"/>
  </sortState>
  <tableColumns count="15">
    <tableColumn id="1" xr3:uid="{6AABF703-63E3-4FEB-A855-FD895F8448B7}" name="FECHA_EMI" dataDxfId="17" totalsRowDxfId="16"/>
    <tableColumn id="2" xr3:uid="{CBC7ED29-A92E-4841-BBC0-722FFAA7F5B6}" name="COD_PROVE"/>
    <tableColumn id="3" xr3:uid="{8D385194-5D60-47D9-A945-A8B27AA066F3}" name="NOM_PROVE"/>
    <tableColumn id="4" xr3:uid="{0170C714-AB25-471D-B4ED-BD7089DAFA9C}" name="COND_IVA"/>
    <tableColumn id="5" xr3:uid="{13C7778F-E7C6-43D5-B815-B650FE0A3697}" name="IDENTIFTRI"/>
    <tableColumn id="6" xr3:uid="{56231BCD-4319-41BF-98C4-6B7B2E4C30CD}" name="N_INTERNO" dataDxfId="15" totalsRowDxfId="14"/>
    <tableColumn id="7" xr3:uid="{D7903419-0E53-41D6-8A91-51ADF9F5947F}" name="T_COMP"/>
    <tableColumn id="8" xr3:uid="{A54C0E0B-380F-4402-9B4C-B557140F074B}" name="N_COMP"/>
    <tableColumn id="9" xr3:uid="{6987175E-1CFD-4921-8703-B3E9D0C5905A}" name="PORC_IVA" dataDxfId="13" totalsRowDxfId="12"/>
    <tableColumn id="10" xr3:uid="{A15653C0-7945-4723-8612-EA382D9DD110}" name="IMP_EXENTO" totalsRowFunction="sum" dataDxfId="11" totalsRowDxfId="10" dataCellStyle="Millares"/>
    <tableColumn id="11" xr3:uid="{FFD834AC-D453-4155-A8D3-4FBECBBCF57E}" name="IMP_NETO" totalsRowFunction="sum" dataDxfId="9" totalsRowDxfId="8" dataCellStyle="Millares"/>
    <tableColumn id="12" xr3:uid="{36DD65D9-E414-4D91-93E7-5AC78F9DA223}" name="IMP_IVA" totalsRowFunction="sum" dataDxfId="7" totalsRowDxfId="6" dataCellStyle="Millares"/>
    <tableColumn id="13" xr3:uid="{8368B50A-55F2-4224-9CE9-FD4AF456454C}" name="IMP_TOTAL" totalsRowFunction="sum" dataDxfId="5" totalsRowDxfId="4" dataCellStyle="Millares"/>
    <tableColumn id="14" xr3:uid="{BDDC6064-3F21-4FC5-9021-98F8869A2A0D}" name="N_ING_BRU" totalsRowFunction="sum" dataDxfId="3" totalsRowDxfId="2" dataCellStyle="Millares"/>
    <tableColumn id="15" xr3:uid="{69558A10-61AE-43DB-A4B2-F6F376F14267}" name="OTROSIMP" totalsRowFunction="sum" dataDxfId="1" totalsRowDxfId="0" dataCellStyle="Millar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abSelected="1" workbookViewId="0">
      <selection activeCell="H17" sqref="H17"/>
    </sheetView>
  </sheetViews>
  <sheetFormatPr baseColWidth="10" defaultRowHeight="15" x14ac:dyDescent="0.25"/>
  <cols>
    <col min="1" max="1" width="13.7109375" customWidth="1"/>
    <col min="2" max="2" width="14.7109375" customWidth="1"/>
    <col min="3" max="3" width="20.140625" customWidth="1"/>
    <col min="4" max="4" width="7.28515625" customWidth="1"/>
    <col min="5" max="5" width="10.85546875" customWidth="1"/>
    <col min="6" max="6" width="13.85546875" customWidth="1"/>
    <col min="8" max="8" width="18.7109375" customWidth="1"/>
    <col min="9" max="9" width="12.42578125" customWidth="1"/>
    <col min="10" max="13" width="18.7109375" style="7" customWidth="1"/>
    <col min="14" max="14" width="24.7109375" style="7" customWidth="1"/>
    <col min="15" max="15" width="18.7109375" style="7" customWidth="1"/>
    <col min="17" max="17" width="17.140625" bestFit="1" customWidth="1"/>
  </cols>
  <sheetData>
    <row r="1" spans="1:1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" t="s">
        <v>15</v>
      </c>
    </row>
    <row r="2" spans="1:17" x14ac:dyDescent="0.25">
      <c r="A2" s="3">
        <v>45405</v>
      </c>
      <c r="B2" s="1" t="s">
        <v>22</v>
      </c>
      <c r="C2" s="1" t="s">
        <v>23</v>
      </c>
      <c r="D2" s="1" t="s">
        <v>18</v>
      </c>
      <c r="E2" s="1" t="s">
        <v>24</v>
      </c>
      <c r="F2" s="4">
        <v>3110</v>
      </c>
      <c r="G2" s="1" t="s">
        <v>20</v>
      </c>
      <c r="H2" s="13" t="s">
        <v>31</v>
      </c>
      <c r="I2" s="5">
        <v>10.5</v>
      </c>
      <c r="J2" s="7">
        <v>0</v>
      </c>
      <c r="K2" s="7">
        <f>Tabla1[[#This Row],[IMP_IVA]]*100/10.5</f>
        <v>47753.047619047618</v>
      </c>
      <c r="L2" s="7">
        <v>5014.07</v>
      </c>
      <c r="M2" s="7">
        <v>54625.33</v>
      </c>
      <c r="N2" s="8" t="s">
        <v>15</v>
      </c>
      <c r="O2" s="7">
        <v>0</v>
      </c>
      <c r="Q2" s="14" t="s">
        <v>92</v>
      </c>
    </row>
    <row r="3" spans="1:17" x14ac:dyDescent="0.25">
      <c r="A3" s="3">
        <v>45405</v>
      </c>
      <c r="B3" s="1" t="s">
        <v>22</v>
      </c>
      <c r="C3" s="1" t="s">
        <v>23</v>
      </c>
      <c r="D3" s="1" t="s">
        <v>18</v>
      </c>
      <c r="E3" s="1" t="s">
        <v>24</v>
      </c>
      <c r="F3" s="4">
        <v>3110</v>
      </c>
      <c r="G3" s="1" t="s">
        <v>20</v>
      </c>
      <c r="H3" s="11" t="s">
        <v>31</v>
      </c>
      <c r="I3" s="5">
        <v>3</v>
      </c>
      <c r="J3" s="7">
        <v>0</v>
      </c>
      <c r="K3" s="7">
        <v>0</v>
      </c>
      <c r="L3" s="7">
        <v>716.3</v>
      </c>
      <c r="M3" s="7">
        <v>0</v>
      </c>
      <c r="N3" s="8" t="s">
        <v>15</v>
      </c>
      <c r="O3" s="7">
        <v>0</v>
      </c>
      <c r="Q3" s="12" t="s">
        <v>91</v>
      </c>
    </row>
    <row r="4" spans="1:17" x14ac:dyDescent="0.25">
      <c r="A4" s="3">
        <v>45393</v>
      </c>
      <c r="B4" s="1" t="s">
        <v>22</v>
      </c>
      <c r="C4" s="1" t="s">
        <v>23</v>
      </c>
      <c r="D4" s="1" t="s">
        <v>18</v>
      </c>
      <c r="E4" s="1" t="s">
        <v>24</v>
      </c>
      <c r="F4" s="4">
        <v>3099</v>
      </c>
      <c r="G4" s="1" t="s">
        <v>20</v>
      </c>
      <c r="H4" s="13" t="s">
        <v>27</v>
      </c>
      <c r="I4" s="5">
        <v>10.5</v>
      </c>
      <c r="J4" s="7">
        <v>839407.96</v>
      </c>
      <c r="K4" s="7">
        <f>Tabla1[[#This Row],[IMP_IVA]]*100/10.5</f>
        <v>702881.04761904757</v>
      </c>
      <c r="L4" s="7">
        <v>73802.509999999995</v>
      </c>
      <c r="M4" s="7">
        <v>1634524.93</v>
      </c>
      <c r="N4" s="8" t="s">
        <v>15</v>
      </c>
      <c r="O4" s="7">
        <v>0</v>
      </c>
    </row>
    <row r="5" spans="1:17" x14ac:dyDescent="0.25">
      <c r="A5" s="3">
        <v>45393</v>
      </c>
      <c r="B5" s="1" t="s">
        <v>22</v>
      </c>
      <c r="C5" s="1" t="s">
        <v>23</v>
      </c>
      <c r="D5" s="1" t="s">
        <v>18</v>
      </c>
      <c r="E5" s="1" t="s">
        <v>24</v>
      </c>
      <c r="F5" s="4">
        <v>3099</v>
      </c>
      <c r="G5" s="1" t="s">
        <v>20</v>
      </c>
      <c r="H5" s="11" t="s">
        <v>27</v>
      </c>
      <c r="I5" s="5">
        <v>3</v>
      </c>
      <c r="J5" s="7">
        <v>0</v>
      </c>
      <c r="K5" s="7">
        <v>0</v>
      </c>
      <c r="L5" s="7">
        <v>10543.22</v>
      </c>
      <c r="M5" s="7">
        <v>0</v>
      </c>
      <c r="N5" s="8" t="s">
        <v>15</v>
      </c>
      <c r="O5" s="7">
        <v>0</v>
      </c>
    </row>
    <row r="6" spans="1:17" x14ac:dyDescent="0.25">
      <c r="A6" s="3">
        <v>45425</v>
      </c>
      <c r="B6" s="1" t="s">
        <v>22</v>
      </c>
      <c r="C6" s="1" t="s">
        <v>23</v>
      </c>
      <c r="D6" s="1" t="s">
        <v>18</v>
      </c>
      <c r="E6" s="1" t="s">
        <v>24</v>
      </c>
      <c r="F6" s="4">
        <v>3113</v>
      </c>
      <c r="G6" s="1" t="s">
        <v>20</v>
      </c>
      <c r="H6" s="13" t="s">
        <v>65</v>
      </c>
      <c r="I6" s="5">
        <v>10.5</v>
      </c>
      <c r="J6" s="7">
        <v>915619.21</v>
      </c>
      <c r="K6" s="7">
        <f>Tabla1[[#This Row],[IMP_IVA]]*100/10.5</f>
        <v>632584.85714285716</v>
      </c>
      <c r="L6" s="7">
        <v>66421.41</v>
      </c>
      <c r="M6" s="7">
        <v>1631028.38</v>
      </c>
      <c r="N6" s="8" t="s">
        <v>15</v>
      </c>
      <c r="O6" s="7">
        <v>0</v>
      </c>
    </row>
    <row r="7" spans="1:17" x14ac:dyDescent="0.25">
      <c r="A7" s="3">
        <v>45425</v>
      </c>
      <c r="B7" s="1" t="s">
        <v>22</v>
      </c>
      <c r="C7" s="1" t="s">
        <v>23</v>
      </c>
      <c r="D7" s="1" t="s">
        <v>18</v>
      </c>
      <c r="E7" s="1" t="s">
        <v>24</v>
      </c>
      <c r="F7" s="4">
        <v>3113</v>
      </c>
      <c r="G7" s="1" t="s">
        <v>20</v>
      </c>
      <c r="H7" s="11" t="s">
        <v>65</v>
      </c>
      <c r="I7" s="5">
        <v>3</v>
      </c>
      <c r="J7" s="7">
        <v>0</v>
      </c>
      <c r="K7" s="7">
        <v>0</v>
      </c>
      <c r="L7" s="7">
        <v>9488.7800000000007</v>
      </c>
      <c r="M7" s="7">
        <v>0</v>
      </c>
      <c r="N7" s="8" t="s">
        <v>15</v>
      </c>
      <c r="O7" s="7">
        <v>0</v>
      </c>
    </row>
    <row r="8" spans="1:17" x14ac:dyDescent="0.25">
      <c r="A8" s="3">
        <v>45412</v>
      </c>
      <c r="B8" s="1" t="s">
        <v>22</v>
      </c>
      <c r="C8" s="1" t="s">
        <v>23</v>
      </c>
      <c r="D8" s="1" t="s">
        <v>18</v>
      </c>
      <c r="E8" s="1" t="s">
        <v>24</v>
      </c>
      <c r="F8" s="4">
        <v>3112</v>
      </c>
      <c r="G8" s="1" t="s">
        <v>20</v>
      </c>
      <c r="H8" s="13" t="s">
        <v>34</v>
      </c>
      <c r="I8" s="5">
        <v>10.5</v>
      </c>
      <c r="J8" s="7">
        <v>0</v>
      </c>
      <c r="K8" s="7">
        <f>Tabla1[[#This Row],[IMP_IVA]]*100/10.5</f>
        <v>973.04761904761904</v>
      </c>
      <c r="L8" s="7">
        <v>102.17</v>
      </c>
      <c r="M8" s="7">
        <v>160259.23000000001</v>
      </c>
      <c r="N8" s="8" t="s">
        <v>15</v>
      </c>
      <c r="O8" s="7">
        <v>0</v>
      </c>
    </row>
    <row r="9" spans="1:17" x14ac:dyDescent="0.25">
      <c r="A9" s="3">
        <v>45412</v>
      </c>
      <c r="B9" s="1" t="s">
        <v>22</v>
      </c>
      <c r="C9" s="1" t="s">
        <v>23</v>
      </c>
      <c r="D9" s="1" t="s">
        <v>18</v>
      </c>
      <c r="E9" s="1" t="s">
        <v>24</v>
      </c>
      <c r="F9" s="4">
        <v>3112</v>
      </c>
      <c r="G9" s="1" t="s">
        <v>20</v>
      </c>
      <c r="H9" s="13" t="s">
        <v>34</v>
      </c>
      <c r="I9" s="5">
        <v>21</v>
      </c>
      <c r="J9" s="7">
        <v>0</v>
      </c>
      <c r="K9" s="7">
        <f>Tabla1[[#This Row],[IMP_IVA]]*100/21</f>
        <v>128448.28571428571</v>
      </c>
      <c r="L9" s="7">
        <v>26974.14</v>
      </c>
      <c r="M9" s="7">
        <v>0</v>
      </c>
      <c r="N9" s="8" t="s">
        <v>15</v>
      </c>
      <c r="O9" s="7">
        <v>0</v>
      </c>
    </row>
    <row r="10" spans="1:17" s="22" customFormat="1" ht="15.75" thickBot="1" x14ac:dyDescent="0.3">
      <c r="A10" s="15">
        <v>45412</v>
      </c>
      <c r="B10" s="16" t="s">
        <v>22</v>
      </c>
      <c r="C10" s="16" t="s">
        <v>23</v>
      </c>
      <c r="D10" s="16" t="s">
        <v>18</v>
      </c>
      <c r="E10" s="16" t="s">
        <v>24</v>
      </c>
      <c r="F10" s="17">
        <v>3112</v>
      </c>
      <c r="G10" s="16" t="s">
        <v>20</v>
      </c>
      <c r="H10" s="18" t="s">
        <v>34</v>
      </c>
      <c r="I10" s="19">
        <v>3</v>
      </c>
      <c r="J10" s="20">
        <v>0</v>
      </c>
      <c r="K10" s="20">
        <v>0</v>
      </c>
      <c r="L10" s="20">
        <v>3754.75</v>
      </c>
      <c r="M10" s="20">
        <v>0</v>
      </c>
      <c r="N10" s="21" t="s">
        <v>15</v>
      </c>
      <c r="O10" s="20">
        <v>0</v>
      </c>
    </row>
    <row r="11" spans="1:17" x14ac:dyDescent="0.25">
      <c r="A11" s="3">
        <v>45443</v>
      </c>
      <c r="B11" s="1" t="s">
        <v>22</v>
      </c>
      <c r="C11" s="1" t="s">
        <v>23</v>
      </c>
      <c r="D11" s="1" t="s">
        <v>18</v>
      </c>
      <c r="E11" s="1" t="s">
        <v>24</v>
      </c>
      <c r="F11" s="4">
        <v>3132</v>
      </c>
      <c r="G11" s="1" t="s">
        <v>20</v>
      </c>
      <c r="H11" s="13" t="s">
        <v>86</v>
      </c>
      <c r="I11" s="5">
        <v>21</v>
      </c>
      <c r="J11" s="7">
        <v>0</v>
      </c>
      <c r="K11" s="7">
        <v>195153.53</v>
      </c>
      <c r="L11" s="7">
        <v>20452.8</v>
      </c>
      <c r="M11" s="7">
        <v>230039.38</v>
      </c>
      <c r="N11" s="8" t="s">
        <v>15</v>
      </c>
      <c r="O11" s="7">
        <v>0</v>
      </c>
      <c r="P11" s="23">
        <f>Tabla1[[#This Row],[IMP_IVA]]*100/21</f>
        <v>97394.28571428571</v>
      </c>
    </row>
    <row r="12" spans="1:17" x14ac:dyDescent="0.25">
      <c r="A12" s="3">
        <v>45443</v>
      </c>
      <c r="B12" s="1" t="s">
        <v>22</v>
      </c>
      <c r="C12" s="1" t="s">
        <v>23</v>
      </c>
      <c r="D12" s="1" t="s">
        <v>18</v>
      </c>
      <c r="E12" s="1" t="s">
        <v>24</v>
      </c>
      <c r="F12" s="4">
        <v>3132</v>
      </c>
      <c r="G12" s="1" t="s">
        <v>20</v>
      </c>
      <c r="H12" s="13" t="s">
        <v>86</v>
      </c>
      <c r="I12" s="5">
        <v>10.5</v>
      </c>
      <c r="J12" s="7">
        <v>0</v>
      </c>
      <c r="K12" s="7">
        <v>0</v>
      </c>
      <c r="L12" s="7">
        <v>10152</v>
      </c>
      <c r="M12" s="7">
        <v>0</v>
      </c>
      <c r="N12" s="8" t="s">
        <v>15</v>
      </c>
      <c r="O12" s="7">
        <v>0</v>
      </c>
      <c r="P12" s="23">
        <f>Tabla1[[#This Row],[IMP_IVA]]*100/10.5</f>
        <v>96685.71428571429</v>
      </c>
    </row>
    <row r="13" spans="1:17" x14ac:dyDescent="0.25">
      <c r="A13" s="3">
        <v>45443</v>
      </c>
      <c r="B13" s="1" t="s">
        <v>22</v>
      </c>
      <c r="C13" s="1" t="s">
        <v>23</v>
      </c>
      <c r="D13" s="1" t="s">
        <v>18</v>
      </c>
      <c r="E13" s="1" t="s">
        <v>24</v>
      </c>
      <c r="F13" s="4">
        <v>3132</v>
      </c>
      <c r="G13" s="1" t="s">
        <v>20</v>
      </c>
      <c r="H13" s="11" t="s">
        <v>86</v>
      </c>
      <c r="I13" s="5">
        <v>3</v>
      </c>
      <c r="J13" s="7">
        <v>0</v>
      </c>
      <c r="K13" s="7">
        <v>0</v>
      </c>
      <c r="L13" s="7">
        <v>4281.05</v>
      </c>
      <c r="M13" s="7">
        <v>0</v>
      </c>
      <c r="N13" s="8" t="s">
        <v>15</v>
      </c>
      <c r="O13" s="7">
        <v>0</v>
      </c>
    </row>
    <row r="14" spans="1:17" x14ac:dyDescent="0.25">
      <c r="A14" s="3">
        <v>45385</v>
      </c>
      <c r="B14" s="1" t="s">
        <v>22</v>
      </c>
      <c r="C14" s="1" t="s">
        <v>23</v>
      </c>
      <c r="D14" s="1" t="s">
        <v>18</v>
      </c>
      <c r="E14" s="1" t="s">
        <v>24</v>
      </c>
      <c r="F14" s="4">
        <v>3108</v>
      </c>
      <c r="G14" s="1" t="s">
        <v>20</v>
      </c>
      <c r="H14" s="13" t="s">
        <v>25</v>
      </c>
      <c r="I14" s="5">
        <v>10.5</v>
      </c>
      <c r="J14" s="7">
        <v>0</v>
      </c>
      <c r="K14" s="7">
        <v>358274.64</v>
      </c>
      <c r="L14" s="7">
        <v>36952.82</v>
      </c>
      <c r="M14" s="7">
        <v>400506.43</v>
      </c>
      <c r="N14" s="8" t="s">
        <v>15</v>
      </c>
      <c r="O14" s="7">
        <v>0</v>
      </c>
      <c r="P14" s="23">
        <f>Tabla1[[#This Row],[IMP_IVA]]*100/10.5</f>
        <v>351931.61904761905</v>
      </c>
    </row>
    <row r="15" spans="1:17" x14ac:dyDescent="0.25">
      <c r="A15" s="3">
        <v>45385</v>
      </c>
      <c r="B15" s="1" t="s">
        <v>22</v>
      </c>
      <c r="C15" s="1" t="s">
        <v>23</v>
      </c>
      <c r="D15" s="1" t="s">
        <v>18</v>
      </c>
      <c r="E15" s="1" t="s">
        <v>24</v>
      </c>
      <c r="F15" s="4">
        <v>3108</v>
      </c>
      <c r="G15" s="1" t="s">
        <v>20</v>
      </c>
      <c r="H15" s="11" t="s">
        <v>25</v>
      </c>
      <c r="I15" s="5">
        <v>3</v>
      </c>
      <c r="J15" s="7">
        <v>0</v>
      </c>
      <c r="K15" s="7">
        <v>0</v>
      </c>
      <c r="L15" s="7">
        <v>5278.97</v>
      </c>
      <c r="M15" s="7">
        <v>0</v>
      </c>
      <c r="N15" s="8" t="s">
        <v>15</v>
      </c>
      <c r="O15" s="7">
        <v>0</v>
      </c>
    </row>
    <row r="16" spans="1:17" x14ac:dyDescent="0.25">
      <c r="A16" s="3">
        <v>45405</v>
      </c>
      <c r="B16" s="1" t="s">
        <v>22</v>
      </c>
      <c r="C16" s="1" t="s">
        <v>23</v>
      </c>
      <c r="D16" s="1" t="s">
        <v>18</v>
      </c>
      <c r="E16" s="1" t="s">
        <v>24</v>
      </c>
      <c r="F16" s="4">
        <v>3111</v>
      </c>
      <c r="G16" s="1" t="s">
        <v>20</v>
      </c>
      <c r="H16" s="13" t="s">
        <v>32</v>
      </c>
      <c r="I16" s="5">
        <v>10.5</v>
      </c>
      <c r="J16" s="7">
        <v>0</v>
      </c>
      <c r="K16" s="7">
        <v>69020.929999999993</v>
      </c>
      <c r="L16" s="7">
        <v>7077.94</v>
      </c>
      <c r="M16" s="7">
        <v>77110</v>
      </c>
      <c r="N16" s="8" t="s">
        <v>15</v>
      </c>
      <c r="O16" s="7">
        <v>0</v>
      </c>
      <c r="P16" s="23">
        <f>Tabla1[[#This Row],[IMP_IVA]]*100/10.5</f>
        <v>67408.952380952382</v>
      </c>
    </row>
    <row r="17" spans="1:16" x14ac:dyDescent="0.25">
      <c r="A17" s="3">
        <v>45405</v>
      </c>
      <c r="B17" s="1" t="s">
        <v>22</v>
      </c>
      <c r="C17" s="1" t="s">
        <v>23</v>
      </c>
      <c r="D17" s="1" t="s">
        <v>18</v>
      </c>
      <c r="E17" s="1" t="s">
        <v>24</v>
      </c>
      <c r="F17" s="4">
        <v>3111</v>
      </c>
      <c r="G17" s="1" t="s">
        <v>20</v>
      </c>
      <c r="H17" s="11" t="s">
        <v>32</v>
      </c>
      <c r="I17" s="5">
        <v>3</v>
      </c>
      <c r="J17" s="7">
        <v>0</v>
      </c>
      <c r="K17" s="7">
        <v>0</v>
      </c>
      <c r="L17" s="7">
        <v>1011.13</v>
      </c>
      <c r="M17" s="7">
        <v>0</v>
      </c>
      <c r="N17" s="8" t="s">
        <v>15</v>
      </c>
      <c r="O17" s="7">
        <v>0</v>
      </c>
    </row>
    <row r="18" spans="1:16" x14ac:dyDescent="0.25">
      <c r="A18" s="3">
        <v>45425</v>
      </c>
      <c r="B18" s="1" t="s">
        <v>22</v>
      </c>
      <c r="C18" s="1" t="s">
        <v>23</v>
      </c>
      <c r="D18" s="1" t="s">
        <v>18</v>
      </c>
      <c r="E18" s="1" t="s">
        <v>24</v>
      </c>
      <c r="F18" s="4">
        <v>3114</v>
      </c>
      <c r="G18" s="1" t="s">
        <v>20</v>
      </c>
      <c r="H18" s="13" t="s">
        <v>66</v>
      </c>
      <c r="I18" s="5">
        <v>10.5</v>
      </c>
      <c r="J18" s="7">
        <v>0</v>
      </c>
      <c r="K18" s="7">
        <v>76149.97</v>
      </c>
      <c r="L18" s="7">
        <v>7695.63</v>
      </c>
      <c r="M18" s="7">
        <v>84944.98</v>
      </c>
      <c r="N18" s="8" t="s">
        <v>15</v>
      </c>
      <c r="O18" s="7">
        <v>0</v>
      </c>
      <c r="P18" s="23">
        <f>Tabla1[[#This Row],[IMP_IVA]]*100/10.5</f>
        <v>73291.71428571429</v>
      </c>
    </row>
    <row r="19" spans="1:16" x14ac:dyDescent="0.25">
      <c r="A19" s="3">
        <v>45425</v>
      </c>
      <c r="B19" s="1" t="s">
        <v>22</v>
      </c>
      <c r="C19" s="1" t="s">
        <v>23</v>
      </c>
      <c r="D19" s="1" t="s">
        <v>18</v>
      </c>
      <c r="E19" s="1" t="s">
        <v>24</v>
      </c>
      <c r="F19" s="4">
        <v>3114</v>
      </c>
      <c r="G19" s="1" t="s">
        <v>20</v>
      </c>
      <c r="H19" s="11" t="s">
        <v>66</v>
      </c>
      <c r="I19" s="5">
        <v>3</v>
      </c>
      <c r="J19" s="7">
        <v>0</v>
      </c>
      <c r="K19" s="7">
        <v>0</v>
      </c>
      <c r="L19" s="7">
        <v>1099.3800000000001</v>
      </c>
      <c r="M19" s="7">
        <v>0</v>
      </c>
      <c r="N19" s="8" t="s">
        <v>15</v>
      </c>
      <c r="O19" s="7">
        <v>0</v>
      </c>
    </row>
    <row r="20" spans="1:16" x14ac:dyDescent="0.25">
      <c r="A20" s="3">
        <v>45440</v>
      </c>
      <c r="B20" s="1" t="s">
        <v>22</v>
      </c>
      <c r="C20" s="1" t="s">
        <v>23</v>
      </c>
      <c r="D20" s="1" t="s">
        <v>18</v>
      </c>
      <c r="E20" s="1" t="s">
        <v>24</v>
      </c>
      <c r="F20" s="4">
        <v>3127</v>
      </c>
      <c r="G20" s="1" t="s">
        <v>20</v>
      </c>
      <c r="H20" s="13" t="s">
        <v>79</v>
      </c>
      <c r="I20" s="5">
        <v>10.5</v>
      </c>
      <c r="J20" s="7">
        <v>0</v>
      </c>
      <c r="K20" s="7">
        <v>115636.34</v>
      </c>
      <c r="L20" s="7">
        <v>11615.82</v>
      </c>
      <c r="M20" s="7">
        <v>128911.57</v>
      </c>
      <c r="N20" s="8" t="s">
        <v>15</v>
      </c>
      <c r="O20" s="7">
        <v>0</v>
      </c>
      <c r="P20" s="23">
        <f>Tabla1[[#This Row],[IMP_IVA]]*100/10.5</f>
        <v>110626.85714285714</v>
      </c>
    </row>
    <row r="21" spans="1:16" x14ac:dyDescent="0.25">
      <c r="A21" s="3">
        <v>45440</v>
      </c>
      <c r="B21" s="1" t="s">
        <v>22</v>
      </c>
      <c r="C21" s="1" t="s">
        <v>23</v>
      </c>
      <c r="D21" s="1" t="s">
        <v>18</v>
      </c>
      <c r="E21" s="1" t="s">
        <v>24</v>
      </c>
      <c r="F21" s="4">
        <v>3127</v>
      </c>
      <c r="G21" s="1" t="s">
        <v>20</v>
      </c>
      <c r="H21" s="11" t="s">
        <v>79</v>
      </c>
      <c r="I21" s="5">
        <v>3</v>
      </c>
      <c r="J21" s="7">
        <v>0</v>
      </c>
      <c r="K21" s="7">
        <v>0</v>
      </c>
      <c r="L21" s="7">
        <v>1659.41</v>
      </c>
      <c r="M21" s="7">
        <v>0</v>
      </c>
      <c r="N21" s="8" t="s">
        <v>15</v>
      </c>
      <c r="O21" s="7">
        <v>0</v>
      </c>
    </row>
    <row r="22" spans="1:16" x14ac:dyDescent="0.25">
      <c r="A22" s="3">
        <v>45440</v>
      </c>
      <c r="B22" s="1" t="s">
        <v>22</v>
      </c>
      <c r="C22" s="1" t="s">
        <v>23</v>
      </c>
      <c r="D22" s="1" t="s">
        <v>18</v>
      </c>
      <c r="E22" s="1" t="s">
        <v>24</v>
      </c>
      <c r="F22" s="4">
        <v>3128</v>
      </c>
      <c r="G22" s="1" t="s">
        <v>20</v>
      </c>
      <c r="H22" s="13" t="s">
        <v>80</v>
      </c>
      <c r="I22" s="5">
        <v>10.5</v>
      </c>
      <c r="J22" s="7">
        <v>0</v>
      </c>
      <c r="K22" s="7">
        <v>25271.5</v>
      </c>
      <c r="L22" s="7">
        <v>2538.5500000000002</v>
      </c>
      <c r="M22" s="7">
        <v>28172.7</v>
      </c>
      <c r="N22" s="8" t="s">
        <v>15</v>
      </c>
      <c r="O22" s="7">
        <v>0</v>
      </c>
      <c r="P22" s="23">
        <f>Tabla1[[#This Row],[IMP_IVA]]*100/10.5</f>
        <v>24176.666666666668</v>
      </c>
    </row>
    <row r="23" spans="1:16" x14ac:dyDescent="0.25">
      <c r="A23" s="3">
        <v>45440</v>
      </c>
      <c r="B23" s="1" t="s">
        <v>22</v>
      </c>
      <c r="C23" s="1" t="s">
        <v>23</v>
      </c>
      <c r="D23" s="1" t="s">
        <v>18</v>
      </c>
      <c r="E23" s="1" t="s">
        <v>24</v>
      </c>
      <c r="F23" s="4">
        <v>3128</v>
      </c>
      <c r="G23" s="1" t="s">
        <v>20</v>
      </c>
      <c r="H23" s="11" t="s">
        <v>80</v>
      </c>
      <c r="I23" s="5">
        <v>3</v>
      </c>
      <c r="J23" s="7">
        <v>0</v>
      </c>
      <c r="K23" s="7">
        <v>0</v>
      </c>
      <c r="L23" s="7">
        <v>362.65</v>
      </c>
      <c r="M23" s="7">
        <v>0</v>
      </c>
      <c r="N23" s="8" t="s">
        <v>15</v>
      </c>
      <c r="O23" s="7">
        <v>0</v>
      </c>
    </row>
    <row r="24" spans="1:16" x14ac:dyDescent="0.25">
      <c r="A24" s="3">
        <v>45400</v>
      </c>
      <c r="B24" s="1" t="s">
        <v>22</v>
      </c>
      <c r="C24" s="1" t="s">
        <v>23</v>
      </c>
      <c r="D24" s="1" t="s">
        <v>18</v>
      </c>
      <c r="E24" s="1" t="s">
        <v>24</v>
      </c>
      <c r="F24" s="4">
        <v>3106</v>
      </c>
      <c r="G24" s="1" t="s">
        <v>20</v>
      </c>
      <c r="H24" s="13" t="s">
        <v>30</v>
      </c>
      <c r="I24" s="5">
        <v>10.5</v>
      </c>
      <c r="J24" s="7">
        <v>0</v>
      </c>
      <c r="K24" s="7">
        <v>109000.62</v>
      </c>
      <c r="L24" s="7">
        <v>11168.57</v>
      </c>
      <c r="M24" s="7">
        <v>121764.71</v>
      </c>
      <c r="N24" s="8" t="s">
        <v>15</v>
      </c>
      <c r="O24" s="7">
        <v>0</v>
      </c>
      <c r="P24" s="23">
        <f>Tabla1[[#This Row],[IMP_IVA]]*100/10.5</f>
        <v>106367.33333333333</v>
      </c>
    </row>
    <row r="25" spans="1:16" x14ac:dyDescent="0.25">
      <c r="A25" s="3">
        <v>45400</v>
      </c>
      <c r="B25" s="1" t="s">
        <v>22</v>
      </c>
      <c r="C25" s="1" t="s">
        <v>23</v>
      </c>
      <c r="D25" s="1" t="s">
        <v>18</v>
      </c>
      <c r="E25" s="1" t="s">
        <v>24</v>
      </c>
      <c r="F25" s="4">
        <v>3106</v>
      </c>
      <c r="G25" s="1" t="s">
        <v>20</v>
      </c>
      <c r="H25" s="11" t="s">
        <v>30</v>
      </c>
      <c r="I25" s="5">
        <v>3</v>
      </c>
      <c r="J25" s="7">
        <v>0</v>
      </c>
      <c r="K25" s="7">
        <v>0</v>
      </c>
      <c r="L25" s="7">
        <v>1595.52</v>
      </c>
      <c r="M25" s="7">
        <v>0</v>
      </c>
      <c r="N25" s="8" t="s">
        <v>15</v>
      </c>
      <c r="O25" s="7">
        <v>0</v>
      </c>
    </row>
    <row r="26" spans="1:16" x14ac:dyDescent="0.25">
      <c r="A26" s="3">
        <v>45411</v>
      </c>
      <c r="B26" s="1" t="s">
        <v>22</v>
      </c>
      <c r="C26" s="1" t="s">
        <v>23</v>
      </c>
      <c r="D26" s="1" t="s">
        <v>18</v>
      </c>
      <c r="E26" s="1" t="s">
        <v>24</v>
      </c>
      <c r="F26" s="4">
        <v>3101</v>
      </c>
      <c r="G26" s="1" t="s">
        <v>20</v>
      </c>
      <c r="H26" s="13" t="s">
        <v>33</v>
      </c>
      <c r="I26" s="5">
        <v>10.5</v>
      </c>
      <c r="J26" s="7">
        <v>0</v>
      </c>
      <c r="K26" s="7">
        <v>214850.37</v>
      </c>
      <c r="L26" s="7">
        <v>22174.68</v>
      </c>
      <c r="M26" s="7">
        <v>240192.84</v>
      </c>
      <c r="N26" s="8" t="s">
        <v>15</v>
      </c>
      <c r="O26" s="7">
        <v>0</v>
      </c>
      <c r="P26" s="23">
        <f>Tabla1[[#This Row],[IMP_IVA]]*100/10.5</f>
        <v>211187.42857142858</v>
      </c>
    </row>
    <row r="27" spans="1:16" hidden="1" x14ac:dyDescent="0.25">
      <c r="A27" s="3">
        <v>45415</v>
      </c>
      <c r="B27" s="1" t="s">
        <v>41</v>
      </c>
      <c r="C27" s="1" t="s">
        <v>42</v>
      </c>
      <c r="D27" s="1" t="s">
        <v>43</v>
      </c>
      <c r="E27" s="1" t="s">
        <v>44</v>
      </c>
      <c r="F27" s="4">
        <v>3095</v>
      </c>
      <c r="G27" s="1" t="s">
        <v>20</v>
      </c>
      <c r="H27" s="1" t="s">
        <v>45</v>
      </c>
      <c r="I27" s="5">
        <v>0</v>
      </c>
      <c r="J27" s="7">
        <v>550000</v>
      </c>
      <c r="K27" s="7">
        <v>0</v>
      </c>
      <c r="L27" s="7">
        <v>0</v>
      </c>
      <c r="M27" s="7">
        <v>550000</v>
      </c>
      <c r="N27" s="8" t="s">
        <v>44</v>
      </c>
      <c r="O27" s="7">
        <v>0</v>
      </c>
    </row>
    <row r="28" spans="1:16" x14ac:dyDescent="0.25">
      <c r="A28" s="3">
        <v>45411</v>
      </c>
      <c r="B28" s="1" t="s">
        <v>22</v>
      </c>
      <c r="C28" s="1" t="s">
        <v>23</v>
      </c>
      <c r="D28" s="1" t="s">
        <v>18</v>
      </c>
      <c r="E28" s="1" t="s">
        <v>24</v>
      </c>
      <c r="F28" s="4">
        <v>3101</v>
      </c>
      <c r="G28" s="1" t="s">
        <v>20</v>
      </c>
      <c r="H28" s="11" t="s">
        <v>33</v>
      </c>
      <c r="I28" s="5">
        <v>3</v>
      </c>
      <c r="J28" s="7">
        <v>0</v>
      </c>
      <c r="K28" s="7">
        <v>0</v>
      </c>
      <c r="L28" s="7">
        <v>3167.79</v>
      </c>
      <c r="M28" s="7">
        <v>0</v>
      </c>
      <c r="N28" s="8" t="s">
        <v>15</v>
      </c>
      <c r="O28" s="7">
        <v>0</v>
      </c>
    </row>
    <row r="29" spans="1:16" x14ac:dyDescent="0.25">
      <c r="A29" s="3">
        <v>45426</v>
      </c>
      <c r="B29" s="1" t="s">
        <v>22</v>
      </c>
      <c r="C29" s="1" t="s">
        <v>23</v>
      </c>
      <c r="D29" s="1" t="s">
        <v>18</v>
      </c>
      <c r="E29" s="1" t="s">
        <v>24</v>
      </c>
      <c r="F29" s="4">
        <v>3115</v>
      </c>
      <c r="G29" s="1" t="s">
        <v>20</v>
      </c>
      <c r="H29" s="13" t="s">
        <v>67</v>
      </c>
      <c r="I29" s="5">
        <v>10.5</v>
      </c>
      <c r="J29" s="7">
        <v>0</v>
      </c>
      <c r="K29" s="7">
        <v>81255.45</v>
      </c>
      <c r="L29" s="7">
        <v>8217.48</v>
      </c>
      <c r="M29" s="7">
        <v>90646.85</v>
      </c>
      <c r="N29" s="8" t="s">
        <v>15</v>
      </c>
      <c r="O29" s="7">
        <v>0</v>
      </c>
      <c r="P29" s="23">
        <f>Tabla1[[#This Row],[IMP_IVA]]*100/10.5</f>
        <v>78261.71428571429</v>
      </c>
    </row>
    <row r="30" spans="1:16" x14ac:dyDescent="0.25">
      <c r="A30" s="3">
        <v>45426</v>
      </c>
      <c r="B30" s="1" t="s">
        <v>22</v>
      </c>
      <c r="C30" s="1" t="s">
        <v>23</v>
      </c>
      <c r="D30" s="1" t="s">
        <v>18</v>
      </c>
      <c r="E30" s="1" t="s">
        <v>24</v>
      </c>
      <c r="F30" s="4">
        <v>3115</v>
      </c>
      <c r="G30" s="1" t="s">
        <v>20</v>
      </c>
      <c r="H30" s="11" t="s">
        <v>67</v>
      </c>
      <c r="I30" s="5">
        <v>3</v>
      </c>
      <c r="J30" s="7">
        <v>0</v>
      </c>
      <c r="K30" s="7">
        <v>0</v>
      </c>
      <c r="L30" s="7">
        <v>1173.92</v>
      </c>
      <c r="M30" s="7">
        <v>0</v>
      </c>
      <c r="N30" s="8" t="s">
        <v>15</v>
      </c>
      <c r="O30" s="7">
        <v>0</v>
      </c>
    </row>
    <row r="31" spans="1:16" x14ac:dyDescent="0.25">
      <c r="A31" s="3">
        <v>45426</v>
      </c>
      <c r="B31" s="1" t="s">
        <v>22</v>
      </c>
      <c r="C31" s="1" t="s">
        <v>23</v>
      </c>
      <c r="D31" s="1" t="s">
        <v>18</v>
      </c>
      <c r="E31" s="1" t="s">
        <v>24</v>
      </c>
      <c r="F31" s="4">
        <v>3116</v>
      </c>
      <c r="G31" s="1" t="s">
        <v>20</v>
      </c>
      <c r="H31" s="13" t="s">
        <v>68</v>
      </c>
      <c r="I31" s="5">
        <v>10.5</v>
      </c>
      <c r="J31" s="7">
        <v>0</v>
      </c>
      <c r="K31" s="7">
        <v>116502.24</v>
      </c>
      <c r="L31" s="7">
        <v>11773.57</v>
      </c>
      <c r="M31" s="7">
        <v>129957.75</v>
      </c>
      <c r="N31" s="8" t="s">
        <v>15</v>
      </c>
      <c r="O31" s="7">
        <v>0</v>
      </c>
      <c r="P31" s="23">
        <f>Tabla1[[#This Row],[IMP_IVA]]*100/10.5</f>
        <v>112129.23809523809</v>
      </c>
    </row>
    <row r="32" spans="1:16" x14ac:dyDescent="0.25">
      <c r="A32" s="3">
        <v>45426</v>
      </c>
      <c r="B32" s="1" t="s">
        <v>22</v>
      </c>
      <c r="C32" s="1" t="s">
        <v>23</v>
      </c>
      <c r="D32" s="1" t="s">
        <v>18</v>
      </c>
      <c r="E32" s="1" t="s">
        <v>24</v>
      </c>
      <c r="F32" s="4">
        <v>3116</v>
      </c>
      <c r="G32" s="1" t="s">
        <v>20</v>
      </c>
      <c r="H32" s="11" t="s">
        <v>68</v>
      </c>
      <c r="I32" s="5">
        <v>3</v>
      </c>
      <c r="J32" s="7">
        <v>0</v>
      </c>
      <c r="K32" s="7">
        <v>0</v>
      </c>
      <c r="L32" s="7">
        <v>1681.94</v>
      </c>
      <c r="M32" s="7">
        <v>0</v>
      </c>
      <c r="N32" s="8" t="s">
        <v>15</v>
      </c>
      <c r="O32" s="7">
        <v>0</v>
      </c>
    </row>
    <row r="33" spans="1:16" x14ac:dyDescent="0.25">
      <c r="A33" s="3">
        <v>45387</v>
      </c>
      <c r="B33" s="1" t="s">
        <v>22</v>
      </c>
      <c r="C33" s="1" t="s">
        <v>23</v>
      </c>
      <c r="D33" s="1" t="s">
        <v>18</v>
      </c>
      <c r="E33" s="1" t="s">
        <v>24</v>
      </c>
      <c r="F33" s="4">
        <v>3100</v>
      </c>
      <c r="G33" s="1" t="s">
        <v>20</v>
      </c>
      <c r="H33" s="13" t="s">
        <v>26</v>
      </c>
      <c r="I33" s="5">
        <v>10.5</v>
      </c>
      <c r="J33" s="7">
        <v>0</v>
      </c>
      <c r="K33" s="7">
        <v>92081.69</v>
      </c>
      <c r="L33" s="7">
        <v>9503.75</v>
      </c>
      <c r="M33" s="7">
        <v>102943.12</v>
      </c>
      <c r="N33" s="8" t="s">
        <v>15</v>
      </c>
      <c r="O33" s="7">
        <v>0</v>
      </c>
      <c r="P33" s="23">
        <f>Tabla1[[#This Row],[IMP_IVA]]*100/10.5</f>
        <v>90511.904761904763</v>
      </c>
    </row>
    <row r="34" spans="1:16" x14ac:dyDescent="0.25">
      <c r="A34" s="3">
        <v>45387</v>
      </c>
      <c r="B34" s="1" t="s">
        <v>22</v>
      </c>
      <c r="C34" s="1" t="s">
        <v>23</v>
      </c>
      <c r="D34" s="1" t="s">
        <v>18</v>
      </c>
      <c r="E34" s="1" t="s">
        <v>24</v>
      </c>
      <c r="F34" s="4">
        <v>3100</v>
      </c>
      <c r="G34" s="1" t="s">
        <v>20</v>
      </c>
      <c r="H34" s="11" t="s">
        <v>26</v>
      </c>
      <c r="I34" s="5">
        <v>3</v>
      </c>
      <c r="J34" s="7">
        <v>0</v>
      </c>
      <c r="K34" s="7">
        <v>0</v>
      </c>
      <c r="L34" s="7">
        <v>1357.68</v>
      </c>
      <c r="M34" s="7">
        <v>0</v>
      </c>
      <c r="N34" s="8" t="s">
        <v>15</v>
      </c>
      <c r="O34" s="7">
        <v>0</v>
      </c>
    </row>
    <row r="35" spans="1:16" x14ac:dyDescent="0.25">
      <c r="A35" s="3">
        <v>45398</v>
      </c>
      <c r="B35" s="1" t="s">
        <v>22</v>
      </c>
      <c r="C35" s="1" t="s">
        <v>23</v>
      </c>
      <c r="D35" s="1" t="s">
        <v>18</v>
      </c>
      <c r="E35" s="1" t="s">
        <v>24</v>
      </c>
      <c r="F35" s="4">
        <v>3105</v>
      </c>
      <c r="G35" s="1" t="s">
        <v>20</v>
      </c>
      <c r="H35" s="13" t="s">
        <v>29</v>
      </c>
      <c r="I35" s="5">
        <v>10.5</v>
      </c>
      <c r="J35" s="7">
        <v>0</v>
      </c>
      <c r="K35" s="7">
        <v>70979.98</v>
      </c>
      <c r="L35" s="7">
        <v>7278.83</v>
      </c>
      <c r="M35" s="7">
        <v>79298.64</v>
      </c>
      <c r="N35" s="8" t="s">
        <v>15</v>
      </c>
      <c r="O35" s="7">
        <v>0</v>
      </c>
      <c r="P35" s="23">
        <f>Tabla1[[#This Row],[IMP_IVA]]*100/10.5</f>
        <v>69322.190476190473</v>
      </c>
    </row>
    <row r="36" spans="1:16" x14ac:dyDescent="0.25">
      <c r="A36" s="3">
        <v>45398</v>
      </c>
      <c r="B36" s="1" t="s">
        <v>22</v>
      </c>
      <c r="C36" s="1" t="s">
        <v>23</v>
      </c>
      <c r="D36" s="1" t="s">
        <v>18</v>
      </c>
      <c r="E36" s="1" t="s">
        <v>24</v>
      </c>
      <c r="F36" s="4">
        <v>3105</v>
      </c>
      <c r="G36" s="1" t="s">
        <v>20</v>
      </c>
      <c r="H36" s="11" t="s">
        <v>29</v>
      </c>
      <c r="I36" s="5">
        <v>3</v>
      </c>
      <c r="J36" s="7">
        <v>0</v>
      </c>
      <c r="K36" s="7">
        <v>0</v>
      </c>
      <c r="L36" s="7">
        <v>1039.83</v>
      </c>
      <c r="M36" s="7">
        <v>0</v>
      </c>
      <c r="N36" s="8" t="s">
        <v>15</v>
      </c>
      <c r="O36" s="7">
        <v>0</v>
      </c>
    </row>
    <row r="37" spans="1:16" x14ac:dyDescent="0.25">
      <c r="A37" s="3">
        <v>45433</v>
      </c>
      <c r="B37" s="1" t="s">
        <v>22</v>
      </c>
      <c r="C37" s="1" t="s">
        <v>23</v>
      </c>
      <c r="D37" s="1" t="s">
        <v>18</v>
      </c>
      <c r="E37" s="1" t="s">
        <v>24</v>
      </c>
      <c r="F37" s="4">
        <v>3117</v>
      </c>
      <c r="G37" s="1" t="s">
        <v>20</v>
      </c>
      <c r="H37" s="13" t="s">
        <v>73</v>
      </c>
      <c r="I37" s="5">
        <v>10.5</v>
      </c>
      <c r="J37" s="7">
        <v>0</v>
      </c>
      <c r="K37" s="7">
        <v>66328.210000000006</v>
      </c>
      <c r="L37" s="7">
        <v>6662.75</v>
      </c>
      <c r="M37" s="7">
        <v>73942.78</v>
      </c>
      <c r="N37" s="8" t="s">
        <v>15</v>
      </c>
      <c r="O37" s="7">
        <v>0</v>
      </c>
      <c r="P37" s="23">
        <f>Tabla1[[#This Row],[IMP_IVA]]*100/10.5</f>
        <v>63454.761904761908</v>
      </c>
    </row>
    <row r="38" spans="1:16" x14ac:dyDescent="0.25">
      <c r="A38" s="3">
        <v>45433</v>
      </c>
      <c r="B38" s="1" t="s">
        <v>22</v>
      </c>
      <c r="C38" s="1" t="s">
        <v>23</v>
      </c>
      <c r="D38" s="1" t="s">
        <v>18</v>
      </c>
      <c r="E38" s="1" t="s">
        <v>24</v>
      </c>
      <c r="F38" s="4">
        <v>3117</v>
      </c>
      <c r="G38" s="1" t="s">
        <v>20</v>
      </c>
      <c r="H38" s="11" t="s">
        <v>73</v>
      </c>
      <c r="I38" s="5">
        <v>3</v>
      </c>
      <c r="J38" s="7">
        <v>0</v>
      </c>
      <c r="K38" s="7">
        <v>0</v>
      </c>
      <c r="L38" s="7">
        <v>951.82</v>
      </c>
      <c r="M38" s="7">
        <v>0</v>
      </c>
      <c r="N38" s="8" t="s">
        <v>15</v>
      </c>
      <c r="O38" s="7">
        <v>0</v>
      </c>
    </row>
    <row r="39" spans="1:16" x14ac:dyDescent="0.25">
      <c r="A39" s="3">
        <v>45394</v>
      </c>
      <c r="B39" s="1" t="s">
        <v>22</v>
      </c>
      <c r="C39" s="1" t="s">
        <v>23</v>
      </c>
      <c r="D39" s="1" t="s">
        <v>18</v>
      </c>
      <c r="E39" s="1" t="s">
        <v>24</v>
      </c>
      <c r="F39" s="4">
        <v>3103</v>
      </c>
      <c r="G39" s="1" t="s">
        <v>20</v>
      </c>
      <c r="H39" s="13" t="s">
        <v>28</v>
      </c>
      <c r="I39" s="5">
        <v>10.5</v>
      </c>
      <c r="J39" s="7">
        <v>0</v>
      </c>
      <c r="K39" s="7">
        <v>76472.58</v>
      </c>
      <c r="L39" s="7">
        <v>7894.65</v>
      </c>
      <c r="M39" s="7">
        <v>85495.039999999994</v>
      </c>
      <c r="N39" s="8" t="s">
        <v>15</v>
      </c>
      <c r="O39" s="7">
        <v>0</v>
      </c>
      <c r="P39" s="23">
        <f>Tabla1[[#This Row],[IMP_IVA]]*100/10.5</f>
        <v>75187.142857142855</v>
      </c>
    </row>
    <row r="40" spans="1:16" x14ac:dyDescent="0.25">
      <c r="A40" s="3">
        <v>45394</v>
      </c>
      <c r="B40" s="1" t="s">
        <v>22</v>
      </c>
      <c r="C40" s="1" t="s">
        <v>23</v>
      </c>
      <c r="D40" s="1" t="s">
        <v>18</v>
      </c>
      <c r="E40" s="1" t="s">
        <v>24</v>
      </c>
      <c r="F40" s="4">
        <v>3103</v>
      </c>
      <c r="G40" s="1" t="s">
        <v>20</v>
      </c>
      <c r="H40" s="11" t="s">
        <v>28</v>
      </c>
      <c r="I40" s="5">
        <v>3</v>
      </c>
      <c r="J40" s="7">
        <v>0</v>
      </c>
      <c r="K40" s="7">
        <v>0</v>
      </c>
      <c r="L40" s="7">
        <v>1127.81</v>
      </c>
      <c r="M40" s="7">
        <v>0</v>
      </c>
      <c r="N40" s="8" t="s">
        <v>15</v>
      </c>
      <c r="O40" s="7">
        <v>0</v>
      </c>
    </row>
    <row r="41" spans="1:16" x14ac:dyDescent="0.25">
      <c r="A41" s="3">
        <v>45422</v>
      </c>
      <c r="B41" s="1" t="s">
        <v>22</v>
      </c>
      <c r="C41" s="1" t="s">
        <v>23</v>
      </c>
      <c r="D41" s="1" t="s">
        <v>18</v>
      </c>
      <c r="E41" s="1" t="s">
        <v>24</v>
      </c>
      <c r="F41" s="4">
        <v>3118</v>
      </c>
      <c r="G41" s="1" t="s">
        <v>20</v>
      </c>
      <c r="H41" s="13" t="s">
        <v>60</v>
      </c>
      <c r="I41" s="5">
        <v>10.5</v>
      </c>
      <c r="J41" s="7">
        <v>0</v>
      </c>
      <c r="K41" s="7">
        <v>103063.97</v>
      </c>
      <c r="L41" s="7">
        <v>10423</v>
      </c>
      <c r="M41" s="7">
        <v>114975.97</v>
      </c>
      <c r="N41" s="8" t="s">
        <v>15</v>
      </c>
      <c r="O41" s="7">
        <v>0</v>
      </c>
      <c r="P41" s="23">
        <f>Tabla1[[#This Row],[IMP_IVA]]*100/10.5</f>
        <v>99266.666666666672</v>
      </c>
    </row>
    <row r="42" spans="1:16" x14ac:dyDescent="0.25">
      <c r="A42" s="3">
        <v>45422</v>
      </c>
      <c r="B42" s="1" t="s">
        <v>22</v>
      </c>
      <c r="C42" s="1" t="s">
        <v>23</v>
      </c>
      <c r="D42" s="1" t="s">
        <v>18</v>
      </c>
      <c r="E42" s="1" t="s">
        <v>24</v>
      </c>
      <c r="F42" s="4">
        <v>3118</v>
      </c>
      <c r="G42" s="1" t="s">
        <v>20</v>
      </c>
      <c r="H42" s="11" t="s">
        <v>60</v>
      </c>
      <c r="I42" s="5">
        <v>3</v>
      </c>
      <c r="J42" s="7">
        <v>0</v>
      </c>
      <c r="K42" s="7">
        <v>0</v>
      </c>
      <c r="L42" s="7">
        <v>1489</v>
      </c>
      <c r="M42" s="7">
        <v>0</v>
      </c>
      <c r="N42" s="8" t="s">
        <v>15</v>
      </c>
      <c r="O42" s="7">
        <v>0</v>
      </c>
    </row>
    <row r="43" spans="1:16" x14ac:dyDescent="0.25">
      <c r="A43" s="3">
        <v>45434</v>
      </c>
      <c r="B43" s="1" t="s">
        <v>74</v>
      </c>
      <c r="C43" s="1" t="s">
        <v>75</v>
      </c>
      <c r="D43" s="1" t="s">
        <v>18</v>
      </c>
      <c r="E43" s="1" t="s">
        <v>76</v>
      </c>
      <c r="F43" s="4">
        <v>3119</v>
      </c>
      <c r="G43" s="1" t="s">
        <v>20</v>
      </c>
      <c r="H43" s="10" t="s">
        <v>77</v>
      </c>
      <c r="I43" s="5">
        <v>21</v>
      </c>
      <c r="J43" s="7">
        <v>9577.48</v>
      </c>
      <c r="K43" s="7">
        <v>109000</v>
      </c>
      <c r="L43" s="7">
        <v>22890</v>
      </c>
      <c r="M43" s="7">
        <v>141467.48000000001</v>
      </c>
      <c r="N43" s="8" t="s">
        <v>15</v>
      </c>
      <c r="O43" s="7">
        <v>0</v>
      </c>
    </row>
    <row r="44" spans="1:16" x14ac:dyDescent="0.25">
      <c r="A44" s="3">
        <v>45420</v>
      </c>
      <c r="B44" s="1" t="s">
        <v>50</v>
      </c>
      <c r="C44" s="1" t="s">
        <v>51</v>
      </c>
      <c r="D44" s="1" t="s">
        <v>18</v>
      </c>
      <c r="E44" s="1" t="s">
        <v>52</v>
      </c>
      <c r="F44" s="4">
        <v>3107</v>
      </c>
      <c r="G44" s="1" t="s">
        <v>20</v>
      </c>
      <c r="H44" s="10" t="s">
        <v>53</v>
      </c>
      <c r="I44" s="5">
        <v>21</v>
      </c>
      <c r="J44" s="7">
        <v>0</v>
      </c>
      <c r="K44" s="7">
        <v>37520.699999999997</v>
      </c>
      <c r="L44" s="7">
        <v>7879.35</v>
      </c>
      <c r="M44" s="7">
        <v>45400.05</v>
      </c>
      <c r="N44" s="8" t="s">
        <v>15</v>
      </c>
      <c r="O44" s="7">
        <v>0</v>
      </c>
    </row>
    <row r="45" spans="1:16" x14ac:dyDescent="0.25">
      <c r="A45" s="3">
        <v>45443</v>
      </c>
      <c r="B45" s="1" t="s">
        <v>87</v>
      </c>
      <c r="C45" s="1" t="s">
        <v>88</v>
      </c>
      <c r="D45" s="1" t="s">
        <v>18</v>
      </c>
      <c r="E45" s="1" t="s">
        <v>89</v>
      </c>
      <c r="F45" s="4">
        <v>3130</v>
      </c>
      <c r="G45" s="1" t="s">
        <v>20</v>
      </c>
      <c r="H45" s="10" t="s">
        <v>90</v>
      </c>
      <c r="I45" s="5">
        <v>21</v>
      </c>
      <c r="J45" s="7">
        <v>0</v>
      </c>
      <c r="K45" s="7">
        <v>477500</v>
      </c>
      <c r="L45" s="7">
        <v>81711</v>
      </c>
      <c r="M45" s="7">
        <v>559211</v>
      </c>
      <c r="N45" s="8" t="s">
        <v>15</v>
      </c>
      <c r="O45" s="7">
        <v>0</v>
      </c>
    </row>
    <row r="46" spans="1:16" x14ac:dyDescent="0.25">
      <c r="A46" s="3">
        <v>45428</v>
      </c>
      <c r="B46" s="1" t="s">
        <v>69</v>
      </c>
      <c r="C46" s="1" t="s">
        <v>70</v>
      </c>
      <c r="D46" s="1" t="s">
        <v>18</v>
      </c>
      <c r="E46" s="1" t="s">
        <v>71</v>
      </c>
      <c r="F46" s="4">
        <v>3126</v>
      </c>
      <c r="G46" s="1" t="s">
        <v>20</v>
      </c>
      <c r="H46" s="10" t="s">
        <v>72</v>
      </c>
      <c r="I46" s="5">
        <v>21</v>
      </c>
      <c r="J46" s="7">
        <v>0</v>
      </c>
      <c r="K46" s="7">
        <v>15841378.25</v>
      </c>
      <c r="L46" s="7">
        <v>3326689.43</v>
      </c>
      <c r="M46" s="7">
        <v>19168067.68</v>
      </c>
      <c r="N46" s="8" t="s">
        <v>15</v>
      </c>
      <c r="O46" s="7">
        <v>0</v>
      </c>
    </row>
    <row r="47" spans="1:16" x14ac:dyDescent="0.25">
      <c r="A47" s="3">
        <v>45439</v>
      </c>
      <c r="B47" s="1" t="s">
        <v>69</v>
      </c>
      <c r="C47" s="1" t="s">
        <v>70</v>
      </c>
      <c r="D47" s="1" t="s">
        <v>18</v>
      </c>
      <c r="E47" s="1" t="s">
        <v>71</v>
      </c>
      <c r="F47" s="4">
        <v>3125</v>
      </c>
      <c r="G47" s="1" t="s">
        <v>20</v>
      </c>
      <c r="H47" s="10" t="s">
        <v>78</v>
      </c>
      <c r="I47" s="5">
        <v>21</v>
      </c>
      <c r="J47" s="7">
        <v>0</v>
      </c>
      <c r="K47" s="7">
        <v>11679151.390000001</v>
      </c>
      <c r="L47" s="7">
        <v>2147965.27</v>
      </c>
      <c r="M47" s="7">
        <v>13979444.92</v>
      </c>
      <c r="N47" s="8" t="s">
        <v>15</v>
      </c>
      <c r="O47" s="7">
        <v>0</v>
      </c>
    </row>
    <row r="48" spans="1:16" x14ac:dyDescent="0.25">
      <c r="A48" s="3">
        <v>45439</v>
      </c>
      <c r="B48" s="1" t="s">
        <v>69</v>
      </c>
      <c r="C48" s="1" t="s">
        <v>70</v>
      </c>
      <c r="D48" s="1" t="s">
        <v>18</v>
      </c>
      <c r="E48" s="1" t="s">
        <v>71</v>
      </c>
      <c r="F48" s="4">
        <v>3125</v>
      </c>
      <c r="G48" s="1" t="s">
        <v>20</v>
      </c>
      <c r="H48" s="10" t="s">
        <v>78</v>
      </c>
      <c r="I48" s="5">
        <v>10.5</v>
      </c>
      <c r="J48" s="7">
        <v>0</v>
      </c>
      <c r="K48" s="7">
        <v>0</v>
      </c>
      <c r="L48" s="7">
        <v>152328.26</v>
      </c>
      <c r="M48" s="7">
        <v>0</v>
      </c>
      <c r="N48" s="8" t="s">
        <v>15</v>
      </c>
      <c r="O48" s="7">
        <v>0</v>
      </c>
    </row>
    <row r="49" spans="1:15" x14ac:dyDescent="0.25">
      <c r="A49" s="3">
        <v>45414</v>
      </c>
      <c r="B49" s="1" t="s">
        <v>35</v>
      </c>
      <c r="C49" s="1" t="s">
        <v>36</v>
      </c>
      <c r="D49" s="1" t="s">
        <v>18</v>
      </c>
      <c r="E49" s="1" t="s">
        <v>37</v>
      </c>
      <c r="F49" s="4">
        <v>3098</v>
      </c>
      <c r="G49" s="1" t="s">
        <v>20</v>
      </c>
      <c r="H49" s="10" t="s">
        <v>38</v>
      </c>
      <c r="I49" s="5">
        <v>21</v>
      </c>
      <c r="J49" s="7">
        <v>0</v>
      </c>
      <c r="K49" s="7">
        <v>12684</v>
      </c>
      <c r="L49" s="7">
        <v>2663.64</v>
      </c>
      <c r="M49" s="7">
        <v>15347.64</v>
      </c>
      <c r="N49" s="8" t="s">
        <v>15</v>
      </c>
      <c r="O49" s="7">
        <v>0</v>
      </c>
    </row>
    <row r="50" spans="1:15" x14ac:dyDescent="0.25">
      <c r="A50" s="3">
        <v>45414</v>
      </c>
      <c r="B50" s="1" t="s">
        <v>35</v>
      </c>
      <c r="C50" s="1" t="s">
        <v>36</v>
      </c>
      <c r="D50" s="1" t="s">
        <v>18</v>
      </c>
      <c r="E50" s="1" t="s">
        <v>37</v>
      </c>
      <c r="F50" s="4">
        <v>3102</v>
      </c>
      <c r="G50" s="1" t="s">
        <v>20</v>
      </c>
      <c r="H50" s="10" t="s">
        <v>39</v>
      </c>
      <c r="I50" s="5">
        <v>21</v>
      </c>
      <c r="J50" s="7">
        <v>0</v>
      </c>
      <c r="K50" s="7">
        <v>12684</v>
      </c>
      <c r="L50" s="7">
        <v>2663.64</v>
      </c>
      <c r="M50" s="7">
        <v>15347.64</v>
      </c>
      <c r="N50" s="8" t="s">
        <v>15</v>
      </c>
      <c r="O50" s="7">
        <v>0</v>
      </c>
    </row>
    <row r="51" spans="1:15" x14ac:dyDescent="0.25">
      <c r="A51" s="3">
        <v>45414</v>
      </c>
      <c r="B51" s="1" t="s">
        <v>35</v>
      </c>
      <c r="C51" s="1" t="s">
        <v>36</v>
      </c>
      <c r="D51" s="1" t="s">
        <v>18</v>
      </c>
      <c r="E51" s="1" t="s">
        <v>37</v>
      </c>
      <c r="F51" s="4">
        <v>3104</v>
      </c>
      <c r="G51" s="1" t="s">
        <v>20</v>
      </c>
      <c r="H51" s="10" t="s">
        <v>40</v>
      </c>
      <c r="I51" s="5">
        <v>21</v>
      </c>
      <c r="J51" s="7">
        <v>0</v>
      </c>
      <c r="K51" s="7">
        <v>38052</v>
      </c>
      <c r="L51" s="7">
        <v>7990.92</v>
      </c>
      <c r="M51" s="7">
        <v>46042.92</v>
      </c>
      <c r="N51" s="8" t="s">
        <v>15</v>
      </c>
      <c r="O51" s="7">
        <v>0</v>
      </c>
    </row>
    <row r="52" spans="1:15" x14ac:dyDescent="0.25">
      <c r="A52" s="3">
        <v>45207</v>
      </c>
      <c r="B52" s="1" t="s">
        <v>16</v>
      </c>
      <c r="C52" s="1" t="s">
        <v>17</v>
      </c>
      <c r="D52" s="1" t="s">
        <v>18</v>
      </c>
      <c r="E52" s="1" t="s">
        <v>19</v>
      </c>
      <c r="F52" s="4">
        <v>2992</v>
      </c>
      <c r="G52" s="1" t="s">
        <v>20</v>
      </c>
      <c r="H52" s="13" t="s">
        <v>21</v>
      </c>
      <c r="I52" s="5">
        <v>21</v>
      </c>
      <c r="J52" s="7">
        <v>0</v>
      </c>
      <c r="K52" s="7">
        <v>36187.86</v>
      </c>
      <c r="L52" s="7">
        <v>7599.45</v>
      </c>
      <c r="M52" s="7">
        <v>43787.31</v>
      </c>
      <c r="N52" s="8" t="s">
        <v>15</v>
      </c>
      <c r="O52" s="7">
        <v>0</v>
      </c>
    </row>
    <row r="53" spans="1:15" x14ac:dyDescent="0.25">
      <c r="A53" s="3">
        <v>45421</v>
      </c>
      <c r="B53" s="1" t="s">
        <v>16</v>
      </c>
      <c r="C53" s="1" t="s">
        <v>17</v>
      </c>
      <c r="D53" s="1" t="s">
        <v>18</v>
      </c>
      <c r="E53" s="1" t="s">
        <v>19</v>
      </c>
      <c r="F53" s="4">
        <v>3124</v>
      </c>
      <c r="G53" s="1" t="s">
        <v>20</v>
      </c>
      <c r="H53" s="10" t="s">
        <v>59</v>
      </c>
      <c r="I53" s="5">
        <v>21</v>
      </c>
      <c r="J53" s="7">
        <v>0</v>
      </c>
      <c r="K53" s="7">
        <v>124116.03</v>
      </c>
      <c r="L53" s="7">
        <v>26064.37</v>
      </c>
      <c r="M53" s="7">
        <v>150180.4</v>
      </c>
      <c r="N53" s="8" t="s">
        <v>15</v>
      </c>
      <c r="O53" s="7">
        <v>0</v>
      </c>
    </row>
    <row r="54" spans="1:15" x14ac:dyDescent="0.25">
      <c r="A54" s="3">
        <v>45422</v>
      </c>
      <c r="B54" s="1" t="s">
        <v>61</v>
      </c>
      <c r="C54" s="1" t="s">
        <v>62</v>
      </c>
      <c r="D54" s="1" t="s">
        <v>18</v>
      </c>
      <c r="E54" s="1" t="s">
        <v>63</v>
      </c>
      <c r="F54" s="4">
        <v>3109</v>
      </c>
      <c r="G54" s="1" t="s">
        <v>20</v>
      </c>
      <c r="H54" s="10" t="s">
        <v>64</v>
      </c>
      <c r="I54" s="5">
        <v>0</v>
      </c>
      <c r="J54" s="7">
        <v>834401.26</v>
      </c>
      <c r="K54" s="7">
        <v>0</v>
      </c>
      <c r="L54" s="7">
        <v>0</v>
      </c>
      <c r="M54" s="7">
        <v>834401.26</v>
      </c>
      <c r="N54" s="8" t="s">
        <v>15</v>
      </c>
      <c r="O54" s="7">
        <v>0</v>
      </c>
    </row>
    <row r="55" spans="1:15" x14ac:dyDescent="0.25">
      <c r="A55" s="3">
        <v>45442</v>
      </c>
      <c r="B55" s="1" t="s">
        <v>81</v>
      </c>
      <c r="C55" s="1" t="s">
        <v>82</v>
      </c>
      <c r="D55" s="1" t="s">
        <v>18</v>
      </c>
      <c r="E55" s="1" t="s">
        <v>83</v>
      </c>
      <c r="F55" s="4">
        <v>3129</v>
      </c>
      <c r="G55" s="1" t="s">
        <v>84</v>
      </c>
      <c r="H55" s="10" t="s">
        <v>85</v>
      </c>
      <c r="I55" s="5">
        <v>21</v>
      </c>
      <c r="J55" s="7">
        <v>0</v>
      </c>
      <c r="K55" s="7">
        <v>-109857.04</v>
      </c>
      <c r="L55" s="7">
        <v>-23069.98</v>
      </c>
      <c r="M55" s="7">
        <v>-136222.73000000001</v>
      </c>
      <c r="N55" s="8" t="s">
        <v>15</v>
      </c>
      <c r="O55" s="7">
        <v>0</v>
      </c>
    </row>
    <row r="56" spans="1:15" x14ac:dyDescent="0.25">
      <c r="A56" s="3">
        <v>45442</v>
      </c>
      <c r="B56" s="1" t="s">
        <v>81</v>
      </c>
      <c r="C56" s="1" t="s">
        <v>82</v>
      </c>
      <c r="D56" s="1" t="s">
        <v>18</v>
      </c>
      <c r="E56" s="1" t="s">
        <v>83</v>
      </c>
      <c r="F56" s="4">
        <v>3129</v>
      </c>
      <c r="G56" s="1" t="s">
        <v>84</v>
      </c>
      <c r="H56" s="11" t="s">
        <v>85</v>
      </c>
      <c r="I56" s="5">
        <v>3</v>
      </c>
      <c r="J56" s="7">
        <v>0</v>
      </c>
      <c r="K56" s="7">
        <v>0</v>
      </c>
      <c r="L56" s="7">
        <v>-3295.71</v>
      </c>
      <c r="M56" s="7">
        <v>0</v>
      </c>
      <c r="N56" s="8" t="s">
        <v>15</v>
      </c>
      <c r="O56" s="7">
        <v>0</v>
      </c>
    </row>
    <row r="57" spans="1:15" x14ac:dyDescent="0.25">
      <c r="A57" s="3">
        <v>45420</v>
      </c>
      <c r="B57" s="1" t="s">
        <v>54</v>
      </c>
      <c r="C57" s="1" t="s">
        <v>55</v>
      </c>
      <c r="D57" s="1" t="s">
        <v>18</v>
      </c>
      <c r="E57" s="1" t="s">
        <v>56</v>
      </c>
      <c r="F57" s="4">
        <v>3097</v>
      </c>
      <c r="G57" s="1" t="s">
        <v>20</v>
      </c>
      <c r="H57" s="10" t="s">
        <v>57</v>
      </c>
      <c r="I57" s="5">
        <v>10.5</v>
      </c>
      <c r="J57" s="7">
        <v>0</v>
      </c>
      <c r="K57" s="7">
        <v>282364.79999999999</v>
      </c>
      <c r="L57" s="7">
        <v>29648.3</v>
      </c>
      <c r="M57" s="7">
        <v>316248.57</v>
      </c>
      <c r="N57" s="8" t="s">
        <v>15</v>
      </c>
      <c r="O57" s="7">
        <v>0</v>
      </c>
    </row>
    <row r="58" spans="1:15" x14ac:dyDescent="0.25">
      <c r="A58" s="3">
        <v>45420</v>
      </c>
      <c r="B58" s="1" t="s">
        <v>54</v>
      </c>
      <c r="C58" s="1" t="s">
        <v>55</v>
      </c>
      <c r="D58" s="1" t="s">
        <v>18</v>
      </c>
      <c r="E58" s="1" t="s">
        <v>56</v>
      </c>
      <c r="F58" s="4">
        <v>3097</v>
      </c>
      <c r="G58" s="1" t="s">
        <v>20</v>
      </c>
      <c r="H58" s="11" t="s">
        <v>57</v>
      </c>
      <c r="I58" s="5">
        <v>3</v>
      </c>
      <c r="J58" s="7">
        <v>0</v>
      </c>
      <c r="K58" s="7">
        <v>0</v>
      </c>
      <c r="L58" s="7">
        <v>4235.47</v>
      </c>
      <c r="M58" s="7">
        <v>0</v>
      </c>
      <c r="N58" s="8" t="s">
        <v>15</v>
      </c>
      <c r="O58" s="7">
        <v>0</v>
      </c>
    </row>
    <row r="59" spans="1:15" x14ac:dyDescent="0.25">
      <c r="A59" s="3">
        <v>45420</v>
      </c>
      <c r="B59" s="1" t="s">
        <v>54</v>
      </c>
      <c r="C59" s="1" t="s">
        <v>55</v>
      </c>
      <c r="D59" s="1" t="s">
        <v>18</v>
      </c>
      <c r="E59" s="1" t="s">
        <v>56</v>
      </c>
      <c r="F59" s="4">
        <v>3096</v>
      </c>
      <c r="G59" s="1" t="s">
        <v>20</v>
      </c>
      <c r="H59" s="10" t="s">
        <v>58</v>
      </c>
      <c r="I59" s="5">
        <v>10.5</v>
      </c>
      <c r="J59" s="7">
        <v>0</v>
      </c>
      <c r="K59" s="7">
        <v>2986880.4</v>
      </c>
      <c r="L59" s="7">
        <v>313622.44</v>
      </c>
      <c r="M59" s="7">
        <v>3345306.05</v>
      </c>
      <c r="N59" s="8" t="s">
        <v>15</v>
      </c>
      <c r="O59" s="7">
        <v>0</v>
      </c>
    </row>
    <row r="60" spans="1:15" x14ac:dyDescent="0.25">
      <c r="A60" s="3">
        <v>45420</v>
      </c>
      <c r="B60" s="1" t="s">
        <v>54</v>
      </c>
      <c r="C60" s="1" t="s">
        <v>55</v>
      </c>
      <c r="D60" s="1" t="s">
        <v>18</v>
      </c>
      <c r="E60" s="1" t="s">
        <v>56</v>
      </c>
      <c r="F60" s="4">
        <v>3096</v>
      </c>
      <c r="G60" s="1" t="s">
        <v>20</v>
      </c>
      <c r="H60" s="11" t="s">
        <v>58</v>
      </c>
      <c r="I60" s="5">
        <v>3</v>
      </c>
      <c r="J60" s="7">
        <v>0</v>
      </c>
      <c r="K60" s="7">
        <v>0</v>
      </c>
      <c r="L60" s="7">
        <v>44803.21</v>
      </c>
      <c r="M60" s="7">
        <v>0</v>
      </c>
      <c r="N60" s="8" t="s">
        <v>15</v>
      </c>
      <c r="O60" s="7">
        <v>0</v>
      </c>
    </row>
    <row r="61" spans="1:15" x14ac:dyDescent="0.25">
      <c r="A61" s="3">
        <v>45419</v>
      </c>
      <c r="B61" s="1" t="s">
        <v>46</v>
      </c>
      <c r="C61" s="1" t="s">
        <v>47</v>
      </c>
      <c r="D61" s="1" t="s">
        <v>18</v>
      </c>
      <c r="E61" s="1" t="s">
        <v>48</v>
      </c>
      <c r="F61" s="4">
        <v>3123</v>
      </c>
      <c r="G61" s="1" t="s">
        <v>20</v>
      </c>
      <c r="H61" s="10" t="s">
        <v>49</v>
      </c>
      <c r="I61" s="5">
        <v>21</v>
      </c>
      <c r="J61" s="7">
        <v>0</v>
      </c>
      <c r="K61" s="7">
        <v>58894.06</v>
      </c>
      <c r="L61" s="7">
        <v>12367.75</v>
      </c>
      <c r="M61" s="7">
        <v>73028.63</v>
      </c>
      <c r="N61" s="8" t="s">
        <v>15</v>
      </c>
      <c r="O61" s="7">
        <v>0</v>
      </c>
    </row>
    <row r="62" spans="1:15" x14ac:dyDescent="0.25">
      <c r="A62" s="3">
        <v>45419</v>
      </c>
      <c r="B62" s="1" t="s">
        <v>46</v>
      </c>
      <c r="C62" s="1" t="s">
        <v>47</v>
      </c>
      <c r="D62" s="1" t="s">
        <v>18</v>
      </c>
      <c r="E62" s="1" t="s">
        <v>48</v>
      </c>
      <c r="F62" s="4">
        <v>3123</v>
      </c>
      <c r="G62" s="1" t="s">
        <v>20</v>
      </c>
      <c r="H62" s="11" t="s">
        <v>49</v>
      </c>
      <c r="I62" s="5">
        <v>3</v>
      </c>
      <c r="J62" s="7">
        <v>0</v>
      </c>
      <c r="K62" s="7">
        <v>0</v>
      </c>
      <c r="L62" s="7">
        <v>1766.82</v>
      </c>
      <c r="M62" s="7">
        <v>0</v>
      </c>
      <c r="N62" s="8" t="s">
        <v>15</v>
      </c>
      <c r="O62" s="7">
        <v>0</v>
      </c>
    </row>
    <row r="63" spans="1:15" x14ac:dyDescent="0.25">
      <c r="A63" s="3"/>
      <c r="F63" s="4"/>
      <c r="I63" s="5"/>
      <c r="J63" s="9">
        <f>SUBTOTAL(109,Tabla1[IMP_EXENTO])</f>
        <v>2599005.91</v>
      </c>
      <c r="K63" s="9">
        <f>SUBTOTAL(109,Tabla1[IMP_NETO])</f>
        <v>34869238.75571429</v>
      </c>
      <c r="L63" s="9">
        <f>SUBTOTAL(109,Tabla1[IMP_IVA])</f>
        <v>6582201.7199999997</v>
      </c>
      <c r="M63" s="9">
        <f>SUBTOTAL(109,Tabla1[IMP_TOTAL])</f>
        <v>44066399.450000003</v>
      </c>
      <c r="N63" s="9">
        <f>SUBTOTAL(109,Tabla1[N_ING_BRU])</f>
        <v>0</v>
      </c>
      <c r="O63" s="9">
        <f>SUBTOTAL(109,Tabla1[OTROSIMP])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Giselle Tarasca</dc:creator>
  <cp:lastModifiedBy>Usuario</cp:lastModifiedBy>
  <dcterms:created xsi:type="dcterms:W3CDTF">2024-06-25T16:16:32Z</dcterms:created>
  <dcterms:modified xsi:type="dcterms:W3CDTF">2024-06-27T18:31:03Z</dcterms:modified>
</cp:coreProperties>
</file>