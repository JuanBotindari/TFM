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650" yWindow="360" windowWidth="14985" windowHeight="12060"/>
  </bookViews>
  <sheets>
    <sheet name="IVA COMPRAS" sheetId="1" r:id="rId1"/>
    <sheet name="MIS COMPROBANTES" sheetId="2" r:id="rId2"/>
    <sheet name="Hoja3" sheetId="3" r:id="rId3"/>
  </sheets>
  <definedNames>
    <definedName name="_xlnm._FilterDatabase" localSheetId="0" hidden="1">'IVA COMPRAS'!$A$1:$S$536</definedName>
    <definedName name="_xlnm._FilterDatabase" localSheetId="1" hidden="1">'MIS COMPROBANTES'!$A$1:$R$314</definedName>
  </definedNames>
  <calcPr calcId="145621"/>
</workbook>
</file>

<file path=xl/calcChain.xml><?xml version="1.0" encoding="utf-8"?>
<calcChain xmlns="http://schemas.openxmlformats.org/spreadsheetml/2006/main">
  <c r="K537" i="1" l="1"/>
  <c r="K538" i="1"/>
  <c r="K539" i="1"/>
  <c r="K540" i="1"/>
  <c r="K541" i="1"/>
  <c r="K542" i="1"/>
  <c r="K534" i="1"/>
  <c r="K530" i="1"/>
  <c r="K526" i="1"/>
  <c r="K522" i="1"/>
  <c r="K521" i="1"/>
  <c r="K518" i="1"/>
  <c r="K421" i="1"/>
  <c r="K417" i="1"/>
  <c r="K413" i="1"/>
  <c r="K411" i="1"/>
  <c r="K409" i="1"/>
  <c r="K407" i="1"/>
  <c r="K405" i="1"/>
  <c r="K401" i="1"/>
  <c r="K397" i="1"/>
  <c r="K395" i="1"/>
  <c r="K393" i="1"/>
  <c r="K391" i="1"/>
  <c r="K389" i="1"/>
  <c r="K385" i="1"/>
  <c r="K381" i="1"/>
  <c r="K379" i="1"/>
  <c r="K377" i="1"/>
  <c r="K375" i="1"/>
  <c r="K373" i="1"/>
  <c r="K369" i="1"/>
  <c r="K365" i="1"/>
  <c r="K363" i="1"/>
  <c r="K361" i="1"/>
  <c r="K359" i="1"/>
  <c r="K357" i="1"/>
  <c r="K353" i="1"/>
  <c r="K349" i="1"/>
  <c r="K347" i="1"/>
  <c r="K345" i="1"/>
  <c r="K343" i="1"/>
  <c r="K341" i="1"/>
  <c r="K337" i="1"/>
  <c r="K333" i="1"/>
  <c r="K331" i="1"/>
  <c r="K329" i="1"/>
  <c r="K327" i="1"/>
  <c r="K325" i="1"/>
  <c r="K321" i="1"/>
  <c r="K320" i="1"/>
  <c r="K319" i="1"/>
  <c r="K316" i="1"/>
  <c r="K315" i="1"/>
  <c r="K313" i="1"/>
  <c r="K312" i="1"/>
  <c r="K310" i="1"/>
  <c r="K308" i="1"/>
  <c r="K307" i="1"/>
  <c r="K305" i="1"/>
  <c r="K304" i="1"/>
  <c r="K301" i="1"/>
  <c r="K300" i="1"/>
  <c r="K299" i="1"/>
  <c r="K296" i="1"/>
  <c r="K294" i="1"/>
  <c r="K293" i="1"/>
  <c r="K292" i="1"/>
  <c r="K291" i="1"/>
  <c r="K289" i="1"/>
  <c r="K288" i="1"/>
  <c r="K285" i="1"/>
  <c r="K284" i="1"/>
  <c r="K283" i="1"/>
  <c r="K280" i="1"/>
  <c r="K279" i="1"/>
  <c r="K278" i="1"/>
  <c r="K277" i="1"/>
  <c r="K276" i="1"/>
  <c r="K273" i="1"/>
  <c r="K272" i="1"/>
  <c r="K271" i="1"/>
  <c r="K270" i="1"/>
  <c r="K268" i="1"/>
  <c r="K267" i="1"/>
  <c r="K265" i="1"/>
  <c r="K264" i="1"/>
  <c r="K263" i="1"/>
  <c r="K262" i="1"/>
  <c r="K260" i="1"/>
  <c r="K259" i="1"/>
  <c r="K257" i="1"/>
  <c r="K256" i="1"/>
  <c r="K255" i="1"/>
  <c r="K253" i="1"/>
  <c r="K252" i="1"/>
  <c r="K251" i="1"/>
  <c r="K249" i="1"/>
  <c r="K248" i="1"/>
  <c r="K246" i="1"/>
  <c r="K245" i="1"/>
  <c r="K244" i="1"/>
  <c r="K243" i="1"/>
  <c r="K242" i="1"/>
  <c r="K241" i="1"/>
  <c r="K240" i="1"/>
  <c r="K237" i="1"/>
  <c r="K236" i="1"/>
  <c r="K235" i="1"/>
  <c r="K234" i="1"/>
  <c r="K232" i="1"/>
  <c r="K231" i="1"/>
  <c r="K230" i="1"/>
  <c r="K229" i="1"/>
  <c r="K228" i="1"/>
  <c r="K227" i="1"/>
  <c r="K225" i="1"/>
  <c r="K224" i="1"/>
  <c r="K223" i="1"/>
  <c r="K221" i="1"/>
  <c r="K220" i="1"/>
  <c r="K219" i="1"/>
  <c r="K217" i="1"/>
  <c r="K216" i="1"/>
  <c r="K215" i="1"/>
  <c r="K214" i="1"/>
  <c r="K213" i="1"/>
  <c r="K212" i="1"/>
  <c r="K209" i="1"/>
  <c r="K208" i="1"/>
  <c r="K207" i="1"/>
  <c r="K206" i="1"/>
  <c r="K204" i="1"/>
  <c r="K203" i="1"/>
  <c r="K201" i="1"/>
  <c r="K200" i="1"/>
  <c r="K199" i="1"/>
  <c r="K198" i="1"/>
  <c r="K196" i="1"/>
  <c r="K195" i="1"/>
  <c r="K194" i="1"/>
  <c r="K193" i="1"/>
  <c r="K192" i="1"/>
  <c r="K191" i="1"/>
  <c r="K189" i="1"/>
  <c r="K188" i="1"/>
  <c r="K187" i="1"/>
  <c r="K186" i="1"/>
  <c r="K185" i="1"/>
  <c r="K184" i="1"/>
  <c r="K182" i="1"/>
  <c r="K181" i="1"/>
  <c r="K180" i="1"/>
  <c r="K179" i="1"/>
  <c r="K178" i="1"/>
  <c r="K177" i="1"/>
  <c r="K176" i="1"/>
  <c r="K173" i="1"/>
  <c r="K172" i="1"/>
  <c r="K171" i="1"/>
  <c r="K170" i="1"/>
  <c r="K168" i="1"/>
  <c r="K167" i="1"/>
  <c r="K166" i="1"/>
  <c r="K165" i="1"/>
  <c r="K164" i="1"/>
  <c r="K163" i="1"/>
  <c r="K161" i="1"/>
  <c r="K160" i="1"/>
  <c r="K159" i="1"/>
  <c r="K158" i="1"/>
  <c r="K157" i="1"/>
  <c r="K156" i="1"/>
  <c r="K155" i="1"/>
  <c r="K153" i="1"/>
  <c r="K152" i="1"/>
  <c r="K151" i="1"/>
  <c r="K150" i="1"/>
  <c r="K149" i="1"/>
  <c r="K148" i="1"/>
  <c r="K145" i="1"/>
  <c r="K144" i="1"/>
  <c r="K143" i="1"/>
  <c r="K142" i="1"/>
  <c r="K140" i="1"/>
  <c r="K139" i="1"/>
  <c r="K137" i="1"/>
  <c r="K136" i="1"/>
  <c r="K135" i="1"/>
  <c r="K134" i="1"/>
  <c r="K132" i="1"/>
  <c r="K131" i="1"/>
  <c r="K130" i="1"/>
  <c r="K129" i="1"/>
  <c r="K128" i="1"/>
  <c r="K127" i="1"/>
  <c r="K125" i="1"/>
  <c r="K124" i="1"/>
  <c r="K123" i="1"/>
  <c r="K122" i="1"/>
  <c r="K121" i="1"/>
  <c r="K120" i="1"/>
  <c r="K118" i="1"/>
  <c r="K117" i="1"/>
  <c r="K116" i="1"/>
  <c r="K115" i="1"/>
  <c r="K114" i="1"/>
  <c r="K113" i="1"/>
  <c r="K112" i="1"/>
  <c r="K109" i="1"/>
  <c r="K108" i="1"/>
  <c r="K107" i="1"/>
  <c r="K106" i="1"/>
  <c r="K104" i="1"/>
  <c r="K103" i="1"/>
  <c r="K102" i="1"/>
  <c r="K101" i="1"/>
  <c r="K100" i="1"/>
  <c r="K99" i="1"/>
  <c r="K97" i="1"/>
  <c r="K96" i="1"/>
  <c r="K95" i="1"/>
  <c r="K94" i="1"/>
  <c r="K93" i="1"/>
  <c r="K92" i="1"/>
  <c r="K91" i="1"/>
  <c r="K89" i="1"/>
  <c r="K87" i="1"/>
  <c r="K86" i="1"/>
  <c r="K85" i="1"/>
  <c r="K84" i="1"/>
  <c r="K83" i="1"/>
  <c r="K82" i="1"/>
  <c r="K79" i="1"/>
  <c r="K78" i="1"/>
  <c r="K77" i="1"/>
  <c r="K76" i="1"/>
  <c r="K75" i="1"/>
  <c r="K74" i="1"/>
  <c r="K72" i="1"/>
  <c r="K71" i="1"/>
  <c r="K70" i="1"/>
  <c r="K69" i="1"/>
  <c r="K68" i="1"/>
  <c r="K67" i="1"/>
  <c r="K66" i="1"/>
  <c r="K65" i="1"/>
  <c r="K64" i="1"/>
  <c r="K63" i="1"/>
  <c r="K61" i="1"/>
  <c r="K59" i="1"/>
  <c r="K58" i="1"/>
  <c r="K57" i="1"/>
  <c r="K56" i="1"/>
  <c r="K55" i="1"/>
  <c r="K54" i="1"/>
  <c r="K52" i="1"/>
  <c r="K51" i="1"/>
  <c r="K50" i="1"/>
  <c r="K49" i="1"/>
  <c r="K47" i="1"/>
  <c r="K46" i="1"/>
  <c r="K45" i="1"/>
  <c r="K44" i="1"/>
  <c r="K42" i="1"/>
  <c r="K41" i="1"/>
  <c r="K40" i="1"/>
  <c r="K39" i="1"/>
  <c r="K38" i="1"/>
  <c r="K37" i="1"/>
  <c r="K36" i="1"/>
  <c r="K35" i="1"/>
  <c r="K34" i="1"/>
  <c r="K32" i="1"/>
  <c r="K31" i="1"/>
  <c r="K30" i="1"/>
  <c r="K29" i="1"/>
  <c r="K27" i="1"/>
  <c r="K26" i="1"/>
  <c r="K23" i="1"/>
  <c r="K21" i="1"/>
  <c r="K20" i="1"/>
  <c r="K19" i="1"/>
  <c r="K18" i="1"/>
  <c r="K17" i="1"/>
  <c r="K16" i="1"/>
  <c r="K14" i="1"/>
  <c r="K13" i="1"/>
  <c r="K12" i="1"/>
  <c r="K11" i="1"/>
  <c r="K10" i="1"/>
  <c r="K9" i="1"/>
  <c r="K8" i="1"/>
  <c r="K7" i="1"/>
  <c r="K6" i="1"/>
  <c r="K5" i="1"/>
  <c r="J1" i="1"/>
  <c r="I1" i="1"/>
  <c r="K519" i="1"/>
  <c r="K520" i="1"/>
  <c r="K523" i="1"/>
  <c r="K524" i="1"/>
  <c r="K525" i="1"/>
  <c r="K527" i="1"/>
  <c r="K528" i="1"/>
  <c r="K529" i="1"/>
  <c r="K531" i="1"/>
  <c r="K532" i="1"/>
  <c r="K533" i="1"/>
  <c r="K535" i="1"/>
  <c r="K536" i="1"/>
  <c r="K88" i="1"/>
  <c r="K80" i="1"/>
  <c r="K60" i="1"/>
  <c r="K48" i="1"/>
  <c r="K28" i="1"/>
  <c r="K24" i="1"/>
  <c r="K4" i="1"/>
  <c r="K3" i="1"/>
  <c r="K15" i="1"/>
  <c r="K22" i="1"/>
  <c r="K25" i="1"/>
  <c r="K33" i="1"/>
  <c r="K43" i="1"/>
  <c r="K53" i="1"/>
  <c r="K62" i="1"/>
  <c r="K73" i="1"/>
  <c r="K81" i="1"/>
  <c r="K90" i="1"/>
  <c r="K98" i="1"/>
  <c r="K105" i="1"/>
  <c r="K110" i="1"/>
  <c r="K111" i="1"/>
  <c r="K119" i="1"/>
  <c r="K126" i="1"/>
  <c r="K133" i="1"/>
  <c r="K138" i="1"/>
  <c r="K141" i="1"/>
  <c r="K146" i="1"/>
  <c r="K147" i="1"/>
  <c r="K154" i="1"/>
  <c r="K162" i="1"/>
  <c r="K169" i="1"/>
  <c r="K174" i="1"/>
  <c r="K175" i="1"/>
  <c r="K183" i="1"/>
  <c r="K190" i="1"/>
  <c r="K197" i="1"/>
  <c r="K202" i="1"/>
  <c r="K205" i="1"/>
  <c r="K210" i="1"/>
  <c r="K211" i="1"/>
  <c r="K218" i="1"/>
  <c r="K222" i="1"/>
  <c r="K226" i="1"/>
  <c r="K233" i="1"/>
  <c r="K238" i="1"/>
  <c r="K239" i="1"/>
  <c r="K247" i="1"/>
  <c r="K250" i="1"/>
  <c r="K254" i="1"/>
  <c r="K258" i="1"/>
  <c r="K261" i="1"/>
  <c r="K266" i="1"/>
  <c r="K269" i="1"/>
  <c r="K274" i="1"/>
  <c r="K275" i="1"/>
  <c r="K281" i="1"/>
  <c r="K282" i="1"/>
  <c r="K286" i="1"/>
  <c r="K287" i="1"/>
  <c r="K290" i="1"/>
  <c r="K295" i="1"/>
  <c r="K297" i="1"/>
  <c r="K298" i="1"/>
  <c r="K302" i="1"/>
  <c r="K303" i="1"/>
  <c r="K306" i="1"/>
  <c r="K309" i="1"/>
  <c r="K311" i="1"/>
  <c r="K314" i="1"/>
  <c r="K317" i="1"/>
  <c r="K318" i="1"/>
  <c r="K322" i="1"/>
  <c r="K323" i="1"/>
  <c r="K324" i="1"/>
  <c r="K326" i="1"/>
  <c r="K328" i="1"/>
  <c r="K330" i="1"/>
  <c r="K332" i="1"/>
  <c r="K334" i="1"/>
  <c r="K335" i="1"/>
  <c r="K336" i="1"/>
  <c r="K338" i="1"/>
  <c r="K339" i="1"/>
  <c r="K340" i="1"/>
  <c r="K342" i="1"/>
  <c r="K344" i="1"/>
  <c r="K346" i="1"/>
  <c r="K348" i="1"/>
  <c r="K350" i="1"/>
  <c r="K351" i="1"/>
  <c r="K352" i="1"/>
  <c r="K354" i="1"/>
  <c r="K355" i="1"/>
  <c r="K356" i="1"/>
  <c r="K358" i="1"/>
  <c r="K360" i="1"/>
  <c r="K362" i="1"/>
  <c r="K364" i="1"/>
  <c r="K366" i="1"/>
  <c r="K367" i="1"/>
  <c r="K368" i="1"/>
  <c r="K370" i="1"/>
  <c r="K371" i="1"/>
  <c r="K372" i="1"/>
  <c r="K374" i="1"/>
  <c r="K376" i="1"/>
  <c r="K378" i="1"/>
  <c r="K380" i="1"/>
  <c r="K382" i="1"/>
  <c r="K383" i="1"/>
  <c r="K384" i="1"/>
  <c r="K386" i="1"/>
  <c r="K387" i="1"/>
  <c r="K388" i="1"/>
  <c r="K390" i="1"/>
  <c r="K392" i="1"/>
  <c r="K394" i="1"/>
  <c r="K396" i="1"/>
  <c r="K398" i="1"/>
  <c r="K399" i="1"/>
  <c r="K400" i="1"/>
  <c r="K402" i="1"/>
  <c r="K403" i="1"/>
  <c r="K404" i="1"/>
  <c r="K406" i="1"/>
  <c r="K408" i="1"/>
  <c r="K410" i="1"/>
  <c r="K412" i="1"/>
  <c r="K414" i="1"/>
  <c r="K415" i="1"/>
  <c r="K416" i="1"/>
  <c r="K418" i="1"/>
  <c r="K419" i="1"/>
  <c r="K420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2" i="1" l="1"/>
  <c r="E13" i="2"/>
  <c r="E216" i="2"/>
  <c r="E310" i="2"/>
  <c r="E51" i="2"/>
  <c r="E252" i="2"/>
  <c r="E23" i="2"/>
  <c r="E24" i="2"/>
  <c r="E153" i="2"/>
  <c r="E103" i="2"/>
  <c r="E157" i="2"/>
  <c r="E155" i="2"/>
  <c r="E269" i="2"/>
  <c r="E309" i="2"/>
  <c r="E283" i="2"/>
  <c r="E88" i="2"/>
  <c r="E223" i="2"/>
  <c r="E224" i="2"/>
  <c r="E225" i="2"/>
  <c r="E217" i="2"/>
  <c r="E80" i="2"/>
  <c r="E50" i="2"/>
  <c r="E118" i="2"/>
  <c r="E4" i="2"/>
  <c r="E150" i="2"/>
  <c r="E151" i="2"/>
  <c r="E17" i="2"/>
  <c r="E18" i="2"/>
  <c r="E19" i="2"/>
  <c r="E126" i="2"/>
  <c r="E49" i="2"/>
  <c r="E177" i="2"/>
  <c r="E121" i="2"/>
  <c r="E104" i="2"/>
  <c r="E198" i="2"/>
  <c r="E199" i="2"/>
  <c r="E5" i="2"/>
  <c r="E159" i="2"/>
  <c r="E312" i="2"/>
  <c r="E253" i="2"/>
  <c r="E254" i="2"/>
  <c r="E14" i="2"/>
  <c r="E97" i="2"/>
  <c r="E98" i="2"/>
  <c r="E99" i="2"/>
  <c r="E288" i="2"/>
  <c r="E63" i="2"/>
  <c r="E240" i="2"/>
  <c r="E241" i="2"/>
  <c r="E242" i="2"/>
  <c r="E243" i="2"/>
  <c r="E70" i="2"/>
  <c r="E71" i="2"/>
  <c r="E133" i="2"/>
  <c r="E237" i="2"/>
  <c r="E167" i="2"/>
  <c r="E170" i="2"/>
  <c r="E128" i="2"/>
  <c r="E105" i="2"/>
  <c r="E72" i="2"/>
  <c r="E81" i="2"/>
  <c r="E278" i="2"/>
  <c r="E308" i="2"/>
  <c r="E172" i="2"/>
  <c r="E255" i="2"/>
  <c r="E6" i="2"/>
  <c r="E279" i="2"/>
  <c r="E7" i="2"/>
  <c r="E256" i="2"/>
  <c r="E274" i="2"/>
  <c r="E32" i="2"/>
  <c r="E33" i="2"/>
  <c r="E34" i="2"/>
  <c r="E162" i="2"/>
  <c r="E106" i="2"/>
  <c r="E218" i="2"/>
  <c r="E200" i="2"/>
  <c r="E226" i="2"/>
  <c r="E238" i="2"/>
  <c r="E173" i="2"/>
  <c r="E267" i="2"/>
  <c r="E270" i="2"/>
  <c r="E286" i="2"/>
  <c r="E250" i="2"/>
  <c r="E275" i="2"/>
  <c r="E145" i="2"/>
  <c r="E82" i="2"/>
  <c r="E227" i="2"/>
  <c r="E107" i="2"/>
  <c r="E201" i="2"/>
  <c r="E168" i="2"/>
  <c r="E160" i="2"/>
  <c r="E134" i="2"/>
  <c r="E257" i="2"/>
  <c r="E91" i="2"/>
  <c r="E52" i="2"/>
  <c r="E212" i="2"/>
  <c r="E53" i="2"/>
  <c r="E54" i="2"/>
  <c r="E55" i="2"/>
  <c r="E280" i="2"/>
  <c r="E29" i="2"/>
  <c r="E30" i="2"/>
  <c r="E31" i="2"/>
  <c r="E290" i="2"/>
  <c r="E291" i="2"/>
  <c r="E292" i="2"/>
  <c r="E293" i="2"/>
  <c r="E294" i="2"/>
  <c r="E295" i="2"/>
  <c r="E132" i="2"/>
  <c r="E228" i="2"/>
  <c r="E284" i="2"/>
  <c r="E185" i="2"/>
  <c r="E186" i="2"/>
  <c r="E187" i="2"/>
  <c r="E141" i="2"/>
  <c r="E131" i="2"/>
  <c r="E142" i="2"/>
  <c r="E68" i="2"/>
  <c r="E122" i="2"/>
  <c r="E123" i="2"/>
  <c r="E276" i="2"/>
  <c r="E247" i="2"/>
  <c r="E108" i="2"/>
  <c r="E89" i="2"/>
  <c r="E90" i="2"/>
  <c r="E229" i="2"/>
  <c r="E202" i="2"/>
  <c r="E83" i="2"/>
  <c r="E84" i="2"/>
  <c r="E64" i="2"/>
  <c r="E163" i="2"/>
  <c r="E174" i="2"/>
  <c r="E258" i="2"/>
  <c r="E165" i="2"/>
  <c r="E271" i="2"/>
  <c r="E147" i="2"/>
  <c r="E45" i="2"/>
  <c r="E277" i="2"/>
  <c r="E35" i="2"/>
  <c r="E36" i="2"/>
  <c r="E65" i="2"/>
  <c r="E73" i="2"/>
  <c r="E74" i="2"/>
  <c r="E296" i="2"/>
  <c r="E75" i="2"/>
  <c r="E62" i="2"/>
  <c r="E259" i="2"/>
  <c r="E197" i="2"/>
  <c r="E144" i="2"/>
  <c r="E2" i="2"/>
  <c r="S350" i="1" s="1"/>
  <c r="E56" i="2"/>
  <c r="E57" i="2"/>
  <c r="E230" i="2"/>
  <c r="E109" i="2"/>
  <c r="E219" i="2"/>
  <c r="E203" i="2"/>
  <c r="E204" i="2"/>
  <c r="E135" i="2"/>
  <c r="E129" i="2"/>
  <c r="E297" i="2"/>
  <c r="E298" i="2"/>
  <c r="E299" i="2"/>
  <c r="E300" i="2"/>
  <c r="E301" i="2"/>
  <c r="E302" i="2"/>
  <c r="E119" i="2"/>
  <c r="E289" i="2"/>
  <c r="E79" i="2"/>
  <c r="E11" i="2"/>
  <c r="E158" i="2"/>
  <c r="E183" i="2"/>
  <c r="E178" i="2"/>
  <c r="E179" i="2"/>
  <c r="E180" i="2"/>
  <c r="E181" i="2"/>
  <c r="E231" i="2"/>
  <c r="E232" i="2"/>
  <c r="E37" i="2"/>
  <c r="E38" i="2"/>
  <c r="E156" i="2"/>
  <c r="E92" i="2"/>
  <c r="E93" i="2"/>
  <c r="E110" i="2"/>
  <c r="E161" i="2"/>
  <c r="E25" i="2"/>
  <c r="E26" i="2"/>
  <c r="E251" i="2"/>
  <c r="E20" i="2"/>
  <c r="E21" i="2"/>
  <c r="E152" i="2"/>
  <c r="E22" i="2"/>
  <c r="E272" i="2"/>
  <c r="E166" i="2"/>
  <c r="E188" i="2"/>
  <c r="E213" i="2"/>
  <c r="E260" i="2"/>
  <c r="E148" i="2"/>
  <c r="E261" i="2"/>
  <c r="E111" i="2"/>
  <c r="E205" i="2"/>
  <c r="E39" i="2"/>
  <c r="E136" i="2"/>
  <c r="E239" i="2"/>
  <c r="E314" i="2"/>
  <c r="E154" i="2"/>
  <c r="E306" i="2"/>
  <c r="E211" i="2"/>
  <c r="E8" i="2"/>
  <c r="E9" i="2"/>
  <c r="E130" i="2"/>
  <c r="E58" i="2"/>
  <c r="E59" i="2"/>
  <c r="E60" i="2"/>
  <c r="E281" i="2"/>
  <c r="E46" i="2"/>
  <c r="E143" i="2"/>
  <c r="E85" i="2"/>
  <c r="E86" i="2"/>
  <c r="E137" i="2"/>
  <c r="E244" i="2"/>
  <c r="E245" i="2"/>
  <c r="E40" i="2"/>
  <c r="E61" i="2"/>
  <c r="E307" i="2"/>
  <c r="E149" i="2"/>
  <c r="E214" i="2"/>
  <c r="E262" i="2"/>
  <c r="E233" i="2"/>
  <c r="E234" i="2"/>
  <c r="E220" i="2"/>
  <c r="E248" i="2"/>
  <c r="E249" i="2"/>
  <c r="E175" i="2"/>
  <c r="E112" i="2"/>
  <c r="E285" i="2"/>
  <c r="E311" i="2"/>
  <c r="E273" i="2"/>
  <c r="E182" i="2"/>
  <c r="E100" i="2"/>
  <c r="E101" i="2"/>
  <c r="E176" i="2"/>
  <c r="E164" i="2"/>
  <c r="E41" i="2"/>
  <c r="E138" i="2"/>
  <c r="E246" i="2"/>
  <c r="E265" i="2"/>
  <c r="E266" i="2"/>
  <c r="E47" i="2"/>
  <c r="E313" i="2"/>
  <c r="E263" i="2"/>
  <c r="E264" i="2"/>
  <c r="E127" i="2"/>
  <c r="E113" i="2"/>
  <c r="E124" i="2"/>
  <c r="E125" i="2"/>
  <c r="E206" i="2"/>
  <c r="E169" i="2"/>
  <c r="E67" i="2"/>
  <c r="E120" i="2"/>
  <c r="E235" i="2"/>
  <c r="E66" i="2"/>
  <c r="E76" i="2"/>
  <c r="E77" i="2"/>
  <c r="E78" i="2"/>
  <c r="E48" i="2"/>
  <c r="E114" i="2"/>
  <c r="E190" i="2"/>
  <c r="E282" i="2"/>
  <c r="E189" i="2"/>
  <c r="E215" i="2"/>
  <c r="E268" i="2"/>
  <c r="E117" i="2"/>
  <c r="E3" i="2"/>
  <c r="E115" i="2"/>
  <c r="E207" i="2"/>
  <c r="E221" i="2"/>
  <c r="E139" i="2"/>
  <c r="E42" i="2"/>
  <c r="E43" i="2"/>
  <c r="E44" i="2"/>
  <c r="E208" i="2"/>
  <c r="E209" i="2"/>
  <c r="E210" i="2"/>
  <c r="E146" i="2"/>
  <c r="E184" i="2"/>
  <c r="E222" i="2"/>
  <c r="E12" i="2"/>
  <c r="E303" i="2"/>
  <c r="E304" i="2"/>
  <c r="E305" i="2"/>
  <c r="E191" i="2"/>
  <c r="E192" i="2"/>
  <c r="E193" i="2"/>
  <c r="E87" i="2"/>
  <c r="E236" i="2"/>
  <c r="E140" i="2"/>
  <c r="E171" i="2"/>
  <c r="E10" i="2"/>
  <c r="E194" i="2"/>
  <c r="E195" i="2"/>
  <c r="E196" i="2"/>
  <c r="E102" i="2"/>
  <c r="E116" i="2"/>
  <c r="E27" i="2"/>
  <c r="E28" i="2"/>
  <c r="E15" i="2"/>
  <c r="E16" i="2"/>
  <c r="E287" i="2"/>
  <c r="E94" i="2"/>
  <c r="E95" i="2"/>
  <c r="E96" i="2"/>
  <c r="E69" i="2"/>
  <c r="S414" i="1"/>
  <c r="S506" i="1" l="1"/>
  <c r="S474" i="1"/>
  <c r="S458" i="1"/>
  <c r="S398" i="1"/>
  <c r="S286" i="1"/>
  <c r="S338" i="1"/>
  <c r="S446" i="1"/>
  <c r="S382" i="1"/>
  <c r="S490" i="1"/>
  <c r="S430" i="1"/>
  <c r="S366" i="1"/>
  <c r="S518" i="1"/>
  <c r="S486" i="1"/>
  <c r="S454" i="1"/>
  <c r="S426" i="1"/>
  <c r="S394" i="1"/>
  <c r="S362" i="1"/>
  <c r="S346" i="1"/>
  <c r="S248" i="1"/>
  <c r="S514" i="1"/>
  <c r="S342" i="1"/>
  <c r="S502" i="1"/>
  <c r="S470" i="1"/>
  <c r="S442" i="1"/>
  <c r="S410" i="1"/>
  <c r="S378" i="1"/>
  <c r="S498" i="1"/>
  <c r="S482" i="1"/>
  <c r="S466" i="1"/>
  <c r="S450" i="1"/>
  <c r="S438" i="1"/>
  <c r="S422" i="1"/>
  <c r="S406" i="1"/>
  <c r="S390" i="1"/>
  <c r="S374" i="1"/>
  <c r="S358" i="1"/>
  <c r="S510" i="1"/>
  <c r="S494" i="1"/>
  <c r="S478" i="1"/>
  <c r="S462" i="1"/>
  <c r="S447" i="1"/>
  <c r="S434" i="1"/>
  <c r="S418" i="1"/>
  <c r="S402" i="1"/>
  <c r="S386" i="1"/>
  <c r="S370" i="1"/>
  <c r="S354" i="1"/>
  <c r="S517" i="1"/>
  <c r="S509" i="1"/>
  <c r="S501" i="1"/>
  <c r="S493" i="1"/>
  <c r="S485" i="1"/>
  <c r="S477" i="1"/>
  <c r="S465" i="1"/>
  <c r="S461" i="1"/>
  <c r="S453" i="1"/>
  <c r="S449" i="1"/>
  <c r="S441" i="1"/>
  <c r="S433" i="1"/>
  <c r="S425" i="1"/>
  <c r="S417" i="1"/>
  <c r="S409" i="1"/>
  <c r="S401" i="1"/>
  <c r="S393" i="1"/>
  <c r="S385" i="1"/>
  <c r="S377" i="1"/>
  <c r="S369" i="1"/>
  <c r="S361" i="1"/>
  <c r="S349" i="1"/>
  <c r="S345" i="1"/>
  <c r="S337" i="1"/>
  <c r="S516" i="1"/>
  <c r="S512" i="1"/>
  <c r="S508" i="1"/>
  <c r="S504" i="1"/>
  <c r="S500" i="1"/>
  <c r="S496" i="1"/>
  <c r="S492" i="1"/>
  <c r="S488" i="1"/>
  <c r="S484" i="1"/>
  <c r="S480" i="1"/>
  <c r="S476" i="1"/>
  <c r="S472" i="1"/>
  <c r="S468" i="1"/>
  <c r="S464" i="1"/>
  <c r="S460" i="1"/>
  <c r="S456" i="1"/>
  <c r="S452" i="1"/>
  <c r="S448" i="1"/>
  <c r="S444" i="1"/>
  <c r="S440" i="1"/>
  <c r="S436" i="1"/>
  <c r="S432" i="1"/>
  <c r="S428" i="1"/>
  <c r="S424" i="1"/>
  <c r="S420" i="1"/>
  <c r="S416" i="1"/>
  <c r="S513" i="1"/>
  <c r="S505" i="1"/>
  <c r="S497" i="1"/>
  <c r="S489" i="1"/>
  <c r="S481" i="1"/>
  <c r="S473" i="1"/>
  <c r="S469" i="1"/>
  <c r="S457" i="1"/>
  <c r="S445" i="1"/>
  <c r="S437" i="1"/>
  <c r="S429" i="1"/>
  <c r="S421" i="1"/>
  <c r="S413" i="1"/>
  <c r="S405" i="1"/>
  <c r="S397" i="1"/>
  <c r="S389" i="1"/>
  <c r="S381" i="1"/>
  <c r="S373" i="1"/>
  <c r="S365" i="1"/>
  <c r="S357" i="1"/>
  <c r="S353" i="1"/>
  <c r="S341" i="1"/>
  <c r="S333" i="1"/>
  <c r="S2" i="1"/>
  <c r="S515" i="1"/>
  <c r="S511" i="1"/>
  <c r="S507" i="1"/>
  <c r="S503" i="1"/>
  <c r="S499" i="1"/>
  <c r="S495" i="1"/>
  <c r="S491" i="1"/>
  <c r="S487" i="1"/>
  <c r="S483" i="1"/>
  <c r="S479" i="1"/>
  <c r="S475" i="1"/>
  <c r="S471" i="1"/>
  <c r="S467" i="1"/>
  <c r="S463" i="1"/>
  <c r="S459" i="1"/>
  <c r="S455" i="1"/>
  <c r="S451" i="1"/>
  <c r="S443" i="1"/>
  <c r="S439" i="1"/>
  <c r="S435" i="1"/>
  <c r="S431" i="1"/>
  <c r="S427" i="1"/>
  <c r="S423" i="1"/>
  <c r="S419" i="1"/>
  <c r="S415" i="1"/>
  <c r="S411" i="1"/>
  <c r="S407" i="1"/>
  <c r="S403" i="1"/>
  <c r="S399" i="1"/>
  <c r="S395" i="1"/>
  <c r="S391" i="1"/>
  <c r="S387" i="1"/>
  <c r="S383" i="1"/>
  <c r="S379" i="1"/>
  <c r="S375" i="1"/>
  <c r="S371" i="1"/>
  <c r="S367" i="1"/>
  <c r="S363" i="1"/>
  <c r="S359" i="1"/>
  <c r="S355" i="1"/>
  <c r="S351" i="1"/>
  <c r="S347" i="1"/>
  <c r="S343" i="1"/>
  <c r="S339" i="1"/>
  <c r="S335" i="1"/>
  <c r="S331" i="1"/>
  <c r="S327" i="1"/>
  <c r="S323" i="1"/>
  <c r="S319" i="1"/>
  <c r="S315" i="1"/>
  <c r="S311" i="1"/>
  <c r="S307" i="1"/>
  <c r="S303" i="1"/>
  <c r="S299" i="1"/>
  <c r="S295" i="1"/>
  <c r="S291" i="1"/>
  <c r="S287" i="1"/>
  <c r="S283" i="1"/>
  <c r="S111" i="1"/>
  <c r="S329" i="1"/>
  <c r="S325" i="1"/>
  <c r="S321" i="1"/>
  <c r="S317" i="1"/>
  <c r="S313" i="1"/>
  <c r="S309" i="1"/>
  <c r="S305" i="1"/>
  <c r="S301" i="1"/>
  <c r="S297" i="1"/>
  <c r="S293" i="1"/>
  <c r="S289" i="1"/>
  <c r="S285" i="1"/>
  <c r="S281" i="1"/>
  <c r="S277" i="1"/>
  <c r="S273" i="1"/>
  <c r="S269" i="1"/>
  <c r="S265" i="1"/>
  <c r="S261" i="1"/>
  <c r="S257" i="1"/>
  <c r="S253" i="1"/>
  <c r="S249" i="1"/>
  <c r="S245" i="1"/>
  <c r="S241" i="1"/>
  <c r="S237" i="1"/>
  <c r="S233" i="1"/>
  <c r="S229" i="1"/>
  <c r="S225" i="1"/>
  <c r="S221" i="1"/>
  <c r="S217" i="1"/>
  <c r="S213" i="1"/>
  <c r="S209" i="1"/>
  <c r="S205" i="1"/>
  <c r="S201" i="1"/>
  <c r="S197" i="1"/>
  <c r="S193" i="1"/>
  <c r="S189" i="1"/>
  <c r="S185" i="1"/>
  <c r="S181" i="1"/>
  <c r="S177" i="1"/>
  <c r="S173" i="1"/>
  <c r="S169" i="1"/>
  <c r="S165" i="1"/>
  <c r="S161" i="1"/>
  <c r="S157" i="1"/>
  <c r="S153" i="1"/>
  <c r="S149" i="1"/>
  <c r="S145" i="1"/>
  <c r="S141" i="1"/>
  <c r="S137" i="1"/>
  <c r="S133" i="1"/>
  <c r="S412" i="1"/>
  <c r="S408" i="1"/>
  <c r="S404" i="1"/>
  <c r="S400" i="1"/>
  <c r="S396" i="1"/>
  <c r="S392" i="1"/>
  <c r="S388" i="1"/>
  <c r="S384" i="1"/>
  <c r="S380" i="1"/>
  <c r="S376" i="1"/>
  <c r="S372" i="1"/>
  <c r="S368" i="1"/>
  <c r="S364" i="1"/>
  <c r="S360" i="1"/>
  <c r="S356" i="1"/>
  <c r="S352" i="1"/>
  <c r="S348" i="1"/>
  <c r="S344" i="1"/>
  <c r="S340" i="1"/>
  <c r="S336" i="1"/>
  <c r="S332" i="1"/>
  <c r="S328" i="1"/>
  <c r="S324" i="1"/>
  <c r="S320" i="1"/>
  <c r="S316" i="1"/>
  <c r="S129" i="1"/>
  <c r="S125" i="1"/>
  <c r="S121" i="1"/>
  <c r="S117" i="1"/>
  <c r="S113" i="1"/>
  <c r="S109" i="1"/>
  <c r="S105" i="1"/>
  <c r="S101" i="1"/>
  <c r="S97" i="1"/>
  <c r="S93" i="1"/>
  <c r="S89" i="1"/>
  <c r="S85" i="1"/>
  <c r="S81" i="1"/>
  <c r="S77" i="1"/>
  <c r="S73" i="1"/>
  <c r="S69" i="1"/>
  <c r="S65" i="1"/>
  <c r="S61" i="1"/>
  <c r="S57" i="1"/>
  <c r="S53" i="1"/>
  <c r="S49" i="1"/>
  <c r="S45" i="1"/>
  <c r="S41" i="1"/>
  <c r="S37" i="1"/>
  <c r="S33" i="1"/>
  <c r="S29" i="1"/>
  <c r="S25" i="1"/>
  <c r="S21" i="1"/>
  <c r="S17" i="1"/>
  <c r="S13" i="1"/>
  <c r="S9" i="1"/>
  <c r="S5" i="1"/>
  <c r="S312" i="1"/>
  <c r="S308" i="1"/>
  <c r="S304" i="1"/>
  <c r="S300" i="1"/>
  <c r="S296" i="1"/>
  <c r="S292" i="1"/>
  <c r="S288" i="1"/>
  <c r="S284" i="1"/>
  <c r="S280" i="1"/>
  <c r="S276" i="1"/>
  <c r="S272" i="1"/>
  <c r="S268" i="1"/>
  <c r="S264" i="1"/>
  <c r="S260" i="1"/>
  <c r="S256" i="1"/>
  <c r="S252" i="1"/>
  <c r="S244" i="1"/>
  <c r="S240" i="1"/>
  <c r="S236" i="1"/>
  <c r="S232" i="1"/>
  <c r="S228" i="1"/>
  <c r="S224" i="1"/>
  <c r="S220" i="1"/>
  <c r="S216" i="1"/>
  <c r="S212" i="1"/>
  <c r="S208" i="1"/>
  <c r="S204" i="1"/>
  <c r="S200" i="1"/>
  <c r="S196" i="1"/>
  <c r="S192" i="1"/>
  <c r="S188" i="1"/>
  <c r="S184" i="1"/>
  <c r="S180" i="1"/>
  <c r="S176" i="1"/>
  <c r="S172" i="1"/>
  <c r="S168" i="1"/>
  <c r="S164" i="1"/>
  <c r="S160" i="1"/>
  <c r="S156" i="1"/>
  <c r="S152" i="1"/>
  <c r="S148" i="1"/>
  <c r="S144" i="1"/>
  <c r="S140" i="1"/>
  <c r="S136" i="1"/>
  <c r="S132" i="1"/>
  <c r="S128" i="1"/>
  <c r="S124" i="1"/>
  <c r="S120" i="1"/>
  <c r="S116" i="1"/>
  <c r="S112" i="1"/>
  <c r="S108" i="1"/>
  <c r="S104" i="1"/>
  <c r="S100" i="1"/>
  <c r="S96" i="1"/>
  <c r="S92" i="1"/>
  <c r="S88" i="1"/>
  <c r="S84" i="1"/>
  <c r="S80" i="1"/>
  <c r="S76" i="1"/>
  <c r="S72" i="1"/>
  <c r="S68" i="1"/>
  <c r="S64" i="1"/>
  <c r="S60" i="1"/>
  <c r="S56" i="1"/>
  <c r="S52" i="1"/>
  <c r="S48" i="1"/>
  <c r="S44" i="1"/>
  <c r="S40" i="1"/>
  <c r="S36" i="1"/>
  <c r="S32" i="1"/>
  <c r="S28" i="1"/>
  <c r="S24" i="1"/>
  <c r="S20" i="1"/>
  <c r="S16" i="1"/>
  <c r="S12" i="1"/>
  <c r="S8" i="1"/>
  <c r="S4" i="1"/>
  <c r="S279" i="1"/>
  <c r="S275" i="1"/>
  <c r="S271" i="1"/>
  <c r="S267" i="1"/>
  <c r="S263" i="1"/>
  <c r="S259" i="1"/>
  <c r="S255" i="1"/>
  <c r="S251" i="1"/>
  <c r="S247" i="1"/>
  <c r="S243" i="1"/>
  <c r="S239" i="1"/>
  <c r="S235" i="1"/>
  <c r="S231" i="1"/>
  <c r="S227" i="1"/>
  <c r="S223" i="1"/>
  <c r="S219" i="1"/>
  <c r="S215" i="1"/>
  <c r="S211" i="1"/>
  <c r="S207" i="1"/>
  <c r="S203" i="1"/>
  <c r="S199" i="1"/>
  <c r="S195" i="1"/>
  <c r="S191" i="1"/>
  <c r="S187" i="1"/>
  <c r="S183" i="1"/>
  <c r="S179" i="1"/>
  <c r="S175" i="1"/>
  <c r="S171" i="1"/>
  <c r="S167" i="1"/>
  <c r="S163" i="1"/>
  <c r="S159" i="1"/>
  <c r="S155" i="1"/>
  <c r="S151" i="1"/>
  <c r="S147" i="1"/>
  <c r="S143" i="1"/>
  <c r="S139" i="1"/>
  <c r="S135" i="1"/>
  <c r="S131" i="1"/>
  <c r="S127" i="1"/>
  <c r="S123" i="1"/>
  <c r="S119" i="1"/>
  <c r="S115" i="1"/>
  <c r="S107" i="1"/>
  <c r="S103" i="1"/>
  <c r="S99" i="1"/>
  <c r="S95" i="1"/>
  <c r="S91" i="1"/>
  <c r="S87" i="1"/>
  <c r="S83" i="1"/>
  <c r="S79" i="1"/>
  <c r="S75" i="1"/>
  <c r="S71" i="1"/>
  <c r="S67" i="1"/>
  <c r="S63" i="1"/>
  <c r="S59" i="1"/>
  <c r="S55" i="1"/>
  <c r="S51" i="1"/>
  <c r="S47" i="1"/>
  <c r="S43" i="1"/>
  <c r="S39" i="1"/>
  <c r="S35" i="1"/>
  <c r="S31" i="1"/>
  <c r="S27" i="1"/>
  <c r="S23" i="1"/>
  <c r="S19" i="1"/>
  <c r="S15" i="1"/>
  <c r="S11" i="1"/>
  <c r="S7" i="1"/>
  <c r="S3" i="1"/>
  <c r="S334" i="1"/>
  <c r="S330" i="1"/>
  <c r="S326" i="1"/>
  <c r="S322" i="1"/>
  <c r="S318" i="1"/>
  <c r="S314" i="1"/>
  <c r="S310" i="1"/>
  <c r="S306" i="1"/>
  <c r="S302" i="1"/>
  <c r="S298" i="1"/>
  <c r="S294" i="1"/>
  <c r="S290" i="1"/>
  <c r="S282" i="1"/>
  <c r="S278" i="1"/>
  <c r="S274" i="1"/>
  <c r="S270" i="1"/>
  <c r="S266" i="1"/>
  <c r="S262" i="1"/>
  <c r="S258" i="1"/>
  <c r="S254" i="1"/>
  <c r="S250" i="1"/>
  <c r="S246" i="1"/>
  <c r="S242" i="1"/>
  <c r="S238" i="1"/>
  <c r="S234" i="1"/>
  <c r="S230" i="1"/>
  <c r="S226" i="1"/>
  <c r="S222" i="1"/>
  <c r="S218" i="1"/>
  <c r="S214" i="1"/>
  <c r="S210" i="1"/>
  <c r="S206" i="1"/>
  <c r="S202" i="1"/>
  <c r="S198" i="1"/>
  <c r="S194" i="1"/>
  <c r="S190" i="1"/>
  <c r="S186" i="1"/>
  <c r="S182" i="1"/>
  <c r="S178" i="1"/>
  <c r="S174" i="1"/>
  <c r="S170" i="1"/>
  <c r="S166" i="1"/>
  <c r="S162" i="1"/>
  <c r="S158" i="1"/>
  <c r="S154" i="1"/>
  <c r="S150" i="1"/>
  <c r="S146" i="1"/>
  <c r="S142" i="1"/>
  <c r="S138" i="1"/>
  <c r="S134" i="1"/>
  <c r="S130" i="1"/>
  <c r="S126" i="1"/>
  <c r="S122" i="1"/>
  <c r="S118" i="1"/>
  <c r="S114" i="1"/>
  <c r="S110" i="1"/>
  <c r="S106" i="1"/>
  <c r="S102" i="1"/>
  <c r="S98" i="1"/>
  <c r="S94" i="1"/>
  <c r="S90" i="1"/>
  <c r="S86" i="1"/>
  <c r="S82" i="1"/>
  <c r="S78" i="1"/>
  <c r="S74" i="1"/>
  <c r="S70" i="1"/>
  <c r="S66" i="1"/>
  <c r="S62" i="1"/>
  <c r="S58" i="1"/>
  <c r="S54" i="1"/>
  <c r="S50" i="1"/>
  <c r="S46" i="1"/>
  <c r="S42" i="1"/>
  <c r="S38" i="1"/>
  <c r="S34" i="1"/>
  <c r="S30" i="1"/>
  <c r="S26" i="1"/>
  <c r="S22" i="1"/>
  <c r="S18" i="1"/>
  <c r="S14" i="1"/>
  <c r="S10" i="1"/>
  <c r="S6" i="1"/>
  <c r="R256" i="2"/>
  <c r="R255" i="2"/>
  <c r="R81" i="2"/>
  <c r="R96" i="2"/>
  <c r="R16" i="2"/>
  <c r="R116" i="2"/>
  <c r="R194" i="2"/>
  <c r="R236" i="2"/>
  <c r="R191" i="2"/>
  <c r="R12" i="2"/>
  <c r="R210" i="2"/>
  <c r="R43" i="2"/>
  <c r="R207" i="2"/>
  <c r="R268" i="2"/>
  <c r="R190" i="2"/>
  <c r="R77" i="2"/>
  <c r="R120" i="2"/>
  <c r="R125" i="2"/>
  <c r="R266" i="2"/>
  <c r="R41" i="2"/>
  <c r="R100" i="2"/>
  <c r="R285" i="2"/>
  <c r="R248" i="2"/>
  <c r="R61" i="2"/>
  <c r="R137" i="2"/>
  <c r="R46" i="2"/>
  <c r="R58" i="2"/>
  <c r="R211" i="2"/>
  <c r="R239" i="2"/>
  <c r="R111" i="2"/>
  <c r="R213" i="2"/>
  <c r="R22" i="2"/>
  <c r="R251" i="2"/>
  <c r="R110" i="2"/>
  <c r="R38" i="2"/>
  <c r="R181" i="2"/>
  <c r="R183" i="2"/>
  <c r="R289" i="2"/>
  <c r="R300" i="2"/>
  <c r="R129" i="2"/>
  <c r="R219" i="2"/>
  <c r="R56" i="2"/>
  <c r="R259" i="2"/>
  <c r="R74" i="2"/>
  <c r="R35" i="2"/>
  <c r="R271" i="2"/>
  <c r="R163" i="2"/>
  <c r="R202" i="2"/>
  <c r="R108" i="2"/>
  <c r="R122" i="2"/>
  <c r="R141" i="2"/>
  <c r="R284" i="2"/>
  <c r="R294" i="2"/>
  <c r="R290" i="2"/>
  <c r="R280" i="2"/>
  <c r="R212" i="2"/>
  <c r="R134" i="2"/>
  <c r="R107" i="2"/>
  <c r="R275" i="2"/>
  <c r="R267" i="2"/>
  <c r="R200" i="2"/>
  <c r="R34" i="2"/>
  <c r="R170" i="2"/>
  <c r="R269" i="2"/>
  <c r="R95" i="2"/>
  <c r="R15" i="2"/>
  <c r="R102" i="2"/>
  <c r="R10" i="2"/>
  <c r="R87" i="2"/>
  <c r="R305" i="2"/>
  <c r="R222" i="2"/>
  <c r="R209" i="2"/>
  <c r="R42" i="2"/>
  <c r="R115" i="2"/>
  <c r="R215" i="2"/>
  <c r="R114" i="2"/>
  <c r="R76" i="2"/>
  <c r="R67" i="2"/>
  <c r="R124" i="2"/>
  <c r="R263" i="2"/>
  <c r="R265" i="2"/>
  <c r="R164" i="2"/>
  <c r="R182" i="2"/>
  <c r="R112" i="2"/>
  <c r="R220" i="2"/>
  <c r="R214" i="2"/>
  <c r="R40" i="2"/>
  <c r="R86" i="2"/>
  <c r="R281" i="2"/>
  <c r="R130" i="2"/>
  <c r="R306" i="2"/>
  <c r="R136" i="2"/>
  <c r="R188" i="2"/>
  <c r="R152" i="2"/>
  <c r="R26" i="2"/>
  <c r="R93" i="2"/>
  <c r="R37" i="2"/>
  <c r="R180" i="2"/>
  <c r="R158" i="2"/>
  <c r="R119" i="2"/>
  <c r="R299" i="2"/>
  <c r="R135" i="2"/>
  <c r="R109" i="2"/>
  <c r="R2" i="2"/>
  <c r="R73" i="2"/>
  <c r="R277" i="2"/>
  <c r="R165" i="2"/>
  <c r="R64" i="2"/>
  <c r="R229" i="2"/>
  <c r="R247" i="2"/>
  <c r="R68" i="2"/>
  <c r="R187" i="2"/>
  <c r="R228" i="2"/>
  <c r="R293" i="2"/>
  <c r="R31" i="2"/>
  <c r="R55" i="2"/>
  <c r="R52" i="2"/>
  <c r="R160" i="2"/>
  <c r="R227" i="2"/>
  <c r="R250" i="2"/>
  <c r="R173" i="2"/>
  <c r="R218" i="2"/>
  <c r="R33" i="2"/>
  <c r="R7" i="2"/>
  <c r="R172" i="2"/>
  <c r="R72" i="2"/>
  <c r="R167" i="2"/>
  <c r="R70" i="2"/>
  <c r="R240" i="2"/>
  <c r="R98" i="2"/>
  <c r="R199" i="2"/>
  <c r="R177" i="2"/>
  <c r="R18" i="2"/>
  <c r="R4" i="2"/>
  <c r="R217" i="2"/>
  <c r="R88" i="2"/>
  <c r="R155" i="2"/>
  <c r="R24" i="2"/>
  <c r="R310" i="2"/>
  <c r="R71" i="2"/>
  <c r="R99" i="2"/>
  <c r="R5" i="2"/>
  <c r="R19" i="2"/>
  <c r="R223" i="2"/>
  <c r="R51" i="2"/>
  <c r="R94" i="2"/>
  <c r="R28" i="2"/>
  <c r="R196" i="2"/>
  <c r="R171" i="2"/>
  <c r="R193" i="2"/>
  <c r="R304" i="2"/>
  <c r="R184" i="2"/>
  <c r="R208" i="2"/>
  <c r="R139" i="2"/>
  <c r="R3" i="2"/>
  <c r="R189" i="2"/>
  <c r="R66" i="2"/>
  <c r="R169" i="2"/>
  <c r="R113" i="2"/>
  <c r="R313" i="2"/>
  <c r="R246" i="2"/>
  <c r="R176" i="2"/>
  <c r="R273" i="2"/>
  <c r="R175" i="2"/>
  <c r="R234" i="2"/>
  <c r="R149" i="2"/>
  <c r="R245" i="2"/>
  <c r="R85" i="2"/>
  <c r="R60" i="2"/>
  <c r="R9" i="2"/>
  <c r="R154" i="2"/>
  <c r="R39" i="2"/>
  <c r="R148" i="2"/>
  <c r="R166" i="2"/>
  <c r="R21" i="2"/>
  <c r="R25" i="2"/>
  <c r="R92" i="2"/>
  <c r="R232" i="2"/>
  <c r="R179" i="2"/>
  <c r="R11" i="2"/>
  <c r="R302" i="2"/>
  <c r="R298" i="2"/>
  <c r="R204" i="2"/>
  <c r="R230" i="2"/>
  <c r="R144" i="2"/>
  <c r="R75" i="2"/>
  <c r="R65" i="2"/>
  <c r="R45" i="2"/>
  <c r="R258" i="2"/>
  <c r="R84" i="2"/>
  <c r="R90" i="2"/>
  <c r="R276" i="2"/>
  <c r="R142" i="2"/>
  <c r="R186" i="2"/>
  <c r="R132" i="2"/>
  <c r="R292" i="2"/>
  <c r="R30" i="2"/>
  <c r="R54" i="2"/>
  <c r="R91" i="2"/>
  <c r="R168" i="2"/>
  <c r="R82" i="2"/>
  <c r="R286" i="2"/>
  <c r="R238" i="2"/>
  <c r="R106" i="2"/>
  <c r="R32" i="2"/>
  <c r="R279" i="2"/>
  <c r="R105" i="2"/>
  <c r="R237" i="2"/>
  <c r="R243" i="2"/>
  <c r="R63" i="2"/>
  <c r="R97" i="2"/>
  <c r="R312" i="2"/>
  <c r="R198" i="2"/>
  <c r="R49" i="2"/>
  <c r="R17" i="2"/>
  <c r="R118" i="2"/>
  <c r="R225" i="2"/>
  <c r="R283" i="2"/>
  <c r="R157" i="2"/>
  <c r="R23" i="2"/>
  <c r="R216" i="2"/>
  <c r="R241" i="2"/>
  <c r="R121" i="2"/>
  <c r="R150" i="2"/>
  <c r="R80" i="2"/>
  <c r="R153" i="2"/>
  <c r="R69" i="2"/>
  <c r="R287" i="2"/>
  <c r="R27" i="2"/>
  <c r="R195" i="2"/>
  <c r="R140" i="2"/>
  <c r="R192" i="2"/>
  <c r="R303" i="2"/>
  <c r="R146" i="2"/>
  <c r="R44" i="2"/>
  <c r="R221" i="2"/>
  <c r="R117" i="2"/>
  <c r="R282" i="2"/>
  <c r="R78" i="2"/>
  <c r="R235" i="2"/>
  <c r="R206" i="2"/>
  <c r="R127" i="2"/>
  <c r="R138" i="2"/>
  <c r="R101" i="2"/>
  <c r="R311" i="2"/>
  <c r="R249" i="2"/>
  <c r="R233" i="2"/>
  <c r="R307" i="2"/>
  <c r="R244" i="2"/>
  <c r="R143" i="2"/>
  <c r="R59" i="2"/>
  <c r="R8" i="2"/>
  <c r="R314" i="2"/>
  <c r="R205" i="2"/>
  <c r="R260" i="2"/>
  <c r="R272" i="2"/>
  <c r="R20" i="2"/>
  <c r="R156" i="2"/>
  <c r="R231" i="2"/>
  <c r="R178" i="2"/>
  <c r="R79" i="2"/>
  <c r="R301" i="2"/>
  <c r="R297" i="2"/>
  <c r="R203" i="2"/>
  <c r="R57" i="2"/>
  <c r="R197" i="2"/>
  <c r="R296" i="2"/>
  <c r="R36" i="2"/>
  <c r="R147" i="2"/>
  <c r="R174" i="2"/>
  <c r="R83" i="2"/>
  <c r="R89" i="2"/>
  <c r="R123" i="2"/>
  <c r="R131" i="2"/>
  <c r="R185" i="2"/>
  <c r="R295" i="2"/>
  <c r="R291" i="2"/>
  <c r="R29" i="2"/>
  <c r="R53" i="2"/>
  <c r="R257" i="2"/>
  <c r="R201" i="2"/>
  <c r="R145" i="2"/>
  <c r="R270" i="2"/>
  <c r="R226" i="2"/>
  <c r="R162" i="2"/>
  <c r="R274" i="2"/>
  <c r="R6" i="2"/>
  <c r="R278" i="2"/>
  <c r="R128" i="2"/>
  <c r="R133" i="2"/>
  <c r="R242" i="2"/>
  <c r="R288" i="2"/>
  <c r="R14" i="2"/>
  <c r="R159" i="2"/>
  <c r="R104" i="2"/>
  <c r="R126" i="2"/>
  <c r="R151" i="2"/>
  <c r="R50" i="2"/>
  <c r="R224" i="2"/>
  <c r="R309" i="2"/>
  <c r="R103" i="2"/>
  <c r="R252" i="2"/>
  <c r="R13" i="2"/>
</calcChain>
</file>

<file path=xl/sharedStrings.xml><?xml version="1.0" encoding="utf-8"?>
<sst xmlns="http://schemas.openxmlformats.org/spreadsheetml/2006/main" count="5396" uniqueCount="820">
  <si>
    <t>FECHA_EMI</t>
  </si>
  <si>
    <t>COD_PROVE</t>
  </si>
  <si>
    <t>NOM_PROVE</t>
  </si>
  <si>
    <t>COND_IVA</t>
  </si>
  <si>
    <t>IDENTIFTRI</t>
  </si>
  <si>
    <t>N_INTERNO</t>
  </si>
  <si>
    <t>T_COMP</t>
  </si>
  <si>
    <t>N_COMP</t>
  </si>
  <si>
    <t>PORC_IVA</t>
  </si>
  <si>
    <t>IMP_EXENTO</t>
  </si>
  <si>
    <t>IMP_NETO</t>
  </si>
  <si>
    <t>IMP_IVA</t>
  </si>
  <si>
    <t>IMP_TOTAL</t>
  </si>
  <si>
    <t>N_ING_BRU</t>
  </si>
  <si>
    <t>OTROSIMP</t>
  </si>
  <si>
    <t/>
  </si>
  <si>
    <t>RIO</t>
  </si>
  <si>
    <t>BANCO SANTANDER RIO</t>
  </si>
  <si>
    <t>RI</t>
  </si>
  <si>
    <t>FAC</t>
  </si>
  <si>
    <t>00202431012024</t>
  </si>
  <si>
    <t>COMAFI</t>
  </si>
  <si>
    <t>BANCO COMAFI SOCIEDAD ANONIMA</t>
  </si>
  <si>
    <t>QUESER</t>
  </si>
  <si>
    <t>QUESERIA Y FIAMBRERIA DON ANGEL S.A.</t>
  </si>
  <si>
    <t>A0001000022865</t>
  </si>
  <si>
    <t>A0001000023031</t>
  </si>
  <si>
    <t>A0001000023189</t>
  </si>
  <si>
    <t>A0001000023258</t>
  </si>
  <si>
    <t>TREGAR</t>
  </si>
  <si>
    <t>GARCIA HERMANOS AGROINDUSTRIAL SRL</t>
  </si>
  <si>
    <t>N/C</t>
  </si>
  <si>
    <t>A0013500224140</t>
  </si>
  <si>
    <t>ANURA</t>
  </si>
  <si>
    <t>CITILAN ARGENTINA S.A.</t>
  </si>
  <si>
    <t>A0000300228947</t>
  </si>
  <si>
    <t>901-543720-4</t>
  </si>
  <si>
    <t>ZURICH</t>
  </si>
  <si>
    <t>ZURICH ASEGURADORA ARGENTINA S.A</t>
  </si>
  <si>
    <t>A0000400285921</t>
  </si>
  <si>
    <t>VERO</t>
  </si>
  <si>
    <t>VERONICA S.A.C.I.A.F.e.I.</t>
  </si>
  <si>
    <t>30-50097982-4</t>
  </si>
  <si>
    <t>A0004300297442</t>
  </si>
  <si>
    <t>MIL</t>
  </si>
  <si>
    <t>MILKAUT S.A.</t>
  </si>
  <si>
    <t>A0062200283753</t>
  </si>
  <si>
    <t>CLARO</t>
  </si>
  <si>
    <t>AMX ARGENTINA SOCIEDAD ANONIMA</t>
  </si>
  <si>
    <t>A0132601005423</t>
  </si>
  <si>
    <t>BUN</t>
  </si>
  <si>
    <t>BUNGE ARGENTINA S.A.</t>
  </si>
  <si>
    <t>A0200900006273</t>
  </si>
  <si>
    <t>MASTEL</t>
  </si>
  <si>
    <t>MASTELLONE HNOS S A</t>
  </si>
  <si>
    <t>A0615602449724</t>
  </si>
  <si>
    <t>OMINT</t>
  </si>
  <si>
    <t>OMINT S.A.</t>
  </si>
  <si>
    <t>A0002101125131</t>
  </si>
  <si>
    <t>00202410102094</t>
  </si>
  <si>
    <t>00202433218951</t>
  </si>
  <si>
    <t>VERISU</t>
  </si>
  <si>
    <t>VERISURE ARGENTINA MONITOREO DE ALARMAS SA</t>
  </si>
  <si>
    <t>A0000100500614</t>
  </si>
  <si>
    <t>LITO</t>
  </si>
  <si>
    <t>SANTAMARIA MOSCHETTA PASCUAL</t>
  </si>
  <si>
    <t>A0000200000814</t>
  </si>
  <si>
    <t>CORRCH</t>
  </si>
  <si>
    <t>CORRUGADOS CHACABUCO</t>
  </si>
  <si>
    <t>A0000300003681</t>
  </si>
  <si>
    <t>T</t>
  </si>
  <si>
    <t>PRODUCTOS ALIMENTICIOS TARTAGAL S R L</t>
  </si>
  <si>
    <t>A0000300101085</t>
  </si>
  <si>
    <t>HERRER</t>
  </si>
  <si>
    <t>HERRERA JORGE EMILIO Y MOJICO EMILIO ALBERTO S H</t>
  </si>
  <si>
    <t>A0000400004408</t>
  </si>
  <si>
    <t>ADO</t>
  </si>
  <si>
    <t>IDEAS Y NEGOCIOS, S.A.</t>
  </si>
  <si>
    <t>A0001000005781</t>
  </si>
  <si>
    <t>DUJOR</t>
  </si>
  <si>
    <t>HEIMENRATH ROSA ARONTHAL DE HEIMENRATH RUBEN ANGEL Y HEIMENR</t>
  </si>
  <si>
    <t>A0100100002789</t>
  </si>
  <si>
    <t>AUSA</t>
  </si>
  <si>
    <t>AUTOPISTAS URBANAS S A</t>
  </si>
  <si>
    <t>A0501100629607</t>
  </si>
  <si>
    <t>A0501400619500</t>
  </si>
  <si>
    <t>BOTMME</t>
  </si>
  <si>
    <t>BOTINDARI MARIA MERCEDES</t>
  </si>
  <si>
    <t>RS</t>
  </si>
  <si>
    <t>C0000100000035</t>
  </si>
  <si>
    <t>DOBARR</t>
  </si>
  <si>
    <t>DOBARRO PAULA MARCELA</t>
  </si>
  <si>
    <t>C0000200000317</t>
  </si>
  <si>
    <t>DOS</t>
  </si>
  <si>
    <t>COMPAÑIA INTRODUCTORA DE BUENOS AIRES S A</t>
  </si>
  <si>
    <t>A0020400098176</t>
  </si>
  <si>
    <t>A0062200113410</t>
  </si>
  <si>
    <t>SAP</t>
  </si>
  <si>
    <t>Molfino Hnos SA</t>
  </si>
  <si>
    <t>A0202000004432</t>
  </si>
  <si>
    <t>A0202000004433</t>
  </si>
  <si>
    <t>A0202000004434</t>
  </si>
  <si>
    <t>00039101019725</t>
  </si>
  <si>
    <t>00039101020392</t>
  </si>
  <si>
    <t>00202494320511</t>
  </si>
  <si>
    <t>BONINI</t>
  </si>
  <si>
    <t>BONINI HORACIO ALBERTO</t>
  </si>
  <si>
    <t>A0000200001037</t>
  </si>
  <si>
    <t>3PL</t>
  </si>
  <si>
    <t>3PL SRL</t>
  </si>
  <si>
    <t>A0000300001398</t>
  </si>
  <si>
    <t>FAI</t>
  </si>
  <si>
    <t>FAINAX SA</t>
  </si>
  <si>
    <t>A0000300005280</t>
  </si>
  <si>
    <t>GILBAR</t>
  </si>
  <si>
    <t>GILBAR COMBUSTIBLES S.A.</t>
  </si>
  <si>
    <t>A0000600014199</t>
  </si>
  <si>
    <t>LODI</t>
  </si>
  <si>
    <t>LODISER S.A.</t>
  </si>
  <si>
    <t>A0009100245410</t>
  </si>
  <si>
    <t>901-039988-2</t>
  </si>
  <si>
    <t>AUSOL</t>
  </si>
  <si>
    <t>AUTOPISTAS DEL SOL SA</t>
  </si>
  <si>
    <t>A0071105776565</t>
  </si>
  <si>
    <t>A0071105779436</t>
  </si>
  <si>
    <t>A0071105781253</t>
  </si>
  <si>
    <t>VAC</t>
  </si>
  <si>
    <t>ERNESTO RODRIGUEZ E HIJOS SA</t>
  </si>
  <si>
    <t>A0100100236946</t>
  </si>
  <si>
    <t>DANONE</t>
  </si>
  <si>
    <t>DANONE ARGENTINA S.A.</t>
  </si>
  <si>
    <t>A0600403644600</t>
  </si>
  <si>
    <t>A0615606799194</t>
  </si>
  <si>
    <t>A0615606799195</t>
  </si>
  <si>
    <t>VILLAD</t>
  </si>
  <si>
    <t>VILLA DANIEL ALEJANDRO</t>
  </si>
  <si>
    <t>C0000300005361</t>
  </si>
  <si>
    <t>A0000300000110</t>
  </si>
  <si>
    <t>INALPA</t>
  </si>
  <si>
    <t>INALPA (INDUSTRIAS ALIMENTICIAS PAVON ARRIBA</t>
  </si>
  <si>
    <t>A0004300004393</t>
  </si>
  <si>
    <t>PANKO</t>
  </si>
  <si>
    <t>TEN TEN S.R.L.</t>
  </si>
  <si>
    <t>A0000700002510</t>
  </si>
  <si>
    <t>1543207-6</t>
  </si>
  <si>
    <t>ARM</t>
  </si>
  <si>
    <t>ARMANDO .J .RIOS</t>
  </si>
  <si>
    <t>A0001600006153</t>
  </si>
  <si>
    <t>PIAMON</t>
  </si>
  <si>
    <t>LA PIAMONTESA S.A.</t>
  </si>
  <si>
    <t>A0006300066147</t>
  </si>
  <si>
    <t>SHIGA</t>
  </si>
  <si>
    <t>SHIGA MOTORS S.A.</t>
  </si>
  <si>
    <t>A0010200046300</t>
  </si>
  <si>
    <t>A0016100199335</t>
  </si>
  <si>
    <t>CAAUS</t>
  </si>
  <si>
    <t>CAMPO AUSTRAL SA</t>
  </si>
  <si>
    <t>A0053900041126</t>
  </si>
  <si>
    <t>MORPLA</t>
  </si>
  <si>
    <t>MOLINOS RIO DE LA PLATA S A</t>
  </si>
  <si>
    <t>A0067900173926</t>
  </si>
  <si>
    <t>A0067900173927</t>
  </si>
  <si>
    <t>CORRVI</t>
  </si>
  <si>
    <t>CORREDORES VIALES S.A.</t>
  </si>
  <si>
    <t>A0070001713413</t>
  </si>
  <si>
    <t>A0070001713689</t>
  </si>
  <si>
    <t>A0070001730819</t>
  </si>
  <si>
    <t>A0070200430978</t>
  </si>
  <si>
    <t>A0070200430979</t>
  </si>
  <si>
    <t>MC</t>
  </si>
  <si>
    <t>MOLINO CAÑUELAS S.A.C.I.F.I.A.</t>
  </si>
  <si>
    <t>A0115200071445</t>
  </si>
  <si>
    <t>REYSEB</t>
  </si>
  <si>
    <t>REY SEBASTIAN MAXIMILIANO</t>
  </si>
  <si>
    <t>C0000200000191</t>
  </si>
  <si>
    <t>MAYANA</t>
  </si>
  <si>
    <t>LABORATORIO MAYANA, S.A.S.</t>
  </si>
  <si>
    <t>A0000100000388</t>
  </si>
  <si>
    <t>FIN</t>
  </si>
  <si>
    <t>FINCA DE SANTIAGO S.A.</t>
  </si>
  <si>
    <t>A0000500000254</t>
  </si>
  <si>
    <t>A0600401767701</t>
  </si>
  <si>
    <t>PAKLOC</t>
  </si>
  <si>
    <t>PUERTO GOURMET SRL</t>
  </si>
  <si>
    <t>A0000100002398</t>
  </si>
  <si>
    <t>YATAST</t>
  </si>
  <si>
    <t>LACTEOS YATASTO SA</t>
  </si>
  <si>
    <t>A0000200021532</t>
  </si>
  <si>
    <t>A0000300001406</t>
  </si>
  <si>
    <t>A0000300001407</t>
  </si>
  <si>
    <t>PLENTY</t>
  </si>
  <si>
    <t>ROJAS PROYECTO III S.A.</t>
  </si>
  <si>
    <t>A0000800003348</t>
  </si>
  <si>
    <t>BA</t>
  </si>
  <si>
    <t>BAVOSI S.A</t>
  </si>
  <si>
    <t>A0011500143617</t>
  </si>
  <si>
    <t>A0011500143618</t>
  </si>
  <si>
    <t>A0011500143622</t>
  </si>
  <si>
    <t>A0062200285040</t>
  </si>
  <si>
    <t>A0200200290094</t>
  </si>
  <si>
    <t>A0600403646474</t>
  </si>
  <si>
    <t>A0615606803082</t>
  </si>
  <si>
    <t>OPESSA</t>
  </si>
  <si>
    <t>OPERAD. DE EST. DE SERV. S.A</t>
  </si>
  <si>
    <t>A0729800031523</t>
  </si>
  <si>
    <t>A0798000028739</t>
  </si>
  <si>
    <t>A0115200006664</t>
  </si>
  <si>
    <t>00202433219411</t>
  </si>
  <si>
    <t>00202493760212</t>
  </si>
  <si>
    <t>GOICOE</t>
  </si>
  <si>
    <t>GOICOECHEA SERGIO DANIEL</t>
  </si>
  <si>
    <t>A0000200000038</t>
  </si>
  <si>
    <t>A0000200021598</t>
  </si>
  <si>
    <t>DOMSEL</t>
  </si>
  <si>
    <t>COMBUSTIBLES DOMSELAAR</t>
  </si>
  <si>
    <t>A0000300001152</t>
  </si>
  <si>
    <t>JUMBA</t>
  </si>
  <si>
    <t>OLIVOS DEL NORTE S.R.L.</t>
  </si>
  <si>
    <t>A0000300050560</t>
  </si>
  <si>
    <t>A0000300101224</t>
  </si>
  <si>
    <t>QUIRIC</t>
  </si>
  <si>
    <t>QUIRICO RUBEN JUAN</t>
  </si>
  <si>
    <t>A0000400001159</t>
  </si>
  <si>
    <t>LA</t>
  </si>
  <si>
    <t>INTERNACIONAL DE PRODUCTOS S A</t>
  </si>
  <si>
    <t>A0001200080291</t>
  </si>
  <si>
    <t>PESQVE</t>
  </si>
  <si>
    <t>PESQUERA VERAZ S. A.</t>
  </si>
  <si>
    <t>A0001800005757</t>
  </si>
  <si>
    <t>CALSA</t>
  </si>
  <si>
    <t>COMPAÑIA ARGENTINA DE LEVADURAS S A I C</t>
  </si>
  <si>
    <t>A0004600402514</t>
  </si>
  <si>
    <t>A0200200290321</t>
  </si>
  <si>
    <t>TEL</t>
  </si>
  <si>
    <t>TELECOM ARGENTINA S.A</t>
  </si>
  <si>
    <t>A0395001900905</t>
  </si>
  <si>
    <t>A0006300022060</t>
  </si>
  <si>
    <t>A0600401769457</t>
  </si>
  <si>
    <t>A0615602565677</t>
  </si>
  <si>
    <t>A0016100199622</t>
  </si>
  <si>
    <t>CARREF</t>
  </si>
  <si>
    <t>INC  SOCIEDAD ANONIMA</t>
  </si>
  <si>
    <t>A1589500000814</t>
  </si>
  <si>
    <t>00202490002801</t>
  </si>
  <si>
    <t>ROLLS</t>
  </si>
  <si>
    <t>ROLLS Y EMPANADAS S.A.</t>
  </si>
  <si>
    <t>A0000100000820</t>
  </si>
  <si>
    <t>AG</t>
  </si>
  <si>
    <t>BARDONI HERNAN EDUARDO</t>
  </si>
  <si>
    <t>A0000400001471</t>
  </si>
  <si>
    <t>A0000400001472</t>
  </si>
  <si>
    <t>A0000400001473</t>
  </si>
  <si>
    <t>VITIVI</t>
  </si>
  <si>
    <t>COOPERATIVA VITIVINIFRUTICOLA GENERAL ALVEAR LIMITADA</t>
  </si>
  <si>
    <t>A0001000013726</t>
  </si>
  <si>
    <t>MILKWO</t>
  </si>
  <si>
    <t>MILK WORLD SA</t>
  </si>
  <si>
    <t>A0001200053935</t>
  </si>
  <si>
    <t>FRA</t>
  </si>
  <si>
    <t>FRADEALCO SA</t>
  </si>
  <si>
    <t>A0001400066484</t>
  </si>
  <si>
    <t>UNI</t>
  </si>
  <si>
    <t>UNILEVER DE ARGENTINA S A</t>
  </si>
  <si>
    <t>A0043701670551</t>
  </si>
  <si>
    <t>A0043701670552</t>
  </si>
  <si>
    <t>A0043701670553</t>
  </si>
  <si>
    <t>A0043701670554</t>
  </si>
  <si>
    <t>A0043701670555</t>
  </si>
  <si>
    <t>A0043701670556</t>
  </si>
  <si>
    <t>A0200900038502</t>
  </si>
  <si>
    <t>A0200900038503</t>
  </si>
  <si>
    <t>A0200900038504</t>
  </si>
  <si>
    <t>A0200900038505</t>
  </si>
  <si>
    <t>A0693800021418</t>
  </si>
  <si>
    <t>A0202000004460</t>
  </si>
  <si>
    <t>00202409000440</t>
  </si>
  <si>
    <t>GALICI</t>
  </si>
  <si>
    <t>BANCO DE GALICIA Y BUENOS AIRES S A U</t>
  </si>
  <si>
    <t>00202411062024</t>
  </si>
  <si>
    <t>STAPLE</t>
  </si>
  <si>
    <t>STAPLER S R L</t>
  </si>
  <si>
    <t>A0000500006287</t>
  </si>
  <si>
    <t>901-066377-1</t>
  </si>
  <si>
    <t>MR</t>
  </si>
  <si>
    <t>MORIXE HERMANOS S.A.C.I.</t>
  </si>
  <si>
    <t>A0000900017114</t>
  </si>
  <si>
    <t>PRO EX</t>
  </si>
  <si>
    <t>PRO EXCEL S A</t>
  </si>
  <si>
    <t>A0001700008475</t>
  </si>
  <si>
    <t>SANVIC</t>
  </si>
  <si>
    <t>CEREALES SAN VICENTE SRL</t>
  </si>
  <si>
    <t>A0002900000037</t>
  </si>
  <si>
    <t>A0004600402737</t>
  </si>
  <si>
    <t>A0004600402738</t>
  </si>
  <si>
    <t>A0021800161739</t>
  </si>
  <si>
    <t>A0021800161740</t>
  </si>
  <si>
    <t>A0100100237257</t>
  </si>
  <si>
    <t>A0100100237258</t>
  </si>
  <si>
    <t>BAHIA</t>
  </si>
  <si>
    <t>REGIONAL TRADE S.A.U</t>
  </si>
  <si>
    <t>A0110200025072</t>
  </si>
  <si>
    <t>921-741956-7</t>
  </si>
  <si>
    <t>A0200200290737</t>
  </si>
  <si>
    <t>AXION</t>
  </si>
  <si>
    <t>PAN AMERICAN ENERGY, S.L.,  SUC ARG</t>
  </si>
  <si>
    <t>A0517800015964</t>
  </si>
  <si>
    <t>A0600403652135</t>
  </si>
  <si>
    <t>A0615606811099</t>
  </si>
  <si>
    <t>A0001200013512</t>
  </si>
  <si>
    <t>A0053900011958</t>
  </si>
  <si>
    <t>BELLOT</t>
  </si>
  <si>
    <t>BELLOTO LUIS MIGUEL</t>
  </si>
  <si>
    <t>A0000100000103</t>
  </si>
  <si>
    <t>A0000200021775</t>
  </si>
  <si>
    <t>A0000300101337</t>
  </si>
  <si>
    <t>AB</t>
  </si>
  <si>
    <t>GOOD FOOD S.A.</t>
  </si>
  <si>
    <t>A0000400029569</t>
  </si>
  <si>
    <t>SHELL</t>
  </si>
  <si>
    <t>CONTITUYENTES 1806 S.A.</t>
  </si>
  <si>
    <t>A0001200048134</t>
  </si>
  <si>
    <t>REMOTT</t>
  </si>
  <si>
    <t>REMOTTI S. A.</t>
  </si>
  <si>
    <t>A0003200082792</t>
  </si>
  <si>
    <t>A0011500143823</t>
  </si>
  <si>
    <t>A0011500143824</t>
  </si>
  <si>
    <t>A0053900041282</t>
  </si>
  <si>
    <t>A0788200027528</t>
  </si>
  <si>
    <t>00202410315491</t>
  </si>
  <si>
    <t>00202490006101</t>
  </si>
  <si>
    <t>00202490014301</t>
  </si>
  <si>
    <t>GCRSA</t>
  </si>
  <si>
    <t>GCR SA</t>
  </si>
  <si>
    <t>A0000400021439</t>
  </si>
  <si>
    <t>MASNUT</t>
  </si>
  <si>
    <t>MAS NUTRICION S.A.</t>
  </si>
  <si>
    <t>30-71414473-8</t>
  </si>
  <si>
    <t>A0000600001251</t>
  </si>
  <si>
    <t>3ARROY</t>
  </si>
  <si>
    <t xml:space="preserve"> 3 ARROYOS S.A</t>
  </si>
  <si>
    <t>A0002000001747</t>
  </si>
  <si>
    <t>A0016100199929</t>
  </si>
  <si>
    <t>A0062200287179</t>
  </si>
  <si>
    <t>A0200200290944</t>
  </si>
  <si>
    <t>A0200900038575</t>
  </si>
  <si>
    <t>A0200900038576</t>
  </si>
  <si>
    <t>A0600403654977</t>
  </si>
  <si>
    <t>A0615606815008</t>
  </si>
  <si>
    <t>A0615606815009</t>
  </si>
  <si>
    <t>A0726000016190</t>
  </si>
  <si>
    <t>C0000200000322</t>
  </si>
  <si>
    <t>A0000500000262</t>
  </si>
  <si>
    <t>A0043700298837</t>
  </si>
  <si>
    <t>A0043700298915</t>
  </si>
  <si>
    <t>A0043700298918</t>
  </si>
  <si>
    <t>00202405501704</t>
  </si>
  <si>
    <t>00202405501705</t>
  </si>
  <si>
    <t>00202490004601</t>
  </si>
  <si>
    <t>LAUDAN</t>
  </si>
  <si>
    <t>LUBO RAFAEL FABIAN</t>
  </si>
  <si>
    <t>A0000200000629</t>
  </si>
  <si>
    <t>TRAFIN</t>
  </si>
  <si>
    <t>TRAFIND S.A.I.C</t>
  </si>
  <si>
    <t>A0000200005675</t>
  </si>
  <si>
    <t>A0001000005798</t>
  </si>
  <si>
    <t>A0001000024233</t>
  </si>
  <si>
    <t>ALVARE</t>
  </si>
  <si>
    <t>ALVAREZ DARIO BERNARDO</t>
  </si>
  <si>
    <t>A0001100042231</t>
  </si>
  <si>
    <t>AVA</t>
  </si>
  <si>
    <t>A.V.A. S.A.</t>
  </si>
  <si>
    <t>A0001200001795</t>
  </si>
  <si>
    <t>COMJOV</t>
  </si>
  <si>
    <t>COMIDAS JOVENES SA</t>
  </si>
  <si>
    <t>A0002000004859</t>
  </si>
  <si>
    <t>A0009000443348</t>
  </si>
  <si>
    <t>A0009000443350</t>
  </si>
  <si>
    <t>A0009000443353</t>
  </si>
  <si>
    <t>A0009100246550</t>
  </si>
  <si>
    <t>ROS</t>
  </si>
  <si>
    <t>HREÑUK SA</t>
  </si>
  <si>
    <t>A0010100044411</t>
  </si>
  <si>
    <t>A0011500144024</t>
  </si>
  <si>
    <t>A0011500144025</t>
  </si>
  <si>
    <t>A0200200291209</t>
  </si>
  <si>
    <t>A0200200291210</t>
  </si>
  <si>
    <t>CEAMSE</t>
  </si>
  <si>
    <t>COORDINACION ECOLOGICA AREA METROPOLITANA SOCIEDAD DEL ESTAD</t>
  </si>
  <si>
    <t>A0011303657291</t>
  </si>
  <si>
    <t>A0011303658130</t>
  </si>
  <si>
    <t>A0601000055694</t>
  </si>
  <si>
    <t>A0000300051060</t>
  </si>
  <si>
    <t>A0071105833794</t>
  </si>
  <si>
    <t>A0071105836637</t>
  </si>
  <si>
    <t>A0071105838441</t>
  </si>
  <si>
    <t>A0501100638662</t>
  </si>
  <si>
    <t>A0501400624249</t>
  </si>
  <si>
    <t>CIRCMB</t>
  </si>
  <si>
    <t>CIRCULO CERRADO SA DE AHORRO PARA FINES DETERMINADOS</t>
  </si>
  <si>
    <t>00202410746316</t>
  </si>
  <si>
    <t>00202410746415</t>
  </si>
  <si>
    <t>00202410746515</t>
  </si>
  <si>
    <t>00202460044313</t>
  </si>
  <si>
    <t>00202490036201</t>
  </si>
  <si>
    <t>A0000300101508</t>
  </si>
  <si>
    <t>A0000400029646</t>
  </si>
  <si>
    <t>FERJUN</t>
  </si>
  <si>
    <t>MANTI LEONARDO PABLO</t>
  </si>
  <si>
    <t>A0000500006174</t>
  </si>
  <si>
    <t>A0001000024361</t>
  </si>
  <si>
    <t>A0001200054347</t>
  </si>
  <si>
    <t>DV</t>
  </si>
  <si>
    <t>LA DOLCE SRL</t>
  </si>
  <si>
    <t>A0006000312278</t>
  </si>
  <si>
    <t>A0600403659214</t>
  </si>
  <si>
    <t>A0615606820728</t>
  </si>
  <si>
    <t>A0805200012275</t>
  </si>
  <si>
    <t>ZUNINO</t>
  </si>
  <si>
    <t>ZUNINO MARTIN</t>
  </si>
  <si>
    <t>C0000200000098</t>
  </si>
  <si>
    <t>A0011500031571</t>
  </si>
  <si>
    <t>A0016100051397</t>
  </si>
  <si>
    <t>A0025000344495</t>
  </si>
  <si>
    <t>00202419062024</t>
  </si>
  <si>
    <t>00202490018001</t>
  </si>
  <si>
    <t>00202490020901</t>
  </si>
  <si>
    <t>A0000100000105</t>
  </si>
  <si>
    <t>A0000100000821</t>
  </si>
  <si>
    <t>GARCIA</t>
  </si>
  <si>
    <t>GARCIA MARCELO  F</t>
  </si>
  <si>
    <t>A0000100005883</t>
  </si>
  <si>
    <t>A0000300001416</t>
  </si>
  <si>
    <t>A0000300001417</t>
  </si>
  <si>
    <t>DSM</t>
  </si>
  <si>
    <t>VALENTI SEBASTIAN Y VALENTI LUIS SOCIEDAD SIMPLE</t>
  </si>
  <si>
    <t>A0000300003940</t>
  </si>
  <si>
    <t>MEDICA</t>
  </si>
  <si>
    <t>MEDICARDIO S R L</t>
  </si>
  <si>
    <t>A0001000081286</t>
  </si>
  <si>
    <t>A0004600403333</t>
  </si>
  <si>
    <t>A0004600403334</t>
  </si>
  <si>
    <t>A0016100200438</t>
  </si>
  <si>
    <t>A0070200432872</t>
  </si>
  <si>
    <t>A0070200432873</t>
  </si>
  <si>
    <t>A0100100002805</t>
  </si>
  <si>
    <t>A0200900038673</t>
  </si>
  <si>
    <t>A0200900038674</t>
  </si>
  <si>
    <t>A0200900038675</t>
  </si>
  <si>
    <t>A0000300000135</t>
  </si>
  <si>
    <t>A0000400002005</t>
  </si>
  <si>
    <t>A0001200004301</t>
  </si>
  <si>
    <t>A0200900006304</t>
  </si>
  <si>
    <t>SERVEX</t>
  </si>
  <si>
    <t>SERVEX PANAMERICANA S.R.L.</t>
  </si>
  <si>
    <t>A0001500006840</t>
  </si>
  <si>
    <t>A0062200289191</t>
  </si>
  <si>
    <t>A0200200291774</t>
  </si>
  <si>
    <t>A0200200291775</t>
  </si>
  <si>
    <t>IPLAN</t>
  </si>
  <si>
    <t>NSS SA</t>
  </si>
  <si>
    <t>A0000503060122</t>
  </si>
  <si>
    <t>A0000503060123</t>
  </si>
  <si>
    <t>TAR</t>
  </si>
  <si>
    <t>TARTARELLI JUAN MANUEL</t>
  </si>
  <si>
    <t>C0000200000361</t>
  </si>
  <si>
    <t>A0600401777977</t>
  </si>
  <si>
    <t>A0004300299915</t>
  </si>
  <si>
    <t>00202409003991</t>
  </si>
  <si>
    <t>00202490039901</t>
  </si>
  <si>
    <t>MAG</t>
  </si>
  <si>
    <t>LO GIUDICE CARLOS DANIEL</t>
  </si>
  <si>
    <t>A0000200002580</t>
  </si>
  <si>
    <t>A0000300101654</t>
  </si>
  <si>
    <t>HUARPE</t>
  </si>
  <si>
    <t>LOS HUARPES SRL</t>
  </si>
  <si>
    <t>A0000900041038</t>
  </si>
  <si>
    <t>A0001200080432</t>
  </si>
  <si>
    <t>MANSUE</t>
  </si>
  <si>
    <t>MANSUE S A</t>
  </si>
  <si>
    <t>A0002000027560</t>
  </si>
  <si>
    <t>A0011500144167</t>
  </si>
  <si>
    <t>A0016100200770</t>
  </si>
  <si>
    <t>A0070001744685</t>
  </si>
  <si>
    <t>A0070001761187</t>
  </si>
  <si>
    <t>PERUZZ</t>
  </si>
  <si>
    <t>PERUZZOTTI CAROLINA</t>
  </si>
  <si>
    <t>C0000700000076</t>
  </si>
  <si>
    <t>C0000700000077</t>
  </si>
  <si>
    <t>A0066700293451</t>
  </si>
  <si>
    <t>00202425062024</t>
  </si>
  <si>
    <t>00202480003101</t>
  </si>
  <si>
    <t>A0000300005311</t>
  </si>
  <si>
    <t>FIRST</t>
  </si>
  <si>
    <t>FIRST STEP SA</t>
  </si>
  <si>
    <t>A0000300105651</t>
  </si>
  <si>
    <t>GNCDEL</t>
  </si>
  <si>
    <t>GNC DEL CARMEN S.A.</t>
  </si>
  <si>
    <t>A0000800008538</t>
  </si>
  <si>
    <t>YAPAYN</t>
  </si>
  <si>
    <t>YAPAY NEASA SRL S. R. L.</t>
  </si>
  <si>
    <t>A0003000010019</t>
  </si>
  <si>
    <t>A0006300066353</t>
  </si>
  <si>
    <t>A0100100237847</t>
  </si>
  <si>
    <t>A0100100237848</t>
  </si>
  <si>
    <t>A0600403666547</t>
  </si>
  <si>
    <t>A0615606831764</t>
  </si>
  <si>
    <t>A0820000009552</t>
  </si>
  <si>
    <t>DULFIX</t>
  </si>
  <si>
    <t>DULFIX SA</t>
  </si>
  <si>
    <t>A0001000155724</t>
  </si>
  <si>
    <t>UNITY</t>
  </si>
  <si>
    <t>UNITY OIL SA</t>
  </si>
  <si>
    <t>A0001600088148</t>
  </si>
  <si>
    <t>A0053900041530</t>
  </si>
  <si>
    <t>A0200200292474</t>
  </si>
  <si>
    <t>RUGNON</t>
  </si>
  <si>
    <t>RUGNONE MARIA FERNANDA</t>
  </si>
  <si>
    <t>C0000200000130</t>
  </si>
  <si>
    <t>MAROL</t>
  </si>
  <si>
    <t>MAROLIO S.A.</t>
  </si>
  <si>
    <t>A0011000095853</t>
  </si>
  <si>
    <t>A0600401780512</t>
  </si>
  <si>
    <t>MARCOS</t>
  </si>
  <si>
    <t>MARCOS SCHMUKLER S A</t>
  </si>
  <si>
    <t>A0001000045043</t>
  </si>
  <si>
    <t>A0001000077605</t>
  </si>
  <si>
    <t>A0001200048518</t>
  </si>
  <si>
    <t>A0001200054848</t>
  </si>
  <si>
    <t>A0001800005797</t>
  </si>
  <si>
    <t>A0002000001765</t>
  </si>
  <si>
    <t>A0016100201030</t>
  </si>
  <si>
    <t>A0062200291059</t>
  </si>
  <si>
    <t>DEHEZA</t>
  </si>
  <si>
    <t>DEHEZA S.A.</t>
  </si>
  <si>
    <t>A0203400156211</t>
  </si>
  <si>
    <t>A0600403669438</t>
  </si>
  <si>
    <t>A0615606836277</t>
  </si>
  <si>
    <t>GOLDFE</t>
  </si>
  <si>
    <t>GOLDFEDER ERNESTO RAUL</t>
  </si>
  <si>
    <t>M0000500000039</t>
  </si>
  <si>
    <t>A0011500031665</t>
  </si>
  <si>
    <t>A0011500031671</t>
  </si>
  <si>
    <t>A0011500031685</t>
  </si>
  <si>
    <t>A0616200041536</t>
  </si>
  <si>
    <t>PROVIN</t>
  </si>
  <si>
    <t>BANCO DE LA PROVINCIA DE BUENOS AIRES</t>
  </si>
  <si>
    <t>EX</t>
  </si>
  <si>
    <t>00202415528523</t>
  </si>
  <si>
    <t>MAIZOL</t>
  </si>
  <si>
    <t>ACEITERA GERASOLES S.A.</t>
  </si>
  <si>
    <t>A0000100000569</t>
  </si>
  <si>
    <t>MIRAND</t>
  </si>
  <si>
    <t>MIRANDA ANTONIO MANUEL</t>
  </si>
  <si>
    <t>A0000200002221</t>
  </si>
  <si>
    <t>LUCANE</t>
  </si>
  <si>
    <t>LUCANERA ALFREDO ADOLFO</t>
  </si>
  <si>
    <t>A0000400004886</t>
  </si>
  <si>
    <t>A0004600403798</t>
  </si>
  <si>
    <t>A0010000033850</t>
  </si>
  <si>
    <t>A0011000089358</t>
  </si>
  <si>
    <t>A0011000089359</t>
  </si>
  <si>
    <t>A0011000089375</t>
  </si>
  <si>
    <t>A0013500026322</t>
  </si>
  <si>
    <t>A0043701678604</t>
  </si>
  <si>
    <t>A0043701678605</t>
  </si>
  <si>
    <t>A0043701678606</t>
  </si>
  <si>
    <t>A0200200292735</t>
  </si>
  <si>
    <t>A0000100000399</t>
  </si>
  <si>
    <t>A0000300000114</t>
  </si>
  <si>
    <t>A0011000095881</t>
  </si>
  <si>
    <t>A0011000095883</t>
  </si>
  <si>
    <t>A0011000095891</t>
  </si>
  <si>
    <t>A0601000056022</t>
  </si>
  <si>
    <t>00202430062024</t>
  </si>
  <si>
    <t>AUBASA</t>
  </si>
  <si>
    <t>AUTOPISTAS DE BUENOS AIRES (AUBASA) SA</t>
  </si>
  <si>
    <t>A0005003682372</t>
  </si>
  <si>
    <t>A0005003683114</t>
  </si>
  <si>
    <t>A0011303682066</t>
  </si>
  <si>
    <t>A0011303682971</t>
  </si>
  <si>
    <t>A0011303683763</t>
  </si>
  <si>
    <t>A0501100647289</t>
  </si>
  <si>
    <t>A0501400628600</t>
  </si>
  <si>
    <t>A0636408420649</t>
  </si>
  <si>
    <t>30500008454</t>
  </si>
  <si>
    <t>30604731018</t>
  </si>
  <si>
    <t>30711758034</t>
  </si>
  <si>
    <t>30566108352</t>
  </si>
  <si>
    <t>30707135596</t>
  </si>
  <si>
    <t>30500036393</t>
  </si>
  <si>
    <t>30500979824</t>
  </si>
  <si>
    <t>30682032630</t>
  </si>
  <si>
    <t>30663288497</t>
  </si>
  <si>
    <t>30700869918</t>
  </si>
  <si>
    <t>30547242331</t>
  </si>
  <si>
    <t>30550245309</t>
  </si>
  <si>
    <t>33716307749</t>
  </si>
  <si>
    <t>20084318362</t>
  </si>
  <si>
    <t>30716838265</t>
  </si>
  <si>
    <t>30703957478</t>
  </si>
  <si>
    <t>30683631988</t>
  </si>
  <si>
    <t>30708784687</t>
  </si>
  <si>
    <t>30503430165</t>
  </si>
  <si>
    <t>30574876474</t>
  </si>
  <si>
    <t>27444490204</t>
  </si>
  <si>
    <t>27206941419</t>
  </si>
  <si>
    <t>30501290323</t>
  </si>
  <si>
    <t>30500768262</t>
  </si>
  <si>
    <t>23148561699</t>
  </si>
  <si>
    <t>30714746436</t>
  </si>
  <si>
    <t>33714191999</t>
  </si>
  <si>
    <t>30712201467</t>
  </si>
  <si>
    <t>30707059806</t>
  </si>
  <si>
    <t>30677237119</t>
  </si>
  <si>
    <t>30586611522</t>
  </si>
  <si>
    <t>30501116242</t>
  </si>
  <si>
    <t>20180563017</t>
  </si>
  <si>
    <t>30567020734</t>
  </si>
  <si>
    <t>30715830236</t>
  </si>
  <si>
    <t>33540545419</t>
  </si>
  <si>
    <t>30503861638</t>
  </si>
  <si>
    <t>30715753541</t>
  </si>
  <si>
    <t>30663197599</t>
  </si>
  <si>
    <t>30500858628</t>
  </si>
  <si>
    <t>30715804812</t>
  </si>
  <si>
    <t>30507950848</t>
  </si>
  <si>
    <t>20330065983</t>
  </si>
  <si>
    <t>30716423030</t>
  </si>
  <si>
    <t>30709571717</t>
  </si>
  <si>
    <t>30716161109</t>
  </si>
  <si>
    <t>30714786667</t>
  </si>
  <si>
    <t>30709160180</t>
  </si>
  <si>
    <t>30629646708</t>
  </si>
  <si>
    <t>30678774495</t>
  </si>
  <si>
    <t>20200362951</t>
  </si>
  <si>
    <t>30717653579</t>
  </si>
  <si>
    <t>30711497974</t>
  </si>
  <si>
    <t>20108321769</t>
  </si>
  <si>
    <t>30697646627</t>
  </si>
  <si>
    <t>30624419193</t>
  </si>
  <si>
    <t>30532149793</t>
  </si>
  <si>
    <t>30639453738</t>
  </si>
  <si>
    <t>30687310434</t>
  </si>
  <si>
    <t>30715048066</t>
  </si>
  <si>
    <t>20243348677</t>
  </si>
  <si>
    <t>30518025879</t>
  </si>
  <si>
    <t>30708938021</t>
  </si>
  <si>
    <t>30602608790</t>
  </si>
  <si>
    <t>30501092696</t>
  </si>
  <si>
    <t>30500001735</t>
  </si>
  <si>
    <t>30696282672</t>
  </si>
  <si>
    <t>30525346389</t>
  </si>
  <si>
    <t>30645722937</t>
  </si>
  <si>
    <t>30711022593</t>
  </si>
  <si>
    <t>30640382097</t>
  </si>
  <si>
    <t>30695542476</t>
  </si>
  <si>
    <t>20301971479</t>
  </si>
  <si>
    <t>30645830446</t>
  </si>
  <si>
    <t>30709114103</t>
  </si>
  <si>
    <t>30501214279</t>
  </si>
  <si>
    <t>30707225609</t>
  </si>
  <si>
    <t>30714144738</t>
  </si>
  <si>
    <t>30594465497</t>
  </si>
  <si>
    <t>23230234469</t>
  </si>
  <si>
    <t>30504504669</t>
  </si>
  <si>
    <t>20148190489</t>
  </si>
  <si>
    <t>30709151041</t>
  </si>
  <si>
    <t>30618899612</t>
  </si>
  <si>
    <t>30522250356</t>
  </si>
  <si>
    <t>30577207190</t>
  </si>
  <si>
    <t>30592717340</t>
  </si>
  <si>
    <t>20173709782</t>
  </si>
  <si>
    <t>33707259839</t>
  </si>
  <si>
    <t>20317431954</t>
  </si>
  <si>
    <t>20184111110</t>
  </si>
  <si>
    <t>30715296132</t>
  </si>
  <si>
    <t>30612430973</t>
  </si>
  <si>
    <t>30711163413</t>
  </si>
  <si>
    <t>30702652975</t>
  </si>
  <si>
    <t>20245294825</t>
  </si>
  <si>
    <t>20180575023</t>
  </si>
  <si>
    <t>30585754869</t>
  </si>
  <si>
    <t>30709543969</t>
  </si>
  <si>
    <t>27316244918</t>
  </si>
  <si>
    <t>30710214472</t>
  </si>
  <si>
    <t>30709485136</t>
  </si>
  <si>
    <t>30695243673</t>
  </si>
  <si>
    <t>30642219355</t>
  </si>
  <si>
    <t>30660259003</t>
  </si>
  <si>
    <t>27165799203</t>
  </si>
  <si>
    <t>30711303592</t>
  </si>
  <si>
    <t>30552910512</t>
  </si>
  <si>
    <t>30516186670</t>
  </si>
  <si>
    <t>20173190817</t>
  </si>
  <si>
    <t>33999242109</t>
  </si>
  <si>
    <t>33717710229</t>
  </si>
  <si>
    <t>20222413061</t>
  </si>
  <si>
    <t>20055036579</t>
  </si>
  <si>
    <t>30714112836</t>
  </si>
  <si>
    <t>GUIA</t>
  </si>
  <si>
    <t>Fecha</t>
  </si>
  <si>
    <t>Tipo</t>
  </si>
  <si>
    <t>Punto de Venta</t>
  </si>
  <si>
    <t>Número Desde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</si>
  <si>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</si>
  <si>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</si>
  <si>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</si>
  <si>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</si>
  <si>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</si>
  <si>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</si>
  <si>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</si>
  <si>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</si>
  <si>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</si>
  <si>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</si>
  <si>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IVA</t>
  </si>
  <si>
    <t>Imp. Total</t>
  </si>
  <si>
    <t>01/06/2024</t>
  </si>
  <si>
    <t>1 - Factura A</t>
  </si>
  <si>
    <t>CUIT</t>
  </si>
  <si>
    <t>$</t>
  </si>
  <si>
    <t>MILKAUT SA</t>
  </si>
  <si>
    <t>VERONICA S A C I A F E I</t>
  </si>
  <si>
    <t>3 - Nota de Crédito A</t>
  </si>
  <si>
    <t>BUNGE ARGENTINA S A</t>
  </si>
  <si>
    <t>02/06/2024</t>
  </si>
  <si>
    <t>OMINT SOCIEDAD ANONIMA DE SERVICIOS</t>
  </si>
  <si>
    <t>03/06/2024</t>
  </si>
  <si>
    <t>HEIMENRATH ROSA ARONTHAL DE HEIMENRATH RUBEN ANGEL Y HEIMENRATH JORGE MARIO</t>
  </si>
  <si>
    <t>IDEAS Y NEGOCIOS S.A.</t>
  </si>
  <si>
    <t>MOLFINO HNOS SOCIEDAD ANONIMA</t>
  </si>
  <si>
    <t>11 - Factura C</t>
  </si>
  <si>
    <t>04/06/2024</t>
  </si>
  <si>
    <t>GRUPO CONCESIONARIO DEL OESTE SA</t>
  </si>
  <si>
    <t>AUTOPISTAS DEL SOL S A</t>
  </si>
  <si>
    <t>FAINAX S.A.</t>
  </si>
  <si>
    <t>LODISER SA</t>
  </si>
  <si>
    <t>DANONE ARGENTINA SOCIEDAD ANONIMA</t>
  </si>
  <si>
    <t>INALPA INDUSTRIAS ALIMENTICIAS PAVON ARRIBA S.A.</t>
  </si>
  <si>
    <t>05/06/2024</t>
  </si>
  <si>
    <t>OPERADORA DE ESTACIONES DE SERVICIOS SA</t>
  </si>
  <si>
    <t>ARMANDO J RIOS S ACIF</t>
  </si>
  <si>
    <t>CORREDORES VIALES SOCIEDAD ANONIMA</t>
  </si>
  <si>
    <t>COCA COLA FEMSA DE BUENOS AIRES S A</t>
  </si>
  <si>
    <t>MOLINO CAÑUELAS SOCIEDAD ANONIMA COMERCIAL INDUSTRIAL  FINANCIERA INMOBILIARIA Y AGROPECUARIA</t>
  </si>
  <si>
    <t>LABORATORIO MAYANA</t>
  </si>
  <si>
    <t>FINCA DE SANTIAGO SA</t>
  </si>
  <si>
    <t>VARGAS ARIEL GUSTAVO</t>
  </si>
  <si>
    <t>06/06/2024</t>
  </si>
  <si>
    <t>BAVOSI SOCIEDAD ANONIMA</t>
  </si>
  <si>
    <t>07/06/2024</t>
  </si>
  <si>
    <t>TELECOM ARGENTINA SOCIEDAD ANONIMA</t>
  </si>
  <si>
    <t>08/06/2024</t>
  </si>
  <si>
    <t>10/06/2024</t>
  </si>
  <si>
    <t>MILK WORLD S.A.</t>
  </si>
  <si>
    <t>FRADEALCO S A</t>
  </si>
  <si>
    <t>11/06/2024</t>
  </si>
  <si>
    <t>MAGALLANES DANIEL SEBASTIAN</t>
  </si>
  <si>
    <t>FIS EMPRESA SOCIAL  SA</t>
  </si>
  <si>
    <t>MORIXE HERMANOS SOCIEDAD ANONIMA COMERCIAL E INDUSTRIAL</t>
  </si>
  <si>
    <t>12/06/2024</t>
  </si>
  <si>
    <t>JOSE MATILDO CASTRO Y ROBERTO HORACIO BAMBA</t>
  </si>
  <si>
    <t>GOOD FOOD SA</t>
  </si>
  <si>
    <t>CAMARA ARGENTINA DE TRANSPORTE AUTOMOTOR DE MERCANCIAS Y RESIDUOS PELIGROSOS</t>
  </si>
  <si>
    <t>13/06/2024</t>
  </si>
  <si>
    <t>3 ARROYOS S A</t>
  </si>
  <si>
    <t>14/06/2024</t>
  </si>
  <si>
    <t>A.V.A. SOCIEDAD ANONIMA</t>
  </si>
  <si>
    <t>15/06/2024</t>
  </si>
  <si>
    <t>COORDINACION ECOLOGICA AREA METROPOLITANA SOCIEDAD DEL ESTADO</t>
  </si>
  <si>
    <t>16/06/2024</t>
  </si>
  <si>
    <t>17/06/2024</t>
  </si>
  <si>
    <t>18/06/2024</t>
  </si>
  <si>
    <t>19/06/2024</t>
  </si>
  <si>
    <t>2 - Nota de Débito A</t>
  </si>
  <si>
    <t>20/06/2024</t>
  </si>
  <si>
    <t>21/06/2024</t>
  </si>
  <si>
    <t>LEURU SA</t>
  </si>
  <si>
    <t>22/06/2024</t>
  </si>
  <si>
    <t>24/06/2024</t>
  </si>
  <si>
    <t>25/06/2024</t>
  </si>
  <si>
    <t>BIGAR S.A.</t>
  </si>
  <si>
    <t>CASELLA ROBERTO CARLOS</t>
  </si>
  <si>
    <t>26/06/2024</t>
  </si>
  <si>
    <t>27/06/2024</t>
  </si>
  <si>
    <t>DEHEZA SOCIEDAD ANONIMA INDUSTRIAL COMERCIAL FINANCIERA INMOBILIARIA</t>
  </si>
  <si>
    <t>51 - Factura M</t>
  </si>
  <si>
    <t>28/06/2024</t>
  </si>
  <si>
    <t>29/06/2024</t>
  </si>
  <si>
    <t>30/06/2024</t>
  </si>
  <si>
    <t>SE ANULA E/SI</t>
  </si>
  <si>
    <t>LO TIENE CELES</t>
  </si>
  <si>
    <t>PEDIR A GERENCIA</t>
  </si>
  <si>
    <t>PEDIR A LOGISTICA</t>
  </si>
  <si>
    <t>VIENT</t>
  </si>
  <si>
    <t>VIENTOS VERDES S.R.L.</t>
  </si>
  <si>
    <t>A0001400024628</t>
  </si>
  <si>
    <t>FEMSA</t>
  </si>
  <si>
    <t>A0060100264433</t>
  </si>
  <si>
    <t>A0060100264434</t>
  </si>
  <si>
    <t>VARG</t>
  </si>
  <si>
    <t>C0000200000006</t>
  </si>
  <si>
    <t>A0060300057049</t>
  </si>
  <si>
    <t>DECO</t>
  </si>
  <si>
    <t>A0000500006235</t>
  </si>
  <si>
    <t>A0000500006236</t>
  </si>
  <si>
    <t>A0000500006237</t>
  </si>
  <si>
    <t>A0060100265055</t>
  </si>
  <si>
    <t>A0060100265062</t>
  </si>
  <si>
    <t>A0060300057111</t>
  </si>
  <si>
    <t>FLORIP</t>
  </si>
  <si>
    <t>FLORIPO S.A.</t>
  </si>
  <si>
    <t>A0001300162530</t>
  </si>
  <si>
    <t>30715843591</t>
  </si>
  <si>
    <t>30525390086</t>
  </si>
  <si>
    <t>23324533109</t>
  </si>
  <si>
    <t>20244919406</t>
  </si>
  <si>
    <t>30708549041</t>
  </si>
  <si>
    <t>A0060100265804</t>
  </si>
  <si>
    <t>A0060100265805</t>
  </si>
  <si>
    <t>A0060100265806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</si>
</sst>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0" fillId="0" borderId="0" xfId="0" quotePrefix="1"/>
    <xf numFmtId="0" fontId="2" fillId="0" borderId="0" xfId="0" quotePrefix="1" applyFont="1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quotePrefix="1" applyNumberFormat="1"/>
    <xf numFmtId="0" fontId="3" fillId="0" borderId="0" xfId="2" applyFont="1" applyFill="1" applyBorder="1"/>
    <xf numFmtId="0" fontId="4" fillId="0" borderId="0" xfId="2" applyFont="1" applyFill="1" applyBorder="1"/>
    <xf numFmtId="1" fontId="3" fillId="0" borderId="0" xfId="2" applyNumberFormat="1" applyFont="1" applyFill="1" applyBorder="1"/>
    <xf numFmtId="43" fontId="4" fillId="0" borderId="0" xfId="1" applyFont="1" applyFill="1" applyBorder="1"/>
    <xf numFmtId="43" fontId="3" fillId="0" borderId="0" xfId="1" applyFont="1" applyFill="1" applyBorder="1"/>
    <xf numFmtId="43" fontId="0" fillId="0" borderId="0" xfId="1" applyFont="1"/>
    <xf numFmtId="43" fontId="3" fillId="2" borderId="0" xfId="1" applyFont="1" applyFill="1" applyBorder="1"/>
    <xf numFmtId="43" fontId="2" fillId="0" borderId="0" xfId="1" quotePrefix="1" applyFont="1"/>
    <xf numFmtId="43" fontId="3" fillId="3" borderId="0" xfId="1" applyFont="1" applyFill="1" applyBorder="1"/>
  </cellXfs>
  <cellStyles count="3">
    <cellStyle name="Millares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2"/>
  <sheetViews>
    <sheetView tabSelected="1" topLeftCell="D1" workbookViewId="0">
      <selection activeCell="K28" sqref="K28"/>
    </sheetView>
  </sheetViews>
  <sheetFormatPr baseColWidth="10" defaultRowHeight="15" x14ac:dyDescent="0.25"/>
  <cols>
    <col min="3" max="3" width="64.7109375" customWidth="1"/>
    <col min="5" max="5" width="19.7109375" customWidth="1"/>
    <col min="8" max="11" width="18.7109375" customWidth="1"/>
    <col min="13" max="16" width="18.7109375" style="12" customWidth="1"/>
    <col min="17" max="17" width="24.7109375" customWidth="1"/>
    <col min="18" max="18" width="18.7109375" customWidth="1"/>
  </cols>
  <sheetData>
    <row r="1" spans="1:19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tr">
        <f>MID(H1,2,5)</f>
        <v>_COMP</v>
      </c>
      <c r="J1" s="6" t="str">
        <f>RIGHT(H1,8)</f>
        <v>N_COMP</v>
      </c>
      <c r="K1" s="2" t="s">
        <v>699</v>
      </c>
      <c r="L1" s="2" t="s">
        <v>8</v>
      </c>
      <c r="M1" s="14" t="s">
        <v>9</v>
      </c>
      <c r="N1" s="14" t="s">
        <v>10</v>
      </c>
      <c r="O1" s="14" t="s">
        <v>11</v>
      </c>
      <c r="P1" s="14" t="s">
        <v>12</v>
      </c>
      <c r="Q1" s="2" t="s">
        <v>13</v>
      </c>
      <c r="R1" s="2" t="s">
        <v>14</v>
      </c>
      <c r="S1" s="1" t="s">
        <v>15</v>
      </c>
    </row>
    <row r="2" spans="1:19" x14ac:dyDescent="0.25">
      <c r="A2" s="3">
        <v>45322</v>
      </c>
      <c r="B2" s="1" t="s">
        <v>16</v>
      </c>
      <c r="C2" s="1" t="s">
        <v>17</v>
      </c>
      <c r="D2" s="1" t="s">
        <v>18</v>
      </c>
      <c r="E2" s="1" t="s">
        <v>584</v>
      </c>
      <c r="F2" s="4">
        <v>12654</v>
      </c>
      <c r="G2" s="1" t="s">
        <v>19</v>
      </c>
      <c r="H2" s="1" t="s">
        <v>20</v>
      </c>
      <c r="I2" s="6">
        <v>2024</v>
      </c>
      <c r="J2" s="6">
        <v>31012024</v>
      </c>
      <c r="K2" s="1" t="str">
        <f>CONCATENATE(E2,I2,J2)</f>
        <v>30500008454202431012024</v>
      </c>
      <c r="L2" s="5">
        <v>21</v>
      </c>
      <c r="M2" s="12">
        <v>259</v>
      </c>
      <c r="N2" s="12">
        <v>47077.279999999999</v>
      </c>
      <c r="O2" s="12">
        <v>3586.17</v>
      </c>
      <c r="P2" s="12">
        <v>54672.480000000003</v>
      </c>
      <c r="Q2" s="1" t="s">
        <v>15</v>
      </c>
      <c r="R2" s="5">
        <v>600.01</v>
      </c>
      <c r="S2" t="e">
        <f>VLOOKUP(K2,'MIS COMPROBANTES'!E:Q,13,FALSE)</f>
        <v>#N/A</v>
      </c>
    </row>
    <row r="3" spans="1:19" x14ac:dyDescent="0.25">
      <c r="A3" s="3">
        <v>45322</v>
      </c>
      <c r="B3" s="1" t="s">
        <v>16</v>
      </c>
      <c r="C3" s="1" t="s">
        <v>17</v>
      </c>
      <c r="D3" s="1" t="s">
        <v>18</v>
      </c>
      <c r="E3" s="1" t="s">
        <v>584</v>
      </c>
      <c r="F3" s="4">
        <v>12654</v>
      </c>
      <c r="G3" s="1" t="s">
        <v>19</v>
      </c>
      <c r="H3" s="1" t="s">
        <v>20</v>
      </c>
      <c r="I3" s="6">
        <v>2024</v>
      </c>
      <c r="J3" s="6">
        <v>31012024</v>
      </c>
      <c r="K3" s="1" t="str">
        <f t="shared" ref="K3:K66" si="0">CONCATENATE(E3,I3,J3)</f>
        <v>30500008454202431012024</v>
      </c>
      <c r="L3" s="5">
        <v>10.5</v>
      </c>
      <c r="M3" s="12">
        <v>0</v>
      </c>
      <c r="N3" s="12">
        <v>0</v>
      </c>
      <c r="O3" s="12">
        <v>3150.02</v>
      </c>
      <c r="P3" s="12">
        <v>0</v>
      </c>
      <c r="Q3" s="1" t="s">
        <v>15</v>
      </c>
      <c r="R3" s="5">
        <v>0</v>
      </c>
      <c r="S3" t="e">
        <f>VLOOKUP(K3,'MIS COMPROBANTES'!E:Q,13,FALSE)</f>
        <v>#N/A</v>
      </c>
    </row>
    <row r="4" spans="1:19" x14ac:dyDescent="0.25">
      <c r="A4" s="3">
        <v>45322</v>
      </c>
      <c r="B4" s="1" t="s">
        <v>21</v>
      </c>
      <c r="C4" s="1" t="s">
        <v>22</v>
      </c>
      <c r="D4" s="1" t="s">
        <v>18</v>
      </c>
      <c r="E4" s="1" t="s">
        <v>585</v>
      </c>
      <c r="F4" s="4">
        <v>12655</v>
      </c>
      <c r="G4" s="1" t="s">
        <v>19</v>
      </c>
      <c r="H4" s="1" t="s">
        <v>20</v>
      </c>
      <c r="I4" s="6">
        <v>2024</v>
      </c>
      <c r="J4" s="6">
        <v>31012024</v>
      </c>
      <c r="K4" s="1" t="str">
        <f t="shared" si="0"/>
        <v>30604731018202431012024</v>
      </c>
      <c r="L4" s="5">
        <v>21</v>
      </c>
      <c r="M4" s="12">
        <v>259</v>
      </c>
      <c r="N4" s="12">
        <v>47077.279999999999</v>
      </c>
      <c r="O4" s="12">
        <v>3586.17</v>
      </c>
      <c r="P4" s="12">
        <v>54672.480000000003</v>
      </c>
      <c r="Q4" s="1" t="s">
        <v>15</v>
      </c>
      <c r="R4" s="5">
        <v>600.01</v>
      </c>
      <c r="S4" t="e">
        <f>VLOOKUP(K4,'MIS COMPROBANTES'!E:Q,13,FALSE)</f>
        <v>#N/A</v>
      </c>
    </row>
    <row r="5" spans="1:19" x14ac:dyDescent="0.25">
      <c r="A5" s="3">
        <v>45322</v>
      </c>
      <c r="B5" s="1" t="s">
        <v>21</v>
      </c>
      <c r="C5" s="1" t="s">
        <v>22</v>
      </c>
      <c r="D5" s="1" t="s">
        <v>18</v>
      </c>
      <c r="E5" s="1" t="s">
        <v>585</v>
      </c>
      <c r="F5" s="4">
        <v>12655</v>
      </c>
      <c r="G5" s="1" t="s">
        <v>19</v>
      </c>
      <c r="H5" s="1" t="s">
        <v>20</v>
      </c>
      <c r="I5" s="6">
        <v>2024</v>
      </c>
      <c r="J5" s="6">
        <v>31012024</v>
      </c>
      <c r="K5" s="1" t="str">
        <f t="shared" si="0"/>
        <v>30604731018202431012024</v>
      </c>
      <c r="L5" s="5">
        <v>10.5</v>
      </c>
      <c r="M5" s="12">
        <v>0</v>
      </c>
      <c r="N5" s="12">
        <v>0</v>
      </c>
      <c r="O5" s="12">
        <v>3150.02</v>
      </c>
      <c r="P5" s="12">
        <v>0</v>
      </c>
      <c r="Q5" s="1" t="s">
        <v>15</v>
      </c>
      <c r="R5" s="5">
        <v>0</v>
      </c>
      <c r="S5" t="e">
        <f>VLOOKUP(K5,'MIS COMPROBANTES'!E:Q,13,FALSE)</f>
        <v>#N/A</v>
      </c>
    </row>
    <row r="6" spans="1:19" x14ac:dyDescent="0.25">
      <c r="A6" s="3">
        <v>45415</v>
      </c>
      <c r="B6" s="1" t="s">
        <v>23</v>
      </c>
      <c r="C6" s="1" t="s">
        <v>24</v>
      </c>
      <c r="D6" s="1" t="s">
        <v>18</v>
      </c>
      <c r="E6" s="1" t="s">
        <v>586</v>
      </c>
      <c r="F6" s="4">
        <v>12710</v>
      </c>
      <c r="G6" s="1" t="s">
        <v>19</v>
      </c>
      <c r="H6" s="1" t="s">
        <v>25</v>
      </c>
      <c r="I6" s="6">
        <v>10</v>
      </c>
      <c r="J6" s="6">
        <v>22865</v>
      </c>
      <c r="K6" s="1" t="str">
        <f t="shared" si="0"/>
        <v>307117580341022865</v>
      </c>
      <c r="L6" s="5">
        <v>21</v>
      </c>
      <c r="M6" s="12">
        <v>0</v>
      </c>
      <c r="N6" s="12">
        <v>34736.879999999997</v>
      </c>
      <c r="O6" s="12">
        <v>2463.61</v>
      </c>
      <c r="P6" s="12">
        <v>40310.79</v>
      </c>
      <c r="Q6" s="1" t="s">
        <v>15</v>
      </c>
      <c r="R6" s="5">
        <v>694.73</v>
      </c>
      <c r="S6" t="e">
        <f>VLOOKUP(K6,'MIS COMPROBANTES'!E:Q,13,FALSE)</f>
        <v>#N/A</v>
      </c>
    </row>
    <row r="7" spans="1:19" x14ac:dyDescent="0.25">
      <c r="A7" s="3">
        <v>45415</v>
      </c>
      <c r="B7" s="1" t="s">
        <v>23</v>
      </c>
      <c r="C7" s="1" t="s">
        <v>24</v>
      </c>
      <c r="D7" s="1" t="s">
        <v>18</v>
      </c>
      <c r="E7" s="1" t="s">
        <v>586</v>
      </c>
      <c r="F7" s="4">
        <v>12710</v>
      </c>
      <c r="G7" s="1" t="s">
        <v>19</v>
      </c>
      <c r="H7" s="1" t="s">
        <v>25</v>
      </c>
      <c r="I7" s="6">
        <v>10</v>
      </c>
      <c r="J7" s="6">
        <v>22865</v>
      </c>
      <c r="K7" s="1" t="str">
        <f t="shared" si="0"/>
        <v>307117580341022865</v>
      </c>
      <c r="L7" s="5">
        <v>10.5</v>
      </c>
      <c r="M7" s="12">
        <v>0</v>
      </c>
      <c r="N7" s="12">
        <v>0</v>
      </c>
      <c r="O7" s="12">
        <v>2415.5700000000002</v>
      </c>
      <c r="P7" s="12">
        <v>0</v>
      </c>
      <c r="Q7" s="1" t="s">
        <v>15</v>
      </c>
      <c r="R7" s="5">
        <v>0</v>
      </c>
      <c r="S7" t="e">
        <f>VLOOKUP(K7,'MIS COMPROBANTES'!E:Q,13,FALSE)</f>
        <v>#N/A</v>
      </c>
    </row>
    <row r="8" spans="1:19" x14ac:dyDescent="0.25">
      <c r="A8" s="3">
        <v>45421</v>
      </c>
      <c r="B8" s="1" t="s">
        <v>23</v>
      </c>
      <c r="C8" s="1" t="s">
        <v>24</v>
      </c>
      <c r="D8" s="1" t="s">
        <v>18</v>
      </c>
      <c r="E8" s="1" t="s">
        <v>586</v>
      </c>
      <c r="F8" s="4">
        <v>12712</v>
      </c>
      <c r="G8" s="1" t="s">
        <v>19</v>
      </c>
      <c r="H8" s="1" t="s">
        <v>26</v>
      </c>
      <c r="I8" s="6">
        <v>10</v>
      </c>
      <c r="J8" s="6">
        <v>23031</v>
      </c>
      <c r="K8" s="1" t="str">
        <f t="shared" si="0"/>
        <v>307117580341023031</v>
      </c>
      <c r="L8" s="5">
        <v>21</v>
      </c>
      <c r="M8" s="12">
        <v>0</v>
      </c>
      <c r="N8" s="12">
        <v>41724.120000000003</v>
      </c>
      <c r="O8" s="12">
        <v>4731.97</v>
      </c>
      <c r="P8" s="12">
        <v>49305.62</v>
      </c>
      <c r="Q8" s="1" t="s">
        <v>15</v>
      </c>
      <c r="R8" s="5">
        <v>834.48</v>
      </c>
      <c r="S8" t="e">
        <f>VLOOKUP(K8,'MIS COMPROBANTES'!E:Q,13,FALSE)</f>
        <v>#N/A</v>
      </c>
    </row>
    <row r="9" spans="1:19" x14ac:dyDescent="0.25">
      <c r="A9" s="3">
        <v>45421</v>
      </c>
      <c r="B9" s="1" t="s">
        <v>23</v>
      </c>
      <c r="C9" s="1" t="s">
        <v>24</v>
      </c>
      <c r="D9" s="1" t="s">
        <v>18</v>
      </c>
      <c r="E9" s="1" t="s">
        <v>586</v>
      </c>
      <c r="F9" s="4">
        <v>12712</v>
      </c>
      <c r="G9" s="1" t="s">
        <v>19</v>
      </c>
      <c r="H9" s="1" t="s">
        <v>26</v>
      </c>
      <c r="I9" s="6">
        <v>10</v>
      </c>
      <c r="J9" s="6">
        <v>23031</v>
      </c>
      <c r="K9" s="1" t="str">
        <f t="shared" si="0"/>
        <v>307117580341023031</v>
      </c>
      <c r="L9" s="5">
        <v>10.5</v>
      </c>
      <c r="M9" s="12">
        <v>0</v>
      </c>
      <c r="N9" s="12">
        <v>0</v>
      </c>
      <c r="O9" s="12">
        <v>2015.05</v>
      </c>
      <c r="P9" s="12">
        <v>0</v>
      </c>
      <c r="Q9" s="1" t="s">
        <v>15</v>
      </c>
      <c r="R9" s="5">
        <v>0</v>
      </c>
      <c r="S9" t="e">
        <f>VLOOKUP(K9,'MIS COMPROBANTES'!E:Q,13,FALSE)</f>
        <v>#N/A</v>
      </c>
    </row>
    <row r="10" spans="1:19" x14ac:dyDescent="0.25">
      <c r="A10" s="3">
        <v>45426</v>
      </c>
      <c r="B10" s="1" t="s">
        <v>23</v>
      </c>
      <c r="C10" s="1" t="s">
        <v>24</v>
      </c>
      <c r="D10" s="1" t="s">
        <v>18</v>
      </c>
      <c r="E10" s="1" t="s">
        <v>586</v>
      </c>
      <c r="F10" s="4">
        <v>12713</v>
      </c>
      <c r="G10" s="1" t="s">
        <v>19</v>
      </c>
      <c r="H10" s="1" t="s">
        <v>27</v>
      </c>
      <c r="I10" s="6">
        <v>10</v>
      </c>
      <c r="J10" s="6">
        <v>23189</v>
      </c>
      <c r="K10" s="1" t="str">
        <f t="shared" si="0"/>
        <v>307117580341023189</v>
      </c>
      <c r="L10" s="5">
        <v>21</v>
      </c>
      <c r="M10" s="12">
        <v>0</v>
      </c>
      <c r="N10" s="12">
        <v>28160.06</v>
      </c>
      <c r="O10" s="12">
        <v>2465.17</v>
      </c>
      <c r="P10" s="12">
        <v>32912.65</v>
      </c>
      <c r="Q10" s="1" t="s">
        <v>15</v>
      </c>
      <c r="R10" s="5">
        <v>563.20000000000005</v>
      </c>
      <c r="S10" t="e">
        <f>VLOOKUP(K10,'MIS COMPROBANTES'!E:Q,13,FALSE)</f>
        <v>#N/A</v>
      </c>
    </row>
    <row r="11" spans="1:19" x14ac:dyDescent="0.25">
      <c r="A11" s="3">
        <v>45426</v>
      </c>
      <c r="B11" s="1" t="s">
        <v>23</v>
      </c>
      <c r="C11" s="1" t="s">
        <v>24</v>
      </c>
      <c r="D11" s="1" t="s">
        <v>18</v>
      </c>
      <c r="E11" s="1" t="s">
        <v>586</v>
      </c>
      <c r="F11" s="4">
        <v>12713</v>
      </c>
      <c r="G11" s="1" t="s">
        <v>19</v>
      </c>
      <c r="H11" s="1" t="s">
        <v>27</v>
      </c>
      <c r="I11" s="6">
        <v>10</v>
      </c>
      <c r="J11" s="6">
        <v>23189</v>
      </c>
      <c r="K11" s="1" t="str">
        <f t="shared" si="0"/>
        <v>307117580341023189</v>
      </c>
      <c r="L11" s="5">
        <v>10.5</v>
      </c>
      <c r="M11" s="12">
        <v>0</v>
      </c>
      <c r="N11" s="12">
        <v>0</v>
      </c>
      <c r="O11" s="12">
        <v>1724.22</v>
      </c>
      <c r="P11" s="12">
        <v>0</v>
      </c>
      <c r="Q11" s="1" t="s">
        <v>15</v>
      </c>
      <c r="R11" s="5">
        <v>0</v>
      </c>
      <c r="S11" t="e">
        <f>VLOOKUP(K11,'MIS COMPROBANTES'!E:Q,13,FALSE)</f>
        <v>#N/A</v>
      </c>
    </row>
    <row r="12" spans="1:19" x14ac:dyDescent="0.25">
      <c r="A12" s="3">
        <v>45428</v>
      </c>
      <c r="B12" s="1" t="s">
        <v>23</v>
      </c>
      <c r="C12" s="1" t="s">
        <v>24</v>
      </c>
      <c r="D12" s="1" t="s">
        <v>18</v>
      </c>
      <c r="E12" s="1" t="s">
        <v>586</v>
      </c>
      <c r="F12" s="4">
        <v>12711</v>
      </c>
      <c r="G12" s="1" t="s">
        <v>19</v>
      </c>
      <c r="H12" s="1" t="s">
        <v>28</v>
      </c>
      <c r="I12" s="6">
        <v>10</v>
      </c>
      <c r="J12" s="6">
        <v>23258</v>
      </c>
      <c r="K12" s="1" t="str">
        <f t="shared" si="0"/>
        <v>307117580341023258</v>
      </c>
      <c r="L12" s="5">
        <v>21</v>
      </c>
      <c r="M12" s="12">
        <v>0</v>
      </c>
      <c r="N12" s="12">
        <v>17269.150000000001</v>
      </c>
      <c r="O12" s="12">
        <v>1166.01</v>
      </c>
      <c r="P12" s="12">
        <v>20010.8</v>
      </c>
      <c r="Q12" s="1" t="s">
        <v>15</v>
      </c>
      <c r="R12" s="5">
        <v>345.38</v>
      </c>
      <c r="S12" t="e">
        <f>VLOOKUP(K12,'MIS COMPROBANTES'!E:Q,13,FALSE)</f>
        <v>#N/A</v>
      </c>
    </row>
    <row r="13" spans="1:19" x14ac:dyDescent="0.25">
      <c r="A13" s="3">
        <v>45428</v>
      </c>
      <c r="B13" s="1" t="s">
        <v>23</v>
      </c>
      <c r="C13" s="1" t="s">
        <v>24</v>
      </c>
      <c r="D13" s="1" t="s">
        <v>18</v>
      </c>
      <c r="E13" s="1" t="s">
        <v>586</v>
      </c>
      <c r="F13" s="4">
        <v>12711</v>
      </c>
      <c r="G13" s="1" t="s">
        <v>19</v>
      </c>
      <c r="H13" s="1" t="s">
        <v>28</v>
      </c>
      <c r="I13" s="6">
        <v>10</v>
      </c>
      <c r="J13" s="6">
        <v>23258</v>
      </c>
      <c r="K13" s="1" t="str">
        <f t="shared" si="0"/>
        <v>307117580341023258</v>
      </c>
      <c r="L13" s="5">
        <v>10.5</v>
      </c>
      <c r="M13" s="12">
        <v>0</v>
      </c>
      <c r="N13" s="12">
        <v>0</v>
      </c>
      <c r="O13" s="12">
        <v>1230.26</v>
      </c>
      <c r="P13" s="12">
        <v>0</v>
      </c>
      <c r="Q13" s="1" t="s">
        <v>15</v>
      </c>
      <c r="R13" s="5">
        <v>0</v>
      </c>
      <c r="S13" t="e">
        <f>VLOOKUP(K13,'MIS COMPROBANTES'!E:Q,13,FALSE)</f>
        <v>#N/A</v>
      </c>
    </row>
    <row r="14" spans="1:19" x14ac:dyDescent="0.25">
      <c r="A14" s="3">
        <v>45431</v>
      </c>
      <c r="B14" s="1" t="s">
        <v>793</v>
      </c>
      <c r="C14" s="1" t="s">
        <v>794</v>
      </c>
      <c r="D14" s="1" t="s">
        <v>18</v>
      </c>
      <c r="E14" s="1" t="s">
        <v>812</v>
      </c>
      <c r="F14" s="4">
        <v>12926</v>
      </c>
      <c r="G14" s="1" t="s">
        <v>19</v>
      </c>
      <c r="H14" s="1" t="s">
        <v>795</v>
      </c>
      <c r="I14" s="6">
        <v>14</v>
      </c>
      <c r="J14" s="6">
        <v>24628</v>
      </c>
      <c r="K14" s="1" t="str">
        <f t="shared" si="0"/>
        <v>307158435911424628</v>
      </c>
      <c r="L14" s="5">
        <v>21</v>
      </c>
      <c r="M14" s="12">
        <v>49871.15</v>
      </c>
      <c r="N14" s="12">
        <v>0</v>
      </c>
      <c r="O14" s="12">
        <v>9144.81</v>
      </c>
      <c r="P14" s="12">
        <v>60013.38</v>
      </c>
      <c r="Q14" s="1" t="s">
        <v>15</v>
      </c>
      <c r="R14" s="5">
        <v>997.42</v>
      </c>
      <c r="S14" t="e">
        <f>VLOOKUP(K14,'MIS COMPROBANTES'!E:Q,13,FALSE)</f>
        <v>#N/A</v>
      </c>
    </row>
    <row r="15" spans="1:19" x14ac:dyDescent="0.25">
      <c r="A15" s="3">
        <v>45442</v>
      </c>
      <c r="B15" s="1" t="s">
        <v>29</v>
      </c>
      <c r="C15" s="1" t="s">
        <v>30</v>
      </c>
      <c r="D15" s="1" t="s">
        <v>18</v>
      </c>
      <c r="E15" s="1" t="s">
        <v>587</v>
      </c>
      <c r="F15" s="4">
        <v>12705</v>
      </c>
      <c r="G15" s="1" t="s">
        <v>31</v>
      </c>
      <c r="H15" s="1" t="s">
        <v>32</v>
      </c>
      <c r="I15" s="6">
        <v>135</v>
      </c>
      <c r="J15" s="6">
        <v>224140</v>
      </c>
      <c r="K15" s="1" t="str">
        <f t="shared" si="0"/>
        <v>30566108352135224140</v>
      </c>
      <c r="L15" s="5">
        <v>21</v>
      </c>
      <c r="M15" s="12">
        <v>0</v>
      </c>
      <c r="N15" s="12">
        <v>-143592.73000000001</v>
      </c>
      <c r="O15" s="12">
        <v>-30154.47</v>
      </c>
      <c r="P15" s="12">
        <v>-173747.20000000001</v>
      </c>
      <c r="Q15" s="1" t="s">
        <v>15</v>
      </c>
      <c r="R15" s="5">
        <v>0</v>
      </c>
      <c r="S15" t="e">
        <f>VLOOKUP(K15,'MIS COMPROBANTES'!E:Q,13,FALSE)</f>
        <v>#N/A</v>
      </c>
    </row>
    <row r="16" spans="1:19" x14ac:dyDescent="0.25">
      <c r="A16" s="3">
        <v>45444</v>
      </c>
      <c r="B16" s="1" t="s">
        <v>33</v>
      </c>
      <c r="C16" s="1" t="s">
        <v>34</v>
      </c>
      <c r="D16" s="1" t="s">
        <v>18</v>
      </c>
      <c r="E16" s="1" t="s">
        <v>588</v>
      </c>
      <c r="F16" s="4">
        <v>12671</v>
      </c>
      <c r="G16" s="1" t="s">
        <v>19</v>
      </c>
      <c r="H16" s="1" t="s">
        <v>35</v>
      </c>
      <c r="I16" s="6">
        <v>3</v>
      </c>
      <c r="J16" s="6">
        <v>228947</v>
      </c>
      <c r="K16" s="1" t="str">
        <f t="shared" si="0"/>
        <v>307071355963228947</v>
      </c>
      <c r="L16" s="5">
        <v>21</v>
      </c>
      <c r="M16" s="12">
        <v>0</v>
      </c>
      <c r="N16" s="12">
        <v>82978.84</v>
      </c>
      <c r="O16" s="12">
        <v>17425.560000000001</v>
      </c>
      <c r="P16" s="12">
        <v>102063.98</v>
      </c>
      <c r="Q16" s="1" t="s">
        <v>36</v>
      </c>
      <c r="R16" s="5">
        <v>1659.58</v>
      </c>
      <c r="S16">
        <f>VLOOKUP(K16,'MIS COMPROBANTES'!E:Q,13,FALSE)</f>
        <v>102063.98</v>
      </c>
    </row>
    <row r="17" spans="1:19" x14ac:dyDescent="0.25">
      <c r="A17" s="3">
        <v>45444</v>
      </c>
      <c r="B17" s="1" t="s">
        <v>37</v>
      </c>
      <c r="C17" s="1" t="s">
        <v>38</v>
      </c>
      <c r="D17" s="1" t="s">
        <v>18</v>
      </c>
      <c r="E17" s="1" t="s">
        <v>589</v>
      </c>
      <c r="F17" s="4">
        <v>12790</v>
      </c>
      <c r="G17" s="1" t="s">
        <v>19</v>
      </c>
      <c r="H17" s="1" t="s">
        <v>39</v>
      </c>
      <c r="I17" s="6">
        <v>4</v>
      </c>
      <c r="J17" s="6">
        <v>285921</v>
      </c>
      <c r="K17" s="1" t="str">
        <f t="shared" si="0"/>
        <v>305000363934285921</v>
      </c>
      <c r="L17" s="5">
        <v>21</v>
      </c>
      <c r="M17" s="12">
        <v>70179.77</v>
      </c>
      <c r="N17" s="12">
        <v>1867931.48</v>
      </c>
      <c r="O17" s="12">
        <v>392265.61</v>
      </c>
      <c r="P17" s="12">
        <v>2423773.4300000002</v>
      </c>
      <c r="Q17" s="1" t="s">
        <v>15</v>
      </c>
      <c r="R17" s="5">
        <v>37358.629999999997</v>
      </c>
      <c r="S17" t="e">
        <f>VLOOKUP(K17,'MIS COMPROBANTES'!E:Q,13,FALSE)</f>
        <v>#N/A</v>
      </c>
    </row>
    <row r="18" spans="1:19" x14ac:dyDescent="0.25">
      <c r="A18" s="3">
        <v>45444</v>
      </c>
      <c r="B18" s="1" t="s">
        <v>37</v>
      </c>
      <c r="C18" s="1" t="s">
        <v>38</v>
      </c>
      <c r="D18" s="1" t="s">
        <v>18</v>
      </c>
      <c r="E18" s="1" t="s">
        <v>589</v>
      </c>
      <c r="F18" s="4">
        <v>12790</v>
      </c>
      <c r="G18" s="1" t="s">
        <v>19</v>
      </c>
      <c r="H18" s="1" t="s">
        <v>39</v>
      </c>
      <c r="I18" s="6">
        <v>4</v>
      </c>
      <c r="J18" s="6">
        <v>285921</v>
      </c>
      <c r="K18" s="1" t="str">
        <f t="shared" si="0"/>
        <v>305000363934285921</v>
      </c>
      <c r="L18" s="5">
        <v>3</v>
      </c>
      <c r="M18" s="12">
        <v>0</v>
      </c>
      <c r="N18" s="12">
        <v>0</v>
      </c>
      <c r="O18" s="12">
        <v>56037.94</v>
      </c>
      <c r="P18" s="12">
        <v>0</v>
      </c>
      <c r="Q18" s="1" t="s">
        <v>15</v>
      </c>
      <c r="R18" s="5">
        <v>0</v>
      </c>
      <c r="S18" t="e">
        <f>VLOOKUP(K18,'MIS COMPROBANTES'!E:Q,13,FALSE)</f>
        <v>#N/A</v>
      </c>
    </row>
    <row r="19" spans="1:19" x14ac:dyDescent="0.25">
      <c r="A19" s="3">
        <v>45444</v>
      </c>
      <c r="B19" s="1" t="s">
        <v>40</v>
      </c>
      <c r="C19" s="1" t="s">
        <v>41</v>
      </c>
      <c r="D19" s="1" t="s">
        <v>18</v>
      </c>
      <c r="E19" s="1" t="s">
        <v>590</v>
      </c>
      <c r="F19" s="4">
        <v>12263</v>
      </c>
      <c r="G19" s="1" t="s">
        <v>19</v>
      </c>
      <c r="H19" s="1" t="s">
        <v>43</v>
      </c>
      <c r="I19" s="6">
        <v>43</v>
      </c>
      <c r="J19" s="6">
        <v>297442</v>
      </c>
      <c r="K19" s="1" t="str">
        <f t="shared" si="0"/>
        <v>3050097982443297442</v>
      </c>
      <c r="L19" s="5">
        <v>21</v>
      </c>
      <c r="M19" s="12">
        <v>0</v>
      </c>
      <c r="N19" s="12">
        <v>1441217.34</v>
      </c>
      <c r="O19" s="12">
        <v>302655.64</v>
      </c>
      <c r="P19" s="12">
        <v>1851964.28</v>
      </c>
      <c r="Q19" s="1" t="s">
        <v>42</v>
      </c>
      <c r="R19" s="5">
        <v>64854.78</v>
      </c>
      <c r="S19">
        <f>VLOOKUP(K19,'MIS COMPROBANTES'!E:Q,13,FALSE)</f>
        <v>1851964.28</v>
      </c>
    </row>
    <row r="20" spans="1:19" x14ac:dyDescent="0.25">
      <c r="A20" s="3">
        <v>45444</v>
      </c>
      <c r="B20" s="1" t="s">
        <v>40</v>
      </c>
      <c r="C20" s="1" t="s">
        <v>41</v>
      </c>
      <c r="D20" s="1" t="s">
        <v>18</v>
      </c>
      <c r="E20" s="1" t="s">
        <v>590</v>
      </c>
      <c r="F20" s="4">
        <v>12263</v>
      </c>
      <c r="G20" s="1" t="s">
        <v>19</v>
      </c>
      <c r="H20" s="1" t="s">
        <v>43</v>
      </c>
      <c r="I20" s="6">
        <v>43</v>
      </c>
      <c r="J20" s="6">
        <v>297442</v>
      </c>
      <c r="K20" s="1" t="str">
        <f t="shared" si="0"/>
        <v>3050097982443297442</v>
      </c>
      <c r="L20" s="5">
        <v>3</v>
      </c>
      <c r="M20" s="12">
        <v>0</v>
      </c>
      <c r="N20" s="12">
        <v>0</v>
      </c>
      <c r="O20" s="12">
        <v>43236.52</v>
      </c>
      <c r="P20" s="12">
        <v>0</v>
      </c>
      <c r="Q20" s="1" t="s">
        <v>42</v>
      </c>
      <c r="R20" s="5">
        <v>0</v>
      </c>
      <c r="S20">
        <f>VLOOKUP(K20,'MIS COMPROBANTES'!E:Q,13,FALSE)</f>
        <v>1851964.28</v>
      </c>
    </row>
    <row r="21" spans="1:19" x14ac:dyDescent="0.25">
      <c r="A21" s="3">
        <v>45444</v>
      </c>
      <c r="B21" s="1" t="s">
        <v>44</v>
      </c>
      <c r="C21" s="1" t="s">
        <v>45</v>
      </c>
      <c r="D21" s="1" t="s">
        <v>18</v>
      </c>
      <c r="E21" s="1" t="s">
        <v>591</v>
      </c>
      <c r="F21" s="4">
        <v>12264</v>
      </c>
      <c r="G21" s="1" t="s">
        <v>19</v>
      </c>
      <c r="H21" s="1" t="s">
        <v>46</v>
      </c>
      <c r="I21" s="6">
        <v>622</v>
      </c>
      <c r="J21" s="6">
        <v>283753</v>
      </c>
      <c r="K21" s="1" t="str">
        <f t="shared" si="0"/>
        <v>30682032630622283753</v>
      </c>
      <c r="L21" s="5">
        <v>21</v>
      </c>
      <c r="M21" s="12">
        <v>0</v>
      </c>
      <c r="N21" s="12">
        <v>1533727.12</v>
      </c>
      <c r="O21" s="12">
        <v>322082.7</v>
      </c>
      <c r="P21" s="12">
        <v>1970839.35</v>
      </c>
      <c r="Q21" s="1" t="s">
        <v>15</v>
      </c>
      <c r="R21" s="5">
        <v>69017.72</v>
      </c>
      <c r="S21">
        <f>VLOOKUP(K21,'MIS COMPROBANTES'!E:Q,13,FALSE)</f>
        <v>1970839.35</v>
      </c>
    </row>
    <row r="22" spans="1:19" x14ac:dyDescent="0.25">
      <c r="A22" s="3">
        <v>45444</v>
      </c>
      <c r="B22" s="1" t="s">
        <v>44</v>
      </c>
      <c r="C22" s="1" t="s">
        <v>45</v>
      </c>
      <c r="D22" s="1" t="s">
        <v>18</v>
      </c>
      <c r="E22" s="1" t="s">
        <v>591</v>
      </c>
      <c r="F22" s="4">
        <v>12264</v>
      </c>
      <c r="G22" s="1" t="s">
        <v>19</v>
      </c>
      <c r="H22" s="1" t="s">
        <v>46</v>
      </c>
      <c r="I22" s="6">
        <v>622</v>
      </c>
      <c r="J22" s="6">
        <v>283753</v>
      </c>
      <c r="K22" s="1" t="str">
        <f t="shared" si="0"/>
        <v>30682032630622283753</v>
      </c>
      <c r="L22" s="5">
        <v>3</v>
      </c>
      <c r="M22" s="12">
        <v>0</v>
      </c>
      <c r="N22" s="12">
        <v>0</v>
      </c>
      <c r="O22" s="12">
        <v>46011.81</v>
      </c>
      <c r="P22" s="12">
        <v>0</v>
      </c>
      <c r="Q22" s="1" t="s">
        <v>15</v>
      </c>
      <c r="R22" s="5">
        <v>0</v>
      </c>
      <c r="S22">
        <f>VLOOKUP(K22,'MIS COMPROBANTES'!E:Q,13,FALSE)</f>
        <v>1970839.35</v>
      </c>
    </row>
    <row r="23" spans="1:19" x14ac:dyDescent="0.25">
      <c r="A23" s="3">
        <v>45444</v>
      </c>
      <c r="B23" s="1" t="s">
        <v>47</v>
      </c>
      <c r="C23" s="1" t="s">
        <v>48</v>
      </c>
      <c r="D23" s="1" t="s">
        <v>18</v>
      </c>
      <c r="E23" s="1" t="s">
        <v>592</v>
      </c>
      <c r="F23" s="4">
        <v>12663</v>
      </c>
      <c r="G23" s="1" t="s">
        <v>19</v>
      </c>
      <c r="H23" s="1" t="s">
        <v>49</v>
      </c>
      <c r="I23" s="6">
        <v>1326</v>
      </c>
      <c r="J23" s="6">
        <v>1005423</v>
      </c>
      <c r="K23" s="1" t="str">
        <f t="shared" si="0"/>
        <v>3066328849713261005423</v>
      </c>
      <c r="L23" s="5">
        <v>21</v>
      </c>
      <c r="M23" s="12">
        <v>0</v>
      </c>
      <c r="N23" s="12">
        <v>23510</v>
      </c>
      <c r="O23" s="12">
        <v>4895.1000000000004</v>
      </c>
      <c r="P23" s="12">
        <v>29634.6</v>
      </c>
      <c r="Q23" s="1" t="s">
        <v>15</v>
      </c>
      <c r="R23" s="5">
        <v>470.2</v>
      </c>
      <c r="S23">
        <f>VLOOKUP(K23,'MIS COMPROBANTES'!E:Q,13,FALSE)</f>
        <v>29634.6</v>
      </c>
    </row>
    <row r="24" spans="1:19" x14ac:dyDescent="0.25">
      <c r="A24" s="3">
        <v>45444</v>
      </c>
      <c r="B24" s="1" t="s">
        <v>47</v>
      </c>
      <c r="C24" s="1" t="s">
        <v>48</v>
      </c>
      <c r="D24" s="1" t="s">
        <v>18</v>
      </c>
      <c r="E24" s="1" t="s">
        <v>592</v>
      </c>
      <c r="F24" s="4">
        <v>12663</v>
      </c>
      <c r="G24" s="1" t="s">
        <v>19</v>
      </c>
      <c r="H24" s="1" t="s">
        <v>49</v>
      </c>
      <c r="I24" s="6">
        <v>1326</v>
      </c>
      <c r="J24" s="6">
        <v>1005423</v>
      </c>
      <c r="K24" s="1" t="str">
        <f t="shared" si="0"/>
        <v>3066328849713261005423</v>
      </c>
      <c r="L24" s="5">
        <v>27</v>
      </c>
      <c r="M24" s="12">
        <v>0</v>
      </c>
      <c r="N24" s="12">
        <v>0</v>
      </c>
      <c r="O24" s="12">
        <v>54</v>
      </c>
      <c r="P24" s="12">
        <v>0</v>
      </c>
      <c r="Q24" s="1" t="s">
        <v>15</v>
      </c>
      <c r="R24" s="5">
        <v>0</v>
      </c>
      <c r="S24">
        <f>VLOOKUP(K24,'MIS COMPROBANTES'!E:Q,13,FALSE)</f>
        <v>29634.6</v>
      </c>
    </row>
    <row r="25" spans="1:19" x14ac:dyDescent="0.25">
      <c r="A25" s="3">
        <v>45444</v>
      </c>
      <c r="B25" s="1" t="s">
        <v>47</v>
      </c>
      <c r="C25" s="1" t="s">
        <v>48</v>
      </c>
      <c r="D25" s="1" t="s">
        <v>18</v>
      </c>
      <c r="E25" s="1" t="s">
        <v>592</v>
      </c>
      <c r="F25" s="4">
        <v>12663</v>
      </c>
      <c r="G25" s="1" t="s">
        <v>19</v>
      </c>
      <c r="H25" s="1" t="s">
        <v>49</v>
      </c>
      <c r="I25" s="6">
        <v>1326</v>
      </c>
      <c r="J25" s="6">
        <v>1005423</v>
      </c>
      <c r="K25" s="1" t="str">
        <f t="shared" si="0"/>
        <v>3066328849713261005423</v>
      </c>
      <c r="L25" s="5">
        <v>3</v>
      </c>
      <c r="M25" s="12">
        <v>0</v>
      </c>
      <c r="N25" s="12">
        <v>0</v>
      </c>
      <c r="O25" s="12">
        <v>705.3</v>
      </c>
      <c r="P25" s="12">
        <v>0</v>
      </c>
      <c r="Q25" s="1" t="s">
        <v>15</v>
      </c>
      <c r="R25" s="5">
        <v>0</v>
      </c>
      <c r="S25">
        <f>VLOOKUP(K25,'MIS COMPROBANTES'!E:Q,13,FALSE)</f>
        <v>29634.6</v>
      </c>
    </row>
    <row r="26" spans="1:19" x14ac:dyDescent="0.25">
      <c r="A26" s="3">
        <v>45444</v>
      </c>
      <c r="B26" s="1" t="s">
        <v>50</v>
      </c>
      <c r="C26" s="1" t="s">
        <v>51</v>
      </c>
      <c r="D26" s="1" t="s">
        <v>18</v>
      </c>
      <c r="E26" s="1" t="s">
        <v>593</v>
      </c>
      <c r="F26" s="4">
        <v>12158</v>
      </c>
      <c r="G26" s="1" t="s">
        <v>31</v>
      </c>
      <c r="H26" s="1" t="s">
        <v>52</v>
      </c>
      <c r="I26" s="6">
        <v>2009</v>
      </c>
      <c r="J26" s="6">
        <v>6273</v>
      </c>
      <c r="K26" s="1" t="str">
        <f t="shared" si="0"/>
        <v>3070086991820096273</v>
      </c>
      <c r="L26" s="5">
        <v>21</v>
      </c>
      <c r="M26" s="12">
        <v>0</v>
      </c>
      <c r="N26" s="12">
        <v>-164000</v>
      </c>
      <c r="O26" s="12">
        <v>-34440</v>
      </c>
      <c r="P26" s="12">
        <v>-198440</v>
      </c>
      <c r="Q26" s="1" t="s">
        <v>15</v>
      </c>
      <c r="R26" s="5">
        <v>0</v>
      </c>
      <c r="S26">
        <f>VLOOKUP(K26,'MIS COMPROBANTES'!E:Q,13,FALSE)</f>
        <v>198440</v>
      </c>
    </row>
    <row r="27" spans="1:19" x14ac:dyDescent="0.25">
      <c r="A27" s="3">
        <v>45444</v>
      </c>
      <c r="B27" s="1" t="s">
        <v>53</v>
      </c>
      <c r="C27" s="1" t="s">
        <v>54</v>
      </c>
      <c r="D27" s="1" t="s">
        <v>18</v>
      </c>
      <c r="E27" s="1" t="s">
        <v>594</v>
      </c>
      <c r="F27" s="4">
        <v>11279</v>
      </c>
      <c r="G27" s="1" t="s">
        <v>31</v>
      </c>
      <c r="H27" s="1" t="s">
        <v>55</v>
      </c>
      <c r="I27" s="6">
        <v>6156</v>
      </c>
      <c r="J27" s="6">
        <v>2449724</v>
      </c>
      <c r="K27" s="1" t="str">
        <f t="shared" si="0"/>
        <v>3054724233161562449724</v>
      </c>
      <c r="L27" s="5">
        <v>21</v>
      </c>
      <c r="M27" s="12">
        <v>0</v>
      </c>
      <c r="N27" s="12">
        <v>-1439.7</v>
      </c>
      <c r="O27" s="12">
        <v>-302.33999999999997</v>
      </c>
      <c r="P27" s="12">
        <v>-1742.04</v>
      </c>
      <c r="Q27" s="1" t="s">
        <v>15</v>
      </c>
      <c r="R27" s="5">
        <v>0</v>
      </c>
      <c r="S27" t="e">
        <f>VLOOKUP(K27,'MIS COMPROBANTES'!E:Q,13,FALSE)</f>
        <v>#N/A</v>
      </c>
    </row>
    <row r="28" spans="1:19" x14ac:dyDescent="0.25">
      <c r="A28" s="3">
        <v>45445</v>
      </c>
      <c r="B28" s="1" t="s">
        <v>56</v>
      </c>
      <c r="C28" s="1" t="s">
        <v>57</v>
      </c>
      <c r="D28" s="1" t="s">
        <v>18</v>
      </c>
      <c r="E28" s="1" t="s">
        <v>595</v>
      </c>
      <c r="F28" s="4">
        <v>12335</v>
      </c>
      <c r="G28" s="1" t="s">
        <v>19</v>
      </c>
      <c r="H28" s="1" t="s">
        <v>58</v>
      </c>
      <c r="I28" s="6">
        <v>21</v>
      </c>
      <c r="J28" s="6">
        <v>1125131</v>
      </c>
      <c r="K28" s="1" t="str">
        <f t="shared" si="0"/>
        <v>30550245309211125131</v>
      </c>
      <c r="L28" s="5">
        <v>10.5</v>
      </c>
      <c r="M28" s="12">
        <v>0</v>
      </c>
      <c r="N28" s="12">
        <v>2226154.64</v>
      </c>
      <c r="O28" s="12">
        <v>233600.24</v>
      </c>
      <c r="P28" s="12">
        <v>2560223.84</v>
      </c>
      <c r="Q28" s="1" t="s">
        <v>15</v>
      </c>
      <c r="R28" s="5">
        <v>100176.96000000001</v>
      </c>
      <c r="S28">
        <f>VLOOKUP(K28,'MIS COMPROBANTES'!E:Q,13,FALSE)</f>
        <v>2560223.84</v>
      </c>
    </row>
    <row r="29" spans="1:19" x14ac:dyDescent="0.25">
      <c r="A29" s="3">
        <v>45445</v>
      </c>
      <c r="B29" s="1" t="s">
        <v>56</v>
      </c>
      <c r="C29" s="1" t="s">
        <v>57</v>
      </c>
      <c r="D29" s="1" t="s">
        <v>18</v>
      </c>
      <c r="E29" s="1" t="s">
        <v>595</v>
      </c>
      <c r="F29" s="4">
        <v>12335</v>
      </c>
      <c r="G29" s="1" t="s">
        <v>19</v>
      </c>
      <c r="H29" s="1" t="s">
        <v>58</v>
      </c>
      <c r="I29" s="6">
        <v>21</v>
      </c>
      <c r="J29" s="6">
        <v>1125131</v>
      </c>
      <c r="K29" s="1" t="str">
        <f t="shared" si="0"/>
        <v>30550245309211125131</v>
      </c>
      <c r="L29" s="5">
        <v>21</v>
      </c>
      <c r="M29" s="12">
        <v>0</v>
      </c>
      <c r="N29" s="12">
        <v>0</v>
      </c>
      <c r="O29" s="12">
        <v>292</v>
      </c>
      <c r="P29" s="12">
        <v>0</v>
      </c>
      <c r="Q29" s="1" t="s">
        <v>15</v>
      </c>
      <c r="R29" s="5">
        <v>0</v>
      </c>
      <c r="S29">
        <f>VLOOKUP(K29,'MIS COMPROBANTES'!E:Q,13,FALSE)</f>
        <v>2560223.84</v>
      </c>
    </row>
    <row r="30" spans="1:19" x14ac:dyDescent="0.25">
      <c r="A30" s="3">
        <v>45446</v>
      </c>
      <c r="B30" s="1" t="s">
        <v>16</v>
      </c>
      <c r="C30" s="1" t="s">
        <v>17</v>
      </c>
      <c r="D30" s="1" t="s">
        <v>18</v>
      </c>
      <c r="E30" s="1" t="s">
        <v>584</v>
      </c>
      <c r="F30" s="4">
        <v>12652</v>
      </c>
      <c r="G30" s="1" t="s">
        <v>19</v>
      </c>
      <c r="H30" s="1" t="s">
        <v>59</v>
      </c>
      <c r="I30" s="6">
        <v>2024</v>
      </c>
      <c r="J30" s="6">
        <v>10102094</v>
      </c>
      <c r="K30" s="1" t="str">
        <f t="shared" si="0"/>
        <v>30500008454202410102094</v>
      </c>
      <c r="L30" s="5">
        <v>10.5</v>
      </c>
      <c r="M30" s="12">
        <v>21732101.609999999</v>
      </c>
      <c r="N30" s="12">
        <v>1249313.26</v>
      </c>
      <c r="O30" s="12">
        <v>131177.89000000001</v>
      </c>
      <c r="P30" s="12">
        <v>23156318.73</v>
      </c>
      <c r="Q30" s="1" t="s">
        <v>15</v>
      </c>
      <c r="R30" s="5">
        <v>24986.27</v>
      </c>
      <c r="S30" t="e">
        <f>VLOOKUP(K30,'MIS COMPROBANTES'!E:Q,13,FALSE)</f>
        <v>#N/A</v>
      </c>
    </row>
    <row r="31" spans="1:19" x14ac:dyDescent="0.25">
      <c r="A31" s="3">
        <v>45446</v>
      </c>
      <c r="B31" s="1" t="s">
        <v>16</v>
      </c>
      <c r="C31" s="1" t="s">
        <v>17</v>
      </c>
      <c r="D31" s="1" t="s">
        <v>18</v>
      </c>
      <c r="E31" s="1" t="s">
        <v>584</v>
      </c>
      <c r="F31" s="4">
        <v>12652</v>
      </c>
      <c r="G31" s="1" t="s">
        <v>19</v>
      </c>
      <c r="H31" s="1" t="s">
        <v>59</v>
      </c>
      <c r="I31" s="6">
        <v>2024</v>
      </c>
      <c r="J31" s="6">
        <v>10102094</v>
      </c>
      <c r="K31" s="1" t="str">
        <f t="shared" si="0"/>
        <v>30500008454202410102094</v>
      </c>
      <c r="L31" s="5">
        <v>1.5</v>
      </c>
      <c r="M31" s="12">
        <v>0</v>
      </c>
      <c r="N31" s="12">
        <v>0</v>
      </c>
      <c r="O31" s="12">
        <v>18739.7</v>
      </c>
      <c r="P31" s="12">
        <v>0</v>
      </c>
      <c r="Q31" s="1" t="s">
        <v>15</v>
      </c>
      <c r="R31" s="5">
        <v>0</v>
      </c>
      <c r="S31" t="e">
        <f>VLOOKUP(K31,'MIS COMPROBANTES'!E:Q,13,FALSE)</f>
        <v>#N/A</v>
      </c>
    </row>
    <row r="32" spans="1:19" x14ac:dyDescent="0.25">
      <c r="A32" s="3">
        <v>45446</v>
      </c>
      <c r="B32" s="1" t="s">
        <v>21</v>
      </c>
      <c r="C32" s="1" t="s">
        <v>22</v>
      </c>
      <c r="D32" s="1" t="s">
        <v>18</v>
      </c>
      <c r="E32" s="1" t="s">
        <v>585</v>
      </c>
      <c r="F32" s="4">
        <v>12384</v>
      </c>
      <c r="G32" s="1" t="s">
        <v>19</v>
      </c>
      <c r="H32" s="1" t="s">
        <v>60</v>
      </c>
      <c r="I32" s="6">
        <v>2024</v>
      </c>
      <c r="J32" s="6">
        <v>33218951</v>
      </c>
      <c r="K32" s="1" t="str">
        <f t="shared" si="0"/>
        <v>30604731018202433218951</v>
      </c>
      <c r="L32" s="5">
        <v>10.5</v>
      </c>
      <c r="M32" s="12">
        <v>1630101.85</v>
      </c>
      <c r="N32" s="12">
        <v>1270547.95</v>
      </c>
      <c r="O32" s="12">
        <v>133407.53</v>
      </c>
      <c r="P32" s="12">
        <v>3078526.51</v>
      </c>
      <c r="Q32" s="1" t="s">
        <v>15</v>
      </c>
      <c r="R32" s="5">
        <v>25410.959999999999</v>
      </c>
      <c r="S32" t="e">
        <f>VLOOKUP(K32,'MIS COMPROBANTES'!E:Q,13,FALSE)</f>
        <v>#N/A</v>
      </c>
    </row>
    <row r="33" spans="1:19" x14ac:dyDescent="0.25">
      <c r="A33" s="3">
        <v>45446</v>
      </c>
      <c r="B33" s="1" t="s">
        <v>21</v>
      </c>
      <c r="C33" s="1" t="s">
        <v>22</v>
      </c>
      <c r="D33" s="1" t="s">
        <v>18</v>
      </c>
      <c r="E33" s="1" t="s">
        <v>585</v>
      </c>
      <c r="F33" s="4">
        <v>12384</v>
      </c>
      <c r="G33" s="1" t="s">
        <v>19</v>
      </c>
      <c r="H33" s="1" t="s">
        <v>60</v>
      </c>
      <c r="I33" s="6">
        <v>2024</v>
      </c>
      <c r="J33" s="6">
        <v>33218951</v>
      </c>
      <c r="K33" s="1" t="str">
        <f t="shared" si="0"/>
        <v>30604731018202433218951</v>
      </c>
      <c r="L33" s="5">
        <v>1.5</v>
      </c>
      <c r="M33" s="12">
        <v>0</v>
      </c>
      <c r="N33" s="12">
        <v>0</v>
      </c>
      <c r="O33" s="12">
        <v>19058.22</v>
      </c>
      <c r="P33" s="12">
        <v>0</v>
      </c>
      <c r="Q33" s="1" t="s">
        <v>15</v>
      </c>
      <c r="R33" s="5">
        <v>0</v>
      </c>
      <c r="S33" t="e">
        <f>VLOOKUP(K33,'MIS COMPROBANTES'!E:Q,13,FALSE)</f>
        <v>#N/A</v>
      </c>
    </row>
    <row r="34" spans="1:19" x14ac:dyDescent="0.25">
      <c r="A34" s="3">
        <v>45446</v>
      </c>
      <c r="B34" s="1" t="s">
        <v>61</v>
      </c>
      <c r="C34" s="1" t="s">
        <v>62</v>
      </c>
      <c r="D34" s="1" t="s">
        <v>18</v>
      </c>
      <c r="E34" s="1" t="s">
        <v>596</v>
      </c>
      <c r="F34" s="4">
        <v>12672</v>
      </c>
      <c r="G34" s="1" t="s">
        <v>19</v>
      </c>
      <c r="H34" s="1" t="s">
        <v>63</v>
      </c>
      <c r="I34" s="6">
        <v>1</v>
      </c>
      <c r="J34" s="6">
        <v>500614</v>
      </c>
      <c r="K34" s="1" t="str">
        <f t="shared" si="0"/>
        <v>337163077491500614</v>
      </c>
      <c r="L34" s="5">
        <v>21</v>
      </c>
      <c r="M34" s="12">
        <v>0</v>
      </c>
      <c r="N34" s="12">
        <v>33638.839999999997</v>
      </c>
      <c r="O34" s="12">
        <v>7064.16</v>
      </c>
      <c r="P34" s="12">
        <v>41236.58</v>
      </c>
      <c r="Q34" s="1" t="s">
        <v>15</v>
      </c>
      <c r="R34" s="5">
        <v>533.58000000000004</v>
      </c>
      <c r="S34">
        <f>VLOOKUP(K34,'MIS COMPROBANTES'!E:Q,13,FALSE)</f>
        <v>41236.58</v>
      </c>
    </row>
    <row r="35" spans="1:19" x14ac:dyDescent="0.25">
      <c r="A35" s="3">
        <v>45446</v>
      </c>
      <c r="B35" s="1" t="s">
        <v>64</v>
      </c>
      <c r="C35" s="1" t="s">
        <v>65</v>
      </c>
      <c r="D35" s="1" t="s">
        <v>18</v>
      </c>
      <c r="E35" s="1" t="s">
        <v>597</v>
      </c>
      <c r="F35" s="4">
        <v>12753</v>
      </c>
      <c r="G35" s="1" t="s">
        <v>19</v>
      </c>
      <c r="H35" s="1" t="s">
        <v>66</v>
      </c>
      <c r="I35" s="6">
        <v>2</v>
      </c>
      <c r="J35" s="6">
        <v>814</v>
      </c>
      <c r="K35" s="1" t="str">
        <f t="shared" si="0"/>
        <v>200843183622814</v>
      </c>
      <c r="L35" s="5">
        <v>21</v>
      </c>
      <c r="M35" s="12">
        <v>0</v>
      </c>
      <c r="N35" s="12">
        <v>768785</v>
      </c>
      <c r="O35" s="12">
        <v>161444.85</v>
      </c>
      <c r="P35" s="12">
        <v>930229.85</v>
      </c>
      <c r="Q35" s="1" t="s">
        <v>15</v>
      </c>
      <c r="R35" s="5">
        <v>0</v>
      </c>
      <c r="S35">
        <f>VLOOKUP(K35,'MIS COMPROBANTES'!E:Q,13,FALSE)</f>
        <v>930229.85</v>
      </c>
    </row>
    <row r="36" spans="1:19" x14ac:dyDescent="0.25">
      <c r="A36" s="3">
        <v>45446</v>
      </c>
      <c r="B36" s="1" t="s">
        <v>67</v>
      </c>
      <c r="C36" s="1" t="s">
        <v>68</v>
      </c>
      <c r="D36" s="1" t="s">
        <v>18</v>
      </c>
      <c r="E36" s="1" t="s">
        <v>598</v>
      </c>
      <c r="F36" s="4">
        <v>12752</v>
      </c>
      <c r="G36" s="1" t="s">
        <v>19</v>
      </c>
      <c r="H36" s="1" t="s">
        <v>69</v>
      </c>
      <c r="I36" s="6">
        <v>3</v>
      </c>
      <c r="J36" s="6">
        <v>3681</v>
      </c>
      <c r="K36" s="1" t="str">
        <f t="shared" si="0"/>
        <v>3071683826533681</v>
      </c>
      <c r="L36" s="5">
        <v>21</v>
      </c>
      <c r="M36" s="12">
        <v>0</v>
      </c>
      <c r="N36" s="12">
        <v>2813580</v>
      </c>
      <c r="O36" s="12">
        <v>590851.80000000005</v>
      </c>
      <c r="P36" s="12">
        <v>3404431.8</v>
      </c>
      <c r="Q36" s="1" t="s">
        <v>15</v>
      </c>
      <c r="R36" s="5">
        <v>0</v>
      </c>
      <c r="S36">
        <f>VLOOKUP(K36,'MIS COMPROBANTES'!E:Q,13,FALSE)</f>
        <v>3404431.8</v>
      </c>
    </row>
    <row r="37" spans="1:19" x14ac:dyDescent="0.25">
      <c r="A37" s="3">
        <v>45446</v>
      </c>
      <c r="B37" s="1" t="s">
        <v>70</v>
      </c>
      <c r="C37" s="1" t="s">
        <v>71</v>
      </c>
      <c r="D37" s="1" t="s">
        <v>18</v>
      </c>
      <c r="E37" s="1" t="s">
        <v>599</v>
      </c>
      <c r="F37" s="4">
        <v>12293</v>
      </c>
      <c r="G37" s="1" t="s">
        <v>19</v>
      </c>
      <c r="H37" s="1" t="s">
        <v>72</v>
      </c>
      <c r="I37" s="6">
        <v>3</v>
      </c>
      <c r="J37" s="6">
        <v>101085</v>
      </c>
      <c r="K37" s="1" t="str">
        <f t="shared" si="0"/>
        <v>307039574783101085</v>
      </c>
      <c r="L37" s="5">
        <v>21</v>
      </c>
      <c r="M37" s="12">
        <v>0</v>
      </c>
      <c r="N37" s="12">
        <v>583670.25</v>
      </c>
      <c r="O37" s="12">
        <v>122570.75</v>
      </c>
      <c r="P37" s="12">
        <v>717914.4</v>
      </c>
      <c r="Q37" s="1" t="s">
        <v>15</v>
      </c>
      <c r="R37" s="5">
        <v>11673.4</v>
      </c>
      <c r="S37">
        <f>VLOOKUP(K37,'MIS COMPROBANTES'!E:Q,13,FALSE)</f>
        <v>717914.4</v>
      </c>
    </row>
    <row r="38" spans="1:19" x14ac:dyDescent="0.25">
      <c r="A38" s="3">
        <v>45446</v>
      </c>
      <c r="B38" s="1" t="s">
        <v>73</v>
      </c>
      <c r="C38" s="1" t="s">
        <v>74</v>
      </c>
      <c r="D38" s="1" t="s">
        <v>18</v>
      </c>
      <c r="E38" s="1" t="s">
        <v>600</v>
      </c>
      <c r="F38" s="4">
        <v>12136</v>
      </c>
      <c r="G38" s="1" t="s">
        <v>19</v>
      </c>
      <c r="H38" s="1" t="s">
        <v>75</v>
      </c>
      <c r="I38" s="6">
        <v>4</v>
      </c>
      <c r="J38" s="6">
        <v>4408</v>
      </c>
      <c r="K38" s="1" t="str">
        <f t="shared" si="0"/>
        <v>3068363198844408</v>
      </c>
      <c r="L38" s="5">
        <v>21</v>
      </c>
      <c r="M38" s="12">
        <v>0</v>
      </c>
      <c r="N38" s="12">
        <v>80500</v>
      </c>
      <c r="O38" s="12">
        <v>16905</v>
      </c>
      <c r="P38" s="12">
        <v>97405</v>
      </c>
      <c r="Q38" s="1" t="s">
        <v>15</v>
      </c>
      <c r="R38" s="5">
        <v>0</v>
      </c>
      <c r="S38">
        <f>VLOOKUP(K38,'MIS COMPROBANTES'!E:Q,13,FALSE)</f>
        <v>97405</v>
      </c>
    </row>
    <row r="39" spans="1:19" x14ac:dyDescent="0.25">
      <c r="A39" s="3">
        <v>45446</v>
      </c>
      <c r="B39" s="1" t="s">
        <v>76</v>
      </c>
      <c r="C39" s="1" t="s">
        <v>77</v>
      </c>
      <c r="D39" s="1" t="s">
        <v>18</v>
      </c>
      <c r="E39" s="1" t="s">
        <v>601</v>
      </c>
      <c r="F39" s="4">
        <v>12245</v>
      </c>
      <c r="G39" s="1" t="s">
        <v>19</v>
      </c>
      <c r="H39" s="1" t="s">
        <v>78</v>
      </c>
      <c r="I39" s="6">
        <v>10</v>
      </c>
      <c r="J39" s="6">
        <v>5781</v>
      </c>
      <c r="K39" s="1" t="str">
        <f t="shared" si="0"/>
        <v>30708784687105781</v>
      </c>
      <c r="L39" s="5">
        <v>21</v>
      </c>
      <c r="M39" s="12">
        <v>0</v>
      </c>
      <c r="N39" s="12">
        <v>5362</v>
      </c>
      <c r="O39" s="12">
        <v>1126.02</v>
      </c>
      <c r="P39" s="12">
        <v>6488.02</v>
      </c>
      <c r="Q39" s="1" t="s">
        <v>15</v>
      </c>
      <c r="R39" s="5">
        <v>0</v>
      </c>
      <c r="S39">
        <f>VLOOKUP(K39,'MIS COMPROBANTES'!E:Q,13,FALSE)</f>
        <v>6488.02</v>
      </c>
    </row>
    <row r="40" spans="1:19" x14ac:dyDescent="0.25">
      <c r="A40" s="3">
        <v>45446</v>
      </c>
      <c r="B40" s="1" t="s">
        <v>79</v>
      </c>
      <c r="C40" s="1" t="s">
        <v>80</v>
      </c>
      <c r="D40" s="1" t="s">
        <v>18</v>
      </c>
      <c r="E40" s="1" t="s">
        <v>602</v>
      </c>
      <c r="F40" s="4">
        <v>12262</v>
      </c>
      <c r="G40" s="1" t="s">
        <v>19</v>
      </c>
      <c r="H40" s="1" t="s">
        <v>81</v>
      </c>
      <c r="I40" s="6">
        <v>1001</v>
      </c>
      <c r="J40" s="6">
        <v>2789</v>
      </c>
      <c r="K40" s="1" t="str">
        <f t="shared" si="0"/>
        <v>3050343016510012789</v>
      </c>
      <c r="L40" s="5">
        <v>21</v>
      </c>
      <c r="M40" s="12">
        <v>0</v>
      </c>
      <c r="N40" s="12">
        <v>875328</v>
      </c>
      <c r="O40" s="12">
        <v>183818.88</v>
      </c>
      <c r="P40" s="12">
        <v>1059146.8799999999</v>
      </c>
      <c r="Q40" s="1" t="s">
        <v>15</v>
      </c>
      <c r="R40" s="5">
        <v>0</v>
      </c>
      <c r="S40">
        <f>VLOOKUP(K40,'MIS COMPROBANTES'!E:Q,13,FALSE)</f>
        <v>1059146.8799999999</v>
      </c>
    </row>
    <row r="41" spans="1:19" x14ac:dyDescent="0.25">
      <c r="A41" s="3">
        <v>45446</v>
      </c>
      <c r="B41" s="1" t="s">
        <v>82</v>
      </c>
      <c r="C41" s="1" t="s">
        <v>83</v>
      </c>
      <c r="D41" s="1" t="s">
        <v>18</v>
      </c>
      <c r="E41" s="1" t="s">
        <v>603</v>
      </c>
      <c r="F41" s="4">
        <v>12800</v>
      </c>
      <c r="G41" s="1" t="s">
        <v>19</v>
      </c>
      <c r="H41" s="1" t="s">
        <v>84</v>
      </c>
      <c r="I41" s="6">
        <v>5011</v>
      </c>
      <c r="J41" s="6">
        <v>629607</v>
      </c>
      <c r="K41" s="1" t="str">
        <f t="shared" si="0"/>
        <v>305748764745011629607</v>
      </c>
      <c r="L41" s="5">
        <v>21</v>
      </c>
      <c r="M41" s="12">
        <v>0.16</v>
      </c>
      <c r="N41" s="12">
        <v>23824.71</v>
      </c>
      <c r="O41" s="12">
        <v>5003.21</v>
      </c>
      <c r="P41" s="12">
        <v>31925.31</v>
      </c>
      <c r="Q41" s="1" t="s">
        <v>15</v>
      </c>
      <c r="R41" s="5">
        <v>3097.23</v>
      </c>
      <c r="S41">
        <f>VLOOKUP(K41,'MIS COMPROBANTES'!E:Q,13,FALSE)</f>
        <v>31925.29</v>
      </c>
    </row>
    <row r="42" spans="1:19" x14ac:dyDescent="0.25">
      <c r="A42" s="3">
        <v>45446</v>
      </c>
      <c r="B42" s="1" t="s">
        <v>82</v>
      </c>
      <c r="C42" s="1" t="s">
        <v>83</v>
      </c>
      <c r="D42" s="1" t="s">
        <v>18</v>
      </c>
      <c r="E42" s="1" t="s">
        <v>603</v>
      </c>
      <c r="F42" s="4">
        <v>12801</v>
      </c>
      <c r="G42" s="1" t="s">
        <v>19</v>
      </c>
      <c r="H42" s="1" t="s">
        <v>85</v>
      </c>
      <c r="I42" s="6">
        <v>5014</v>
      </c>
      <c r="J42" s="6">
        <v>619500</v>
      </c>
      <c r="K42" s="1" t="str">
        <f t="shared" si="0"/>
        <v>305748764745014619500</v>
      </c>
      <c r="L42" s="5">
        <v>21</v>
      </c>
      <c r="M42" s="12">
        <v>0.06</v>
      </c>
      <c r="N42" s="12">
        <v>15131.04</v>
      </c>
      <c r="O42" s="12">
        <v>3177.53</v>
      </c>
      <c r="P42" s="12">
        <v>20275.669999999998</v>
      </c>
      <c r="Q42" s="1" t="s">
        <v>15</v>
      </c>
      <c r="R42" s="5">
        <v>1967.04</v>
      </c>
      <c r="S42">
        <f>VLOOKUP(K42,'MIS COMPROBANTES'!E:Q,13,FALSE)</f>
        <v>20275.66</v>
      </c>
    </row>
    <row r="43" spans="1:19" x14ac:dyDescent="0.25">
      <c r="A43" s="3">
        <v>45446</v>
      </c>
      <c r="B43" s="1" t="s">
        <v>86</v>
      </c>
      <c r="C43" s="1" t="s">
        <v>87</v>
      </c>
      <c r="D43" s="1" t="s">
        <v>88</v>
      </c>
      <c r="E43" s="1" t="s">
        <v>604</v>
      </c>
      <c r="F43" s="4">
        <v>12165</v>
      </c>
      <c r="G43" s="1" t="s">
        <v>19</v>
      </c>
      <c r="H43" s="1" t="s">
        <v>89</v>
      </c>
      <c r="I43" s="6">
        <v>1</v>
      </c>
      <c r="J43" s="6">
        <v>35</v>
      </c>
      <c r="K43" s="1" t="str">
        <f t="shared" si="0"/>
        <v>27444490204135</v>
      </c>
      <c r="L43" s="5">
        <v>0</v>
      </c>
      <c r="M43" s="12">
        <v>350000</v>
      </c>
      <c r="N43" s="12">
        <v>0</v>
      </c>
      <c r="O43" s="12">
        <v>0</v>
      </c>
      <c r="P43" s="12">
        <v>350000</v>
      </c>
      <c r="Q43" s="1" t="s">
        <v>15</v>
      </c>
      <c r="R43" s="5">
        <v>0</v>
      </c>
      <c r="S43">
        <f>VLOOKUP(K43,'MIS COMPROBANTES'!E:Q,13,FALSE)</f>
        <v>350000</v>
      </c>
    </row>
    <row r="44" spans="1:19" x14ac:dyDescent="0.25">
      <c r="A44" s="3">
        <v>45446</v>
      </c>
      <c r="B44" s="1" t="s">
        <v>90</v>
      </c>
      <c r="C44" s="1" t="s">
        <v>91</v>
      </c>
      <c r="D44" s="1" t="s">
        <v>88</v>
      </c>
      <c r="E44" s="1" t="s">
        <v>605</v>
      </c>
      <c r="F44" s="4">
        <v>12164</v>
      </c>
      <c r="G44" s="1" t="s">
        <v>19</v>
      </c>
      <c r="H44" s="1" t="s">
        <v>92</v>
      </c>
      <c r="I44" s="6">
        <v>2</v>
      </c>
      <c r="J44" s="6">
        <v>317</v>
      </c>
      <c r="K44" s="1" t="str">
        <f t="shared" si="0"/>
        <v>272069414192317</v>
      </c>
      <c r="L44" s="5">
        <v>0</v>
      </c>
      <c r="M44" s="12">
        <v>195000</v>
      </c>
      <c r="N44" s="12">
        <v>0</v>
      </c>
      <c r="O44" s="12">
        <v>0</v>
      </c>
      <c r="P44" s="12">
        <v>195000</v>
      </c>
      <c r="Q44" s="1" t="s">
        <v>15</v>
      </c>
      <c r="R44" s="5">
        <v>0</v>
      </c>
      <c r="S44">
        <f>VLOOKUP(K44,'MIS COMPROBANTES'!E:Q,13,FALSE)</f>
        <v>195000</v>
      </c>
    </row>
    <row r="45" spans="1:19" x14ac:dyDescent="0.25">
      <c r="A45" s="3">
        <v>45446</v>
      </c>
      <c r="B45" s="1" t="s">
        <v>93</v>
      </c>
      <c r="C45" s="1" t="s">
        <v>94</v>
      </c>
      <c r="D45" s="1" t="s">
        <v>18</v>
      </c>
      <c r="E45" s="1" t="s">
        <v>606</v>
      </c>
      <c r="F45" s="4">
        <v>12151</v>
      </c>
      <c r="G45" s="1" t="s">
        <v>31</v>
      </c>
      <c r="H45" s="1" t="s">
        <v>95</v>
      </c>
      <c r="I45" s="6">
        <v>204</v>
      </c>
      <c r="J45" s="6">
        <v>98176</v>
      </c>
      <c r="K45" s="1" t="str">
        <f t="shared" si="0"/>
        <v>3050129032320498176</v>
      </c>
      <c r="L45" s="5">
        <v>21</v>
      </c>
      <c r="M45" s="12">
        <v>0</v>
      </c>
      <c r="N45" s="12">
        <v>-2575</v>
      </c>
      <c r="O45" s="12">
        <v>-540.75</v>
      </c>
      <c r="P45" s="12">
        <v>-3193</v>
      </c>
      <c r="Q45" s="1" t="s">
        <v>15</v>
      </c>
      <c r="R45" s="5">
        <v>0</v>
      </c>
      <c r="S45">
        <f>VLOOKUP(K45,'MIS COMPROBANTES'!E:Q,13,FALSE)</f>
        <v>3193</v>
      </c>
    </row>
    <row r="46" spans="1:19" x14ac:dyDescent="0.25">
      <c r="A46" s="3">
        <v>45446</v>
      </c>
      <c r="B46" s="1" t="s">
        <v>93</v>
      </c>
      <c r="C46" s="1" t="s">
        <v>94</v>
      </c>
      <c r="D46" s="1" t="s">
        <v>18</v>
      </c>
      <c r="E46" s="1" t="s">
        <v>606</v>
      </c>
      <c r="F46" s="4">
        <v>12151</v>
      </c>
      <c r="G46" s="1" t="s">
        <v>31</v>
      </c>
      <c r="H46" s="1" t="s">
        <v>95</v>
      </c>
      <c r="I46" s="6">
        <v>204</v>
      </c>
      <c r="J46" s="6">
        <v>98176</v>
      </c>
      <c r="K46" s="1" t="str">
        <f t="shared" si="0"/>
        <v>3050129032320498176</v>
      </c>
      <c r="L46" s="5">
        <v>3</v>
      </c>
      <c r="M46" s="12">
        <v>0</v>
      </c>
      <c r="N46" s="12">
        <v>0</v>
      </c>
      <c r="O46" s="12">
        <v>-77.25</v>
      </c>
      <c r="P46" s="12">
        <v>0</v>
      </c>
      <c r="Q46" s="1" t="s">
        <v>15</v>
      </c>
      <c r="R46" s="5">
        <v>0</v>
      </c>
      <c r="S46">
        <f>VLOOKUP(K46,'MIS COMPROBANTES'!E:Q,13,FALSE)</f>
        <v>3193</v>
      </c>
    </row>
    <row r="47" spans="1:19" x14ac:dyDescent="0.25">
      <c r="A47" s="3">
        <v>45446</v>
      </c>
      <c r="B47" s="1" t="s">
        <v>44</v>
      </c>
      <c r="C47" s="1" t="s">
        <v>45</v>
      </c>
      <c r="D47" s="1" t="s">
        <v>18</v>
      </c>
      <c r="E47" s="1" t="s">
        <v>591</v>
      </c>
      <c r="F47" s="4">
        <v>12403</v>
      </c>
      <c r="G47" s="1" t="s">
        <v>31</v>
      </c>
      <c r="H47" s="1" t="s">
        <v>96</v>
      </c>
      <c r="I47" s="6">
        <v>622</v>
      </c>
      <c r="J47" s="6">
        <v>113410</v>
      </c>
      <c r="K47" s="1" t="str">
        <f t="shared" si="0"/>
        <v>30682032630622113410</v>
      </c>
      <c r="L47" s="5">
        <v>21</v>
      </c>
      <c r="M47" s="12">
        <v>0</v>
      </c>
      <c r="N47" s="12">
        <v>-119221.42</v>
      </c>
      <c r="O47" s="12">
        <v>-25036.5</v>
      </c>
      <c r="P47" s="12">
        <v>-153795.63</v>
      </c>
      <c r="Q47" s="1" t="s">
        <v>15</v>
      </c>
      <c r="R47" s="5">
        <v>-5961.07</v>
      </c>
      <c r="S47">
        <f>VLOOKUP(K47,'MIS COMPROBANTES'!E:Q,13,FALSE)</f>
        <v>153795.63</v>
      </c>
    </row>
    <row r="48" spans="1:19" x14ac:dyDescent="0.25">
      <c r="A48" s="3">
        <v>45446</v>
      </c>
      <c r="B48" s="1" t="s">
        <v>44</v>
      </c>
      <c r="C48" s="1" t="s">
        <v>45</v>
      </c>
      <c r="D48" s="1" t="s">
        <v>18</v>
      </c>
      <c r="E48" s="1" t="s">
        <v>591</v>
      </c>
      <c r="F48" s="4">
        <v>12403</v>
      </c>
      <c r="G48" s="1" t="s">
        <v>31</v>
      </c>
      <c r="H48" s="1" t="s">
        <v>96</v>
      </c>
      <c r="I48" s="6">
        <v>622</v>
      </c>
      <c r="J48" s="6">
        <v>113410</v>
      </c>
      <c r="K48" s="1" t="str">
        <f t="shared" si="0"/>
        <v>30682032630622113410</v>
      </c>
      <c r="L48" s="5">
        <v>3</v>
      </c>
      <c r="M48" s="12">
        <v>0</v>
      </c>
      <c r="N48" s="12">
        <v>0</v>
      </c>
      <c r="O48" s="12">
        <v>-3576.64</v>
      </c>
      <c r="P48" s="12">
        <v>0</v>
      </c>
      <c r="Q48" s="1" t="s">
        <v>15</v>
      </c>
      <c r="R48" s="5">
        <v>0</v>
      </c>
      <c r="S48">
        <f>VLOOKUP(K48,'MIS COMPROBANTES'!E:Q,13,FALSE)</f>
        <v>153795.63</v>
      </c>
    </row>
    <row r="49" spans="1:19" x14ac:dyDescent="0.25">
      <c r="A49" s="3">
        <v>45446</v>
      </c>
      <c r="B49" s="1" t="s">
        <v>97</v>
      </c>
      <c r="C49" s="1" t="s">
        <v>98</v>
      </c>
      <c r="D49" s="1" t="s">
        <v>18</v>
      </c>
      <c r="E49" s="1" t="s">
        <v>607</v>
      </c>
      <c r="F49" s="4">
        <v>12360</v>
      </c>
      <c r="G49" s="1" t="s">
        <v>31</v>
      </c>
      <c r="H49" s="1" t="s">
        <v>99</v>
      </c>
      <c r="I49" s="6">
        <v>2020</v>
      </c>
      <c r="J49" s="6">
        <v>4432</v>
      </c>
      <c r="K49" s="1" t="str">
        <f t="shared" si="0"/>
        <v>3050076826220204432</v>
      </c>
      <c r="L49" s="5">
        <v>21</v>
      </c>
      <c r="M49" s="12">
        <v>0</v>
      </c>
      <c r="N49" s="12">
        <v>-786418.37</v>
      </c>
      <c r="O49" s="12">
        <v>-165147.85999999999</v>
      </c>
      <c r="P49" s="12">
        <v>-975158.78</v>
      </c>
      <c r="Q49" s="1" t="s">
        <v>15</v>
      </c>
      <c r="R49" s="5">
        <v>0</v>
      </c>
      <c r="S49">
        <f>VLOOKUP(K49,'MIS COMPROBANTES'!E:Q,13,FALSE)</f>
        <v>975158.78</v>
      </c>
    </row>
    <row r="50" spans="1:19" x14ac:dyDescent="0.25">
      <c r="A50" s="3">
        <v>45446</v>
      </c>
      <c r="B50" s="1" t="s">
        <v>97</v>
      </c>
      <c r="C50" s="1" t="s">
        <v>98</v>
      </c>
      <c r="D50" s="1" t="s">
        <v>18</v>
      </c>
      <c r="E50" s="1" t="s">
        <v>607</v>
      </c>
      <c r="F50" s="4">
        <v>12360</v>
      </c>
      <c r="G50" s="1" t="s">
        <v>31</v>
      </c>
      <c r="H50" s="1" t="s">
        <v>99</v>
      </c>
      <c r="I50" s="6">
        <v>2020</v>
      </c>
      <c r="J50" s="6">
        <v>4432</v>
      </c>
      <c r="K50" s="1" t="str">
        <f t="shared" si="0"/>
        <v>3050076826220204432</v>
      </c>
      <c r="L50" s="5">
        <v>3</v>
      </c>
      <c r="M50" s="12">
        <v>0</v>
      </c>
      <c r="N50" s="12">
        <v>0</v>
      </c>
      <c r="O50" s="12">
        <v>-23592.55</v>
      </c>
      <c r="P50" s="12">
        <v>0</v>
      </c>
      <c r="Q50" s="1" t="s">
        <v>15</v>
      </c>
      <c r="R50" s="5">
        <v>0</v>
      </c>
      <c r="S50">
        <f>VLOOKUP(K50,'MIS COMPROBANTES'!E:Q,13,FALSE)</f>
        <v>975158.78</v>
      </c>
    </row>
    <row r="51" spans="1:19" x14ac:dyDescent="0.25">
      <c r="A51" s="3">
        <v>45446</v>
      </c>
      <c r="B51" s="1" t="s">
        <v>97</v>
      </c>
      <c r="C51" s="1" t="s">
        <v>98</v>
      </c>
      <c r="D51" s="1" t="s">
        <v>18</v>
      </c>
      <c r="E51" s="1" t="s">
        <v>607</v>
      </c>
      <c r="F51" s="4">
        <v>12400</v>
      </c>
      <c r="G51" s="1" t="s">
        <v>31</v>
      </c>
      <c r="H51" s="1" t="s">
        <v>100</v>
      </c>
      <c r="I51" s="6">
        <v>2020</v>
      </c>
      <c r="J51" s="6">
        <v>4433</v>
      </c>
      <c r="K51" s="1" t="str">
        <f t="shared" si="0"/>
        <v>3050076826220204433</v>
      </c>
      <c r="L51" s="5">
        <v>21</v>
      </c>
      <c r="M51" s="12">
        <v>0</v>
      </c>
      <c r="N51" s="12">
        <v>-90862.59</v>
      </c>
      <c r="O51" s="12">
        <v>-19081.14</v>
      </c>
      <c r="P51" s="12">
        <v>-112669.61</v>
      </c>
      <c r="Q51" s="1" t="s">
        <v>15</v>
      </c>
      <c r="R51" s="5">
        <v>0</v>
      </c>
      <c r="S51">
        <f>VLOOKUP(K51,'MIS COMPROBANTES'!E:Q,13,FALSE)</f>
        <v>112669.61</v>
      </c>
    </row>
    <row r="52" spans="1:19" x14ac:dyDescent="0.25">
      <c r="A52" s="3">
        <v>45446</v>
      </c>
      <c r="B52" s="1" t="s">
        <v>97</v>
      </c>
      <c r="C52" s="1" t="s">
        <v>98</v>
      </c>
      <c r="D52" s="1" t="s">
        <v>18</v>
      </c>
      <c r="E52" s="1" t="s">
        <v>607</v>
      </c>
      <c r="F52" s="4">
        <v>12400</v>
      </c>
      <c r="G52" s="1" t="s">
        <v>31</v>
      </c>
      <c r="H52" s="1" t="s">
        <v>100</v>
      </c>
      <c r="I52" s="6">
        <v>2020</v>
      </c>
      <c r="J52" s="6">
        <v>4433</v>
      </c>
      <c r="K52" s="1" t="str">
        <f t="shared" si="0"/>
        <v>3050076826220204433</v>
      </c>
      <c r="L52" s="5">
        <v>3</v>
      </c>
      <c r="M52" s="12">
        <v>0</v>
      </c>
      <c r="N52" s="12">
        <v>0</v>
      </c>
      <c r="O52" s="12">
        <v>-2725.88</v>
      </c>
      <c r="P52" s="12">
        <v>0</v>
      </c>
      <c r="Q52" s="1" t="s">
        <v>15</v>
      </c>
      <c r="R52" s="5">
        <v>0</v>
      </c>
      <c r="S52">
        <f>VLOOKUP(K52,'MIS COMPROBANTES'!E:Q,13,FALSE)</f>
        <v>112669.61</v>
      </c>
    </row>
    <row r="53" spans="1:19" x14ac:dyDescent="0.25">
      <c r="A53" s="3">
        <v>45446</v>
      </c>
      <c r="B53" s="1" t="s">
        <v>97</v>
      </c>
      <c r="C53" s="1" t="s">
        <v>98</v>
      </c>
      <c r="D53" s="1" t="s">
        <v>18</v>
      </c>
      <c r="E53" s="1" t="s">
        <v>607</v>
      </c>
      <c r="F53" s="4">
        <v>12361</v>
      </c>
      <c r="G53" s="1" t="s">
        <v>31</v>
      </c>
      <c r="H53" s="1" t="s">
        <v>101</v>
      </c>
      <c r="I53" s="6">
        <v>2020</v>
      </c>
      <c r="J53" s="6">
        <v>4434</v>
      </c>
      <c r="K53" s="1" t="str">
        <f t="shared" si="0"/>
        <v>3050076826220204434</v>
      </c>
      <c r="L53" s="5">
        <v>21</v>
      </c>
      <c r="M53" s="12">
        <v>0</v>
      </c>
      <c r="N53" s="12">
        <v>-77358.080000000002</v>
      </c>
      <c r="O53" s="12">
        <v>-16245.2</v>
      </c>
      <c r="P53" s="12">
        <v>-95924.02</v>
      </c>
      <c r="Q53" s="1" t="s">
        <v>15</v>
      </c>
      <c r="R53" s="5">
        <v>0</v>
      </c>
      <c r="S53">
        <f>VLOOKUP(K53,'MIS COMPROBANTES'!E:Q,13,FALSE)</f>
        <v>95924.02</v>
      </c>
    </row>
    <row r="54" spans="1:19" x14ac:dyDescent="0.25">
      <c r="A54" s="3">
        <v>45446</v>
      </c>
      <c r="B54" s="1" t="s">
        <v>97</v>
      </c>
      <c r="C54" s="1" t="s">
        <v>98</v>
      </c>
      <c r="D54" s="1" t="s">
        <v>18</v>
      </c>
      <c r="E54" s="1" t="s">
        <v>607</v>
      </c>
      <c r="F54" s="4">
        <v>12361</v>
      </c>
      <c r="G54" s="1" t="s">
        <v>31</v>
      </c>
      <c r="H54" s="1" t="s">
        <v>101</v>
      </c>
      <c r="I54" s="6">
        <v>2020</v>
      </c>
      <c r="J54" s="6">
        <v>4434</v>
      </c>
      <c r="K54" s="1" t="str">
        <f t="shared" si="0"/>
        <v>3050076826220204434</v>
      </c>
      <c r="L54" s="5">
        <v>3</v>
      </c>
      <c r="M54" s="12">
        <v>0</v>
      </c>
      <c r="N54" s="12">
        <v>0</v>
      </c>
      <c r="O54" s="12">
        <v>-2320.7399999999998</v>
      </c>
      <c r="P54" s="12">
        <v>0</v>
      </c>
      <c r="Q54" s="1" t="s">
        <v>15</v>
      </c>
      <c r="R54" s="5">
        <v>0</v>
      </c>
      <c r="S54">
        <f>VLOOKUP(K54,'MIS COMPROBANTES'!E:Q,13,FALSE)</f>
        <v>95924.02</v>
      </c>
    </row>
    <row r="55" spans="1:19" x14ac:dyDescent="0.25">
      <c r="A55" s="3">
        <v>45447</v>
      </c>
      <c r="B55" s="1" t="s">
        <v>16</v>
      </c>
      <c r="C55" s="1" t="s">
        <v>17</v>
      </c>
      <c r="D55" s="1" t="s">
        <v>18</v>
      </c>
      <c r="E55" s="1" t="s">
        <v>584</v>
      </c>
      <c r="F55" s="4">
        <v>12386</v>
      </c>
      <c r="G55" s="1" t="s">
        <v>19</v>
      </c>
      <c r="H55" s="1" t="s">
        <v>102</v>
      </c>
      <c r="I55" s="6">
        <v>391</v>
      </c>
      <c r="J55" s="6">
        <v>1019725</v>
      </c>
      <c r="K55" s="1" t="str">
        <f t="shared" si="0"/>
        <v>305000084543911019725</v>
      </c>
      <c r="L55" s="5">
        <v>10.5</v>
      </c>
      <c r="M55" s="12">
        <v>16788443.329999998</v>
      </c>
      <c r="N55" s="12">
        <v>1157950.44</v>
      </c>
      <c r="O55" s="12">
        <v>121584.8</v>
      </c>
      <c r="P55" s="12">
        <v>18108506.84</v>
      </c>
      <c r="Q55" s="1" t="s">
        <v>15</v>
      </c>
      <c r="R55" s="5">
        <v>23159.01</v>
      </c>
      <c r="S55" t="e">
        <f>VLOOKUP(K55,'MIS COMPROBANTES'!E:Q,13,FALSE)</f>
        <v>#N/A</v>
      </c>
    </row>
    <row r="56" spans="1:19" x14ac:dyDescent="0.25">
      <c r="A56" s="3">
        <v>45447</v>
      </c>
      <c r="B56" s="1" t="s">
        <v>16</v>
      </c>
      <c r="C56" s="1" t="s">
        <v>17</v>
      </c>
      <c r="D56" s="1" t="s">
        <v>18</v>
      </c>
      <c r="E56" s="1" t="s">
        <v>584</v>
      </c>
      <c r="F56" s="4">
        <v>12386</v>
      </c>
      <c r="G56" s="1" t="s">
        <v>19</v>
      </c>
      <c r="H56" s="1" t="s">
        <v>102</v>
      </c>
      <c r="I56" s="6">
        <v>391</v>
      </c>
      <c r="J56" s="6">
        <v>1019725</v>
      </c>
      <c r="K56" s="1" t="str">
        <f t="shared" si="0"/>
        <v>305000084543911019725</v>
      </c>
      <c r="L56" s="5">
        <v>1.5</v>
      </c>
      <c r="M56" s="12">
        <v>0</v>
      </c>
      <c r="N56" s="12">
        <v>0</v>
      </c>
      <c r="O56" s="12">
        <v>17369.259999999998</v>
      </c>
      <c r="P56" s="12">
        <v>0</v>
      </c>
      <c r="Q56" s="1" t="s">
        <v>15</v>
      </c>
      <c r="R56" s="5">
        <v>0</v>
      </c>
      <c r="S56" t="e">
        <f>VLOOKUP(K56,'MIS COMPROBANTES'!E:Q,13,FALSE)</f>
        <v>#N/A</v>
      </c>
    </row>
    <row r="57" spans="1:19" x14ac:dyDescent="0.25">
      <c r="A57" s="3">
        <v>45447</v>
      </c>
      <c r="B57" s="1" t="s">
        <v>16</v>
      </c>
      <c r="C57" s="1" t="s">
        <v>17</v>
      </c>
      <c r="D57" s="1" t="s">
        <v>18</v>
      </c>
      <c r="E57" s="1" t="s">
        <v>584</v>
      </c>
      <c r="F57" s="4">
        <v>12385</v>
      </c>
      <c r="G57" s="1" t="s">
        <v>19</v>
      </c>
      <c r="H57" s="1" t="s">
        <v>103</v>
      </c>
      <c r="I57" s="6">
        <v>391</v>
      </c>
      <c r="J57" s="6">
        <v>1020392</v>
      </c>
      <c r="K57" s="1" t="str">
        <f t="shared" si="0"/>
        <v>305000084543911020392</v>
      </c>
      <c r="L57" s="5">
        <v>10.5</v>
      </c>
      <c r="M57" s="12">
        <v>7087020.46</v>
      </c>
      <c r="N57" s="12">
        <v>439975.54</v>
      </c>
      <c r="O57" s="12">
        <v>46197.43</v>
      </c>
      <c r="P57" s="12">
        <v>7588592.5700000003</v>
      </c>
      <c r="Q57" s="1" t="s">
        <v>15</v>
      </c>
      <c r="R57" s="5">
        <v>8799.51</v>
      </c>
      <c r="S57" t="e">
        <f>VLOOKUP(K57,'MIS COMPROBANTES'!E:Q,13,FALSE)</f>
        <v>#N/A</v>
      </c>
    </row>
    <row r="58" spans="1:19" x14ac:dyDescent="0.25">
      <c r="A58" s="3">
        <v>45447</v>
      </c>
      <c r="B58" s="1" t="s">
        <v>16</v>
      </c>
      <c r="C58" s="1" t="s">
        <v>17</v>
      </c>
      <c r="D58" s="1" t="s">
        <v>18</v>
      </c>
      <c r="E58" s="1" t="s">
        <v>584</v>
      </c>
      <c r="F58" s="4">
        <v>12385</v>
      </c>
      <c r="G58" s="1" t="s">
        <v>19</v>
      </c>
      <c r="H58" s="1" t="s">
        <v>103</v>
      </c>
      <c r="I58" s="6">
        <v>391</v>
      </c>
      <c r="J58" s="6">
        <v>1020392</v>
      </c>
      <c r="K58" s="1" t="str">
        <f t="shared" si="0"/>
        <v>305000084543911020392</v>
      </c>
      <c r="L58" s="5">
        <v>1.5</v>
      </c>
      <c r="M58" s="12">
        <v>0</v>
      </c>
      <c r="N58" s="12">
        <v>0</v>
      </c>
      <c r="O58" s="12">
        <v>6599.63</v>
      </c>
      <c r="P58" s="12">
        <v>0</v>
      </c>
      <c r="Q58" s="1" t="s">
        <v>15</v>
      </c>
      <c r="R58" s="5">
        <v>0</v>
      </c>
      <c r="S58" t="e">
        <f>VLOOKUP(K58,'MIS COMPROBANTES'!E:Q,13,FALSE)</f>
        <v>#N/A</v>
      </c>
    </row>
    <row r="59" spans="1:19" x14ac:dyDescent="0.25">
      <c r="A59" s="3">
        <v>45447</v>
      </c>
      <c r="B59" s="1" t="s">
        <v>16</v>
      </c>
      <c r="C59" s="1" t="s">
        <v>17</v>
      </c>
      <c r="D59" s="1" t="s">
        <v>18</v>
      </c>
      <c r="E59" s="1" t="s">
        <v>584</v>
      </c>
      <c r="F59" s="4">
        <v>12367</v>
      </c>
      <c r="G59" s="1" t="s">
        <v>19</v>
      </c>
      <c r="H59" s="1" t="s">
        <v>104</v>
      </c>
      <c r="I59" s="6">
        <v>2024</v>
      </c>
      <c r="J59" s="6">
        <v>94320511</v>
      </c>
      <c r="K59" s="1" t="str">
        <f t="shared" si="0"/>
        <v>30500008454202494320511</v>
      </c>
      <c r="L59" s="5">
        <v>10.5</v>
      </c>
      <c r="M59" s="12">
        <v>2006179.26</v>
      </c>
      <c r="N59" s="12">
        <v>304206.19</v>
      </c>
      <c r="O59" s="12">
        <v>31941.65</v>
      </c>
      <c r="P59" s="12">
        <v>2352974.31</v>
      </c>
      <c r="Q59" s="1" t="s">
        <v>15</v>
      </c>
      <c r="R59" s="5">
        <v>6084.12</v>
      </c>
      <c r="S59" t="e">
        <f>VLOOKUP(K59,'MIS COMPROBANTES'!E:Q,13,FALSE)</f>
        <v>#N/A</v>
      </c>
    </row>
    <row r="60" spans="1:19" x14ac:dyDescent="0.25">
      <c r="A60" s="3">
        <v>45447</v>
      </c>
      <c r="B60" s="1" t="s">
        <v>16</v>
      </c>
      <c r="C60" s="1" t="s">
        <v>17</v>
      </c>
      <c r="D60" s="1" t="s">
        <v>18</v>
      </c>
      <c r="E60" s="1" t="s">
        <v>584</v>
      </c>
      <c r="F60" s="4">
        <v>12367</v>
      </c>
      <c r="G60" s="1" t="s">
        <v>19</v>
      </c>
      <c r="H60" s="1" t="s">
        <v>104</v>
      </c>
      <c r="I60" s="6">
        <v>2024</v>
      </c>
      <c r="J60" s="6">
        <v>94320511</v>
      </c>
      <c r="K60" s="1" t="str">
        <f t="shared" si="0"/>
        <v>30500008454202494320511</v>
      </c>
      <c r="L60" s="5">
        <v>1.5</v>
      </c>
      <c r="M60" s="12">
        <v>0</v>
      </c>
      <c r="N60" s="12">
        <v>0</v>
      </c>
      <c r="O60" s="12">
        <v>4563.09</v>
      </c>
      <c r="P60" s="12">
        <v>0</v>
      </c>
      <c r="Q60" s="1" t="s">
        <v>15</v>
      </c>
      <c r="R60" s="5">
        <v>0</v>
      </c>
      <c r="S60" t="e">
        <f>VLOOKUP(K60,'MIS COMPROBANTES'!E:Q,13,FALSE)</f>
        <v>#N/A</v>
      </c>
    </row>
    <row r="61" spans="1:19" x14ac:dyDescent="0.25">
      <c r="A61" s="3">
        <v>45447</v>
      </c>
      <c r="B61" s="1" t="s">
        <v>105</v>
      </c>
      <c r="C61" s="1" t="s">
        <v>106</v>
      </c>
      <c r="D61" s="1" t="s">
        <v>18</v>
      </c>
      <c r="E61" s="1" t="s">
        <v>608</v>
      </c>
      <c r="F61" s="4">
        <v>12166</v>
      </c>
      <c r="G61" s="1" t="s">
        <v>19</v>
      </c>
      <c r="H61" s="1" t="s">
        <v>107</v>
      </c>
      <c r="I61" s="6">
        <v>2</v>
      </c>
      <c r="J61" s="6">
        <v>1037</v>
      </c>
      <c r="K61" s="1" t="str">
        <f t="shared" si="0"/>
        <v>2314856169921037</v>
      </c>
      <c r="L61" s="5">
        <v>21</v>
      </c>
      <c r="M61" s="12">
        <v>0</v>
      </c>
      <c r="N61" s="12">
        <v>396000</v>
      </c>
      <c r="O61" s="12">
        <v>83160</v>
      </c>
      <c r="P61" s="12">
        <v>479160</v>
      </c>
      <c r="Q61" s="1" t="s">
        <v>15</v>
      </c>
      <c r="R61" s="5">
        <v>0</v>
      </c>
      <c r="S61">
        <f>VLOOKUP(K61,'MIS COMPROBANTES'!E:Q,13,FALSE)</f>
        <v>479160</v>
      </c>
    </row>
    <row r="62" spans="1:19" x14ac:dyDescent="0.25">
      <c r="A62" s="3">
        <v>45447</v>
      </c>
      <c r="B62" s="1" t="s">
        <v>108</v>
      </c>
      <c r="C62" s="1" t="s">
        <v>109</v>
      </c>
      <c r="D62" s="1" t="s">
        <v>18</v>
      </c>
      <c r="E62" s="1" t="s">
        <v>609</v>
      </c>
      <c r="F62" s="4">
        <v>12465</v>
      </c>
      <c r="G62" s="1" t="s">
        <v>19</v>
      </c>
      <c r="H62" s="1" t="s">
        <v>110</v>
      </c>
      <c r="I62" s="6">
        <v>3</v>
      </c>
      <c r="J62" s="6">
        <v>1398</v>
      </c>
      <c r="K62" s="1" t="str">
        <f t="shared" si="0"/>
        <v>3071474643631398</v>
      </c>
      <c r="L62" s="5">
        <v>21</v>
      </c>
      <c r="M62" s="12">
        <v>0</v>
      </c>
      <c r="N62" s="12">
        <v>247070.52</v>
      </c>
      <c r="O62" s="12">
        <v>51884.81</v>
      </c>
      <c r="P62" s="12">
        <v>298955.33</v>
      </c>
      <c r="Q62" s="1" t="s">
        <v>15</v>
      </c>
      <c r="R62" s="5">
        <v>0</v>
      </c>
      <c r="S62">
        <f>VLOOKUP(K62,'MIS COMPROBANTES'!E:Q,13,FALSE)</f>
        <v>298955.33</v>
      </c>
    </row>
    <row r="63" spans="1:19" x14ac:dyDescent="0.25">
      <c r="A63" s="3">
        <v>45447</v>
      </c>
      <c r="B63" s="1" t="s">
        <v>111</v>
      </c>
      <c r="C63" s="1" t="s">
        <v>112</v>
      </c>
      <c r="D63" s="1" t="s">
        <v>18</v>
      </c>
      <c r="E63" s="1" t="s">
        <v>610</v>
      </c>
      <c r="F63" s="4">
        <v>12372</v>
      </c>
      <c r="G63" s="1" t="s">
        <v>19</v>
      </c>
      <c r="H63" s="1" t="s">
        <v>113</v>
      </c>
      <c r="I63" s="6">
        <v>3</v>
      </c>
      <c r="J63" s="6">
        <v>5280</v>
      </c>
      <c r="K63" s="1" t="str">
        <f t="shared" si="0"/>
        <v>3371419199935280</v>
      </c>
      <c r="L63" s="5">
        <v>21</v>
      </c>
      <c r="M63" s="12">
        <v>0</v>
      </c>
      <c r="N63" s="12">
        <v>535880</v>
      </c>
      <c r="O63" s="12">
        <v>112534.8</v>
      </c>
      <c r="P63" s="12">
        <v>648414.80000000005</v>
      </c>
      <c r="Q63" s="1" t="s">
        <v>15</v>
      </c>
      <c r="R63" s="5">
        <v>0</v>
      </c>
      <c r="S63">
        <f>VLOOKUP(K63,'MIS COMPROBANTES'!E:Q,13,FALSE)</f>
        <v>648414.80000000005</v>
      </c>
    </row>
    <row r="64" spans="1:19" x14ac:dyDescent="0.25">
      <c r="A64" s="3">
        <v>45447</v>
      </c>
      <c r="B64" s="1" t="s">
        <v>114</v>
      </c>
      <c r="C64" s="1" t="s">
        <v>115</v>
      </c>
      <c r="D64" s="1" t="s">
        <v>18</v>
      </c>
      <c r="E64" s="1" t="s">
        <v>611</v>
      </c>
      <c r="F64" s="4">
        <v>12331</v>
      </c>
      <c r="G64" s="1" t="s">
        <v>19</v>
      </c>
      <c r="H64" s="1" t="s">
        <v>116</v>
      </c>
      <c r="I64" s="6">
        <v>6</v>
      </c>
      <c r="J64" s="6">
        <v>14199</v>
      </c>
      <c r="K64" s="1" t="str">
        <f t="shared" si="0"/>
        <v>30712201467614199</v>
      </c>
      <c r="L64" s="5">
        <v>21</v>
      </c>
      <c r="M64" s="12">
        <v>12624.2</v>
      </c>
      <c r="N64" s="12">
        <v>86267.61</v>
      </c>
      <c r="O64" s="12">
        <v>18116.2</v>
      </c>
      <c r="P64" s="12">
        <v>117008.01</v>
      </c>
      <c r="Q64" s="1" t="s">
        <v>15</v>
      </c>
      <c r="R64" s="5">
        <v>0</v>
      </c>
      <c r="S64" t="e">
        <f>VLOOKUP(K64,'MIS COMPROBANTES'!E:Q,13,FALSE)</f>
        <v>#N/A</v>
      </c>
    </row>
    <row r="65" spans="1:19" x14ac:dyDescent="0.25">
      <c r="A65" s="3">
        <v>45447</v>
      </c>
      <c r="B65" s="1" t="s">
        <v>117</v>
      </c>
      <c r="C65" s="1" t="s">
        <v>118</v>
      </c>
      <c r="D65" s="1" t="s">
        <v>18</v>
      </c>
      <c r="E65" s="1" t="s">
        <v>612</v>
      </c>
      <c r="F65" s="4">
        <v>12265</v>
      </c>
      <c r="G65" s="1" t="s">
        <v>19</v>
      </c>
      <c r="H65" s="1" t="s">
        <v>119</v>
      </c>
      <c r="I65" s="6">
        <v>91</v>
      </c>
      <c r="J65" s="6">
        <v>245410</v>
      </c>
      <c r="K65" s="1" t="str">
        <f t="shared" si="0"/>
        <v>3070705980691245410</v>
      </c>
      <c r="L65" s="5">
        <v>21</v>
      </c>
      <c r="M65" s="12">
        <v>0</v>
      </c>
      <c r="N65" s="12">
        <v>3750000</v>
      </c>
      <c r="O65" s="12">
        <v>787500</v>
      </c>
      <c r="P65" s="12">
        <v>4818750</v>
      </c>
      <c r="Q65" s="1" t="s">
        <v>120</v>
      </c>
      <c r="R65" s="5">
        <v>168750</v>
      </c>
      <c r="S65">
        <f>VLOOKUP(K65,'MIS COMPROBANTES'!E:Q,13,FALSE)</f>
        <v>4818750</v>
      </c>
    </row>
    <row r="66" spans="1:19" x14ac:dyDescent="0.25">
      <c r="A66" s="3">
        <v>45447</v>
      </c>
      <c r="B66" s="1" t="s">
        <v>117</v>
      </c>
      <c r="C66" s="1" t="s">
        <v>118</v>
      </c>
      <c r="D66" s="1" t="s">
        <v>18</v>
      </c>
      <c r="E66" s="1" t="s">
        <v>612</v>
      </c>
      <c r="F66" s="4">
        <v>12265</v>
      </c>
      <c r="G66" s="1" t="s">
        <v>19</v>
      </c>
      <c r="H66" s="1" t="s">
        <v>119</v>
      </c>
      <c r="I66" s="6">
        <v>91</v>
      </c>
      <c r="J66" s="6">
        <v>245410</v>
      </c>
      <c r="K66" s="1" t="str">
        <f t="shared" si="0"/>
        <v>3070705980691245410</v>
      </c>
      <c r="L66" s="5">
        <v>3</v>
      </c>
      <c r="M66" s="12">
        <v>0</v>
      </c>
      <c r="N66" s="12">
        <v>0</v>
      </c>
      <c r="O66" s="12">
        <v>112500</v>
      </c>
      <c r="P66" s="12">
        <v>0</v>
      </c>
      <c r="Q66" s="1" t="s">
        <v>120</v>
      </c>
      <c r="R66" s="5">
        <v>0</v>
      </c>
      <c r="S66">
        <f>VLOOKUP(K66,'MIS COMPROBANTES'!E:Q,13,FALSE)</f>
        <v>4818750</v>
      </c>
    </row>
    <row r="67" spans="1:19" x14ac:dyDescent="0.25">
      <c r="A67" s="3">
        <v>45447</v>
      </c>
      <c r="B67" s="1" t="s">
        <v>121</v>
      </c>
      <c r="C67" s="1" t="s">
        <v>122</v>
      </c>
      <c r="D67" s="1" t="s">
        <v>18</v>
      </c>
      <c r="E67" s="1" t="s">
        <v>613</v>
      </c>
      <c r="F67" s="4">
        <v>12794</v>
      </c>
      <c r="G67" s="1" t="s">
        <v>19</v>
      </c>
      <c r="H67" s="1" t="s">
        <v>123</v>
      </c>
      <c r="I67" s="6">
        <v>711</v>
      </c>
      <c r="J67" s="6">
        <v>5776565</v>
      </c>
      <c r="K67" s="1" t="str">
        <f t="shared" ref="K67:K128" si="1">CONCATENATE(E67,I67,J67)</f>
        <v>306772371197115776565</v>
      </c>
      <c r="L67" s="5">
        <v>21</v>
      </c>
      <c r="M67" s="12">
        <v>0</v>
      </c>
      <c r="N67" s="12">
        <v>12355.38</v>
      </c>
      <c r="O67" s="12">
        <v>2594.62</v>
      </c>
      <c r="P67" s="12">
        <v>15876.65</v>
      </c>
      <c r="Q67" s="1" t="s">
        <v>15</v>
      </c>
      <c r="R67" s="5">
        <v>555.99</v>
      </c>
      <c r="S67">
        <f>VLOOKUP(K67,'MIS COMPROBANTES'!E:Q,13,FALSE)</f>
        <v>15876.65</v>
      </c>
    </row>
    <row r="68" spans="1:19" x14ac:dyDescent="0.25">
      <c r="A68" s="3">
        <v>45447</v>
      </c>
      <c r="B68" s="1" t="s">
        <v>121</v>
      </c>
      <c r="C68" s="1" t="s">
        <v>122</v>
      </c>
      <c r="D68" s="1" t="s">
        <v>18</v>
      </c>
      <c r="E68" s="1" t="s">
        <v>613</v>
      </c>
      <c r="F68" s="4">
        <v>12794</v>
      </c>
      <c r="G68" s="1" t="s">
        <v>19</v>
      </c>
      <c r="H68" s="1" t="s">
        <v>123</v>
      </c>
      <c r="I68" s="6">
        <v>711</v>
      </c>
      <c r="J68" s="6">
        <v>5776565</v>
      </c>
      <c r="K68" s="1" t="str">
        <f t="shared" si="1"/>
        <v>306772371197115776565</v>
      </c>
      <c r="L68" s="5">
        <v>3</v>
      </c>
      <c r="M68" s="12">
        <v>0</v>
      </c>
      <c r="N68" s="12">
        <v>0</v>
      </c>
      <c r="O68" s="12">
        <v>370.66</v>
      </c>
      <c r="P68" s="12">
        <v>0</v>
      </c>
      <c r="Q68" s="1" t="s">
        <v>15</v>
      </c>
      <c r="R68" s="5">
        <v>0</v>
      </c>
      <c r="S68">
        <f>VLOOKUP(K68,'MIS COMPROBANTES'!E:Q,13,FALSE)</f>
        <v>15876.65</v>
      </c>
    </row>
    <row r="69" spans="1:19" x14ac:dyDescent="0.25">
      <c r="A69" s="3">
        <v>45447</v>
      </c>
      <c r="B69" s="1" t="s">
        <v>121</v>
      </c>
      <c r="C69" s="1" t="s">
        <v>122</v>
      </c>
      <c r="D69" s="1" t="s">
        <v>18</v>
      </c>
      <c r="E69" s="1" t="s">
        <v>613</v>
      </c>
      <c r="F69" s="4">
        <v>12795</v>
      </c>
      <c r="G69" s="1" t="s">
        <v>19</v>
      </c>
      <c r="H69" s="1" t="s">
        <v>124</v>
      </c>
      <c r="I69" s="6">
        <v>711</v>
      </c>
      <c r="J69" s="6">
        <v>5779436</v>
      </c>
      <c r="K69" s="1" t="str">
        <f t="shared" si="1"/>
        <v>306772371197115779436</v>
      </c>
      <c r="L69" s="5">
        <v>21</v>
      </c>
      <c r="M69" s="12">
        <v>0</v>
      </c>
      <c r="N69" s="12">
        <v>60000.23</v>
      </c>
      <c r="O69" s="12">
        <v>12599.77</v>
      </c>
      <c r="P69" s="12">
        <v>77100.02</v>
      </c>
      <c r="Q69" s="1" t="s">
        <v>15</v>
      </c>
      <c r="R69" s="5">
        <v>2700.01</v>
      </c>
      <c r="S69">
        <f>VLOOKUP(K69,'MIS COMPROBANTES'!E:Q,13,FALSE)</f>
        <v>77100.02</v>
      </c>
    </row>
    <row r="70" spans="1:19" x14ac:dyDescent="0.25">
      <c r="A70" s="3">
        <v>45447</v>
      </c>
      <c r="B70" s="1" t="s">
        <v>121</v>
      </c>
      <c r="C70" s="1" t="s">
        <v>122</v>
      </c>
      <c r="D70" s="1" t="s">
        <v>18</v>
      </c>
      <c r="E70" s="1" t="s">
        <v>613</v>
      </c>
      <c r="F70" s="4">
        <v>12795</v>
      </c>
      <c r="G70" s="1" t="s">
        <v>19</v>
      </c>
      <c r="H70" s="1" t="s">
        <v>124</v>
      </c>
      <c r="I70" s="6">
        <v>711</v>
      </c>
      <c r="J70" s="6">
        <v>5779436</v>
      </c>
      <c r="K70" s="1" t="str">
        <f t="shared" si="1"/>
        <v>306772371197115779436</v>
      </c>
      <c r="L70" s="5">
        <v>3</v>
      </c>
      <c r="M70" s="12">
        <v>0</v>
      </c>
      <c r="N70" s="12">
        <v>0</v>
      </c>
      <c r="O70" s="12">
        <v>1800.01</v>
      </c>
      <c r="P70" s="12">
        <v>0</v>
      </c>
      <c r="Q70" s="1" t="s">
        <v>15</v>
      </c>
      <c r="R70" s="5">
        <v>0</v>
      </c>
      <c r="S70">
        <f>VLOOKUP(K70,'MIS COMPROBANTES'!E:Q,13,FALSE)</f>
        <v>77100.02</v>
      </c>
    </row>
    <row r="71" spans="1:19" x14ac:dyDescent="0.25">
      <c r="A71" s="3">
        <v>45447</v>
      </c>
      <c r="B71" s="1" t="s">
        <v>121</v>
      </c>
      <c r="C71" s="1" t="s">
        <v>122</v>
      </c>
      <c r="D71" s="1" t="s">
        <v>18</v>
      </c>
      <c r="E71" s="1" t="s">
        <v>613</v>
      </c>
      <c r="F71" s="4">
        <v>12796</v>
      </c>
      <c r="G71" s="1" t="s">
        <v>19</v>
      </c>
      <c r="H71" s="1" t="s">
        <v>125</v>
      </c>
      <c r="I71" s="6">
        <v>711</v>
      </c>
      <c r="J71" s="6">
        <v>5781253</v>
      </c>
      <c r="K71" s="1" t="str">
        <f t="shared" si="1"/>
        <v>306772371197115781253</v>
      </c>
      <c r="L71" s="5">
        <v>21</v>
      </c>
      <c r="M71" s="12">
        <v>0</v>
      </c>
      <c r="N71" s="12">
        <v>66611.740000000005</v>
      </c>
      <c r="O71" s="12">
        <v>13988.26</v>
      </c>
      <c r="P71" s="12">
        <v>85595.87</v>
      </c>
      <c r="Q71" s="1" t="s">
        <v>15</v>
      </c>
      <c r="R71" s="5">
        <v>2997.52</v>
      </c>
      <c r="S71">
        <f>VLOOKUP(K71,'MIS COMPROBANTES'!E:Q,13,FALSE)</f>
        <v>85595.87</v>
      </c>
    </row>
    <row r="72" spans="1:19" x14ac:dyDescent="0.25">
      <c r="A72" s="3">
        <v>45447</v>
      </c>
      <c r="B72" s="1" t="s">
        <v>121</v>
      </c>
      <c r="C72" s="1" t="s">
        <v>122</v>
      </c>
      <c r="D72" s="1" t="s">
        <v>18</v>
      </c>
      <c r="E72" s="1" t="s">
        <v>613</v>
      </c>
      <c r="F72" s="4">
        <v>12796</v>
      </c>
      <c r="G72" s="1" t="s">
        <v>19</v>
      </c>
      <c r="H72" s="1" t="s">
        <v>125</v>
      </c>
      <c r="I72" s="6">
        <v>711</v>
      </c>
      <c r="J72" s="6">
        <v>5781253</v>
      </c>
      <c r="K72" s="1" t="str">
        <f t="shared" si="1"/>
        <v>306772371197115781253</v>
      </c>
      <c r="L72" s="5">
        <v>3</v>
      </c>
      <c r="M72" s="12">
        <v>0</v>
      </c>
      <c r="N72" s="12">
        <v>0</v>
      </c>
      <c r="O72" s="12">
        <v>1998.35</v>
      </c>
      <c r="P72" s="12">
        <v>0</v>
      </c>
      <c r="Q72" s="1" t="s">
        <v>15</v>
      </c>
      <c r="R72" s="5">
        <v>0</v>
      </c>
      <c r="S72">
        <f>VLOOKUP(K72,'MIS COMPROBANTES'!E:Q,13,FALSE)</f>
        <v>85595.87</v>
      </c>
    </row>
    <row r="73" spans="1:19" x14ac:dyDescent="0.25">
      <c r="A73" s="3">
        <v>45447</v>
      </c>
      <c r="B73" s="1" t="s">
        <v>126</v>
      </c>
      <c r="C73" s="1" t="s">
        <v>127</v>
      </c>
      <c r="D73" s="1" t="s">
        <v>18</v>
      </c>
      <c r="E73" s="1" t="s">
        <v>614</v>
      </c>
      <c r="F73" s="4">
        <v>12266</v>
      </c>
      <c r="G73" s="1" t="s">
        <v>19</v>
      </c>
      <c r="H73" s="1" t="s">
        <v>128</v>
      </c>
      <c r="I73" s="6">
        <v>1001</v>
      </c>
      <c r="J73" s="6">
        <v>236946</v>
      </c>
      <c r="K73" s="1" t="str">
        <f t="shared" si="1"/>
        <v>305866115221001236946</v>
      </c>
      <c r="L73" s="5">
        <v>21</v>
      </c>
      <c r="M73" s="12">
        <v>0</v>
      </c>
      <c r="N73" s="12">
        <v>8738760</v>
      </c>
      <c r="O73" s="12">
        <v>1835139.6</v>
      </c>
      <c r="P73" s="12">
        <v>11229306.6</v>
      </c>
      <c r="Q73" s="1" t="s">
        <v>15</v>
      </c>
      <c r="R73" s="5">
        <v>393244.2</v>
      </c>
      <c r="S73">
        <f>VLOOKUP(K73,'MIS COMPROBANTES'!E:Q,13,FALSE)</f>
        <v>11229306.6</v>
      </c>
    </row>
    <row r="74" spans="1:19" x14ac:dyDescent="0.25">
      <c r="A74" s="3">
        <v>45447</v>
      </c>
      <c r="B74" s="1" t="s">
        <v>126</v>
      </c>
      <c r="C74" s="1" t="s">
        <v>127</v>
      </c>
      <c r="D74" s="1" t="s">
        <v>18</v>
      </c>
      <c r="E74" s="1" t="s">
        <v>614</v>
      </c>
      <c r="F74" s="4">
        <v>12266</v>
      </c>
      <c r="G74" s="1" t="s">
        <v>19</v>
      </c>
      <c r="H74" s="1" t="s">
        <v>128</v>
      </c>
      <c r="I74" s="6">
        <v>1001</v>
      </c>
      <c r="J74" s="6">
        <v>236946</v>
      </c>
      <c r="K74" s="1" t="str">
        <f t="shared" si="1"/>
        <v>305866115221001236946</v>
      </c>
      <c r="L74" s="5">
        <v>3</v>
      </c>
      <c r="M74" s="12">
        <v>0</v>
      </c>
      <c r="N74" s="12">
        <v>0</v>
      </c>
      <c r="O74" s="12">
        <v>262162.8</v>
      </c>
      <c r="P74" s="12">
        <v>0</v>
      </c>
      <c r="Q74" s="1" t="s">
        <v>15</v>
      </c>
      <c r="R74" s="5">
        <v>0</v>
      </c>
      <c r="S74">
        <f>VLOOKUP(K74,'MIS COMPROBANTES'!E:Q,13,FALSE)</f>
        <v>11229306.6</v>
      </c>
    </row>
    <row r="75" spans="1:19" x14ac:dyDescent="0.25">
      <c r="A75" s="3">
        <v>45447</v>
      </c>
      <c r="B75" s="1" t="s">
        <v>129</v>
      </c>
      <c r="C75" s="1" t="s">
        <v>130</v>
      </c>
      <c r="D75" s="1" t="s">
        <v>18</v>
      </c>
      <c r="E75" s="1" t="s">
        <v>615</v>
      </c>
      <c r="F75" s="4">
        <v>12274</v>
      </c>
      <c r="G75" s="1" t="s">
        <v>19</v>
      </c>
      <c r="H75" s="1" t="s">
        <v>131</v>
      </c>
      <c r="I75" s="6">
        <v>6004</v>
      </c>
      <c r="J75" s="6">
        <v>3644600</v>
      </c>
      <c r="K75" s="1" t="str">
        <f t="shared" si="1"/>
        <v>3050111624260043644600</v>
      </c>
      <c r="L75" s="5">
        <v>21</v>
      </c>
      <c r="M75" s="12">
        <v>0</v>
      </c>
      <c r="N75" s="12">
        <v>441034.13</v>
      </c>
      <c r="O75" s="12">
        <v>92617.17</v>
      </c>
      <c r="P75" s="12">
        <v>555703</v>
      </c>
      <c r="Q75" s="1" t="s">
        <v>15</v>
      </c>
      <c r="R75" s="5">
        <v>8820.68</v>
      </c>
      <c r="S75">
        <f>VLOOKUP(K75,'MIS COMPROBANTES'!E:Q,13,FALSE)</f>
        <v>555703</v>
      </c>
    </row>
    <row r="76" spans="1:19" x14ac:dyDescent="0.25">
      <c r="A76" s="3">
        <v>45447</v>
      </c>
      <c r="B76" s="1" t="s">
        <v>129</v>
      </c>
      <c r="C76" s="1" t="s">
        <v>130</v>
      </c>
      <c r="D76" s="1" t="s">
        <v>18</v>
      </c>
      <c r="E76" s="1" t="s">
        <v>615</v>
      </c>
      <c r="F76" s="4">
        <v>12274</v>
      </c>
      <c r="G76" s="1" t="s">
        <v>19</v>
      </c>
      <c r="H76" s="1" t="s">
        <v>131</v>
      </c>
      <c r="I76" s="6">
        <v>6004</v>
      </c>
      <c r="J76" s="6">
        <v>3644600</v>
      </c>
      <c r="K76" s="1" t="str">
        <f t="shared" si="1"/>
        <v>3050111624260043644600</v>
      </c>
      <c r="L76" s="5">
        <v>3</v>
      </c>
      <c r="M76" s="12">
        <v>0</v>
      </c>
      <c r="N76" s="12">
        <v>0</v>
      </c>
      <c r="O76" s="12">
        <v>13231.02</v>
      </c>
      <c r="P76" s="12">
        <v>0</v>
      </c>
      <c r="Q76" s="1" t="s">
        <v>15</v>
      </c>
      <c r="R76" s="5">
        <v>0</v>
      </c>
      <c r="S76">
        <f>VLOOKUP(K76,'MIS COMPROBANTES'!E:Q,13,FALSE)</f>
        <v>555703</v>
      </c>
    </row>
    <row r="77" spans="1:19" x14ac:dyDescent="0.25">
      <c r="A77" s="3">
        <v>45447</v>
      </c>
      <c r="B77" s="1" t="s">
        <v>53</v>
      </c>
      <c r="C77" s="1" t="s">
        <v>54</v>
      </c>
      <c r="D77" s="1" t="s">
        <v>18</v>
      </c>
      <c r="E77" s="1" t="s">
        <v>594</v>
      </c>
      <c r="F77" s="4">
        <v>12273</v>
      </c>
      <c r="G77" s="1" t="s">
        <v>19</v>
      </c>
      <c r="H77" s="1" t="s">
        <v>132</v>
      </c>
      <c r="I77" s="6">
        <v>6156</v>
      </c>
      <c r="J77" s="6">
        <v>6799194</v>
      </c>
      <c r="K77" s="1" t="str">
        <f t="shared" si="1"/>
        <v>3054724233161566799194</v>
      </c>
      <c r="L77" s="5">
        <v>21</v>
      </c>
      <c r="M77" s="12">
        <v>0</v>
      </c>
      <c r="N77" s="12">
        <v>383495.76</v>
      </c>
      <c r="O77" s="12">
        <v>80534.11</v>
      </c>
      <c r="P77" s="12">
        <v>482625.82</v>
      </c>
      <c r="Q77" s="1" t="s">
        <v>15</v>
      </c>
      <c r="R77" s="5">
        <v>7669.92</v>
      </c>
      <c r="S77">
        <f>VLOOKUP(K77,'MIS COMPROBANTES'!E:Q,13,FALSE)</f>
        <v>482625.82</v>
      </c>
    </row>
    <row r="78" spans="1:19" x14ac:dyDescent="0.25">
      <c r="A78" s="3">
        <v>45447</v>
      </c>
      <c r="B78" s="1" t="s">
        <v>53</v>
      </c>
      <c r="C78" s="1" t="s">
        <v>54</v>
      </c>
      <c r="D78" s="1" t="s">
        <v>18</v>
      </c>
      <c r="E78" s="1" t="s">
        <v>594</v>
      </c>
      <c r="F78" s="4">
        <v>12273</v>
      </c>
      <c r="G78" s="1" t="s">
        <v>19</v>
      </c>
      <c r="H78" s="1" t="s">
        <v>132</v>
      </c>
      <c r="I78" s="6">
        <v>6156</v>
      </c>
      <c r="J78" s="6">
        <v>6799194</v>
      </c>
      <c r="K78" s="1" t="str">
        <f t="shared" si="1"/>
        <v>3054724233161566799194</v>
      </c>
      <c r="L78" s="5">
        <v>3</v>
      </c>
      <c r="M78" s="12">
        <v>0</v>
      </c>
      <c r="N78" s="12">
        <v>0</v>
      </c>
      <c r="O78" s="12">
        <v>10926.03</v>
      </c>
      <c r="P78" s="12">
        <v>0</v>
      </c>
      <c r="Q78" s="1" t="s">
        <v>15</v>
      </c>
      <c r="R78" s="5">
        <v>0</v>
      </c>
      <c r="S78">
        <f>VLOOKUP(K78,'MIS COMPROBANTES'!E:Q,13,FALSE)</f>
        <v>482625.82</v>
      </c>
    </row>
    <row r="79" spans="1:19" x14ac:dyDescent="0.25">
      <c r="A79" s="3">
        <v>45447</v>
      </c>
      <c r="B79" s="1" t="s">
        <v>53</v>
      </c>
      <c r="C79" s="1" t="s">
        <v>54</v>
      </c>
      <c r="D79" s="1" t="s">
        <v>18</v>
      </c>
      <c r="E79" s="1" t="s">
        <v>594</v>
      </c>
      <c r="F79" s="4">
        <v>12272</v>
      </c>
      <c r="G79" s="1" t="s">
        <v>19</v>
      </c>
      <c r="H79" s="1" t="s">
        <v>133</v>
      </c>
      <c r="I79" s="6">
        <v>6156</v>
      </c>
      <c r="J79" s="6">
        <v>6799195</v>
      </c>
      <c r="K79" s="1" t="str">
        <f t="shared" si="1"/>
        <v>3054724233161566799195</v>
      </c>
      <c r="L79" s="5">
        <v>21</v>
      </c>
      <c r="M79" s="12">
        <v>0</v>
      </c>
      <c r="N79" s="12">
        <v>6698764.7999999998</v>
      </c>
      <c r="O79" s="12">
        <v>1406740.61</v>
      </c>
      <c r="P79" s="12">
        <v>8406949.8300000001</v>
      </c>
      <c r="Q79" s="1" t="s">
        <v>15</v>
      </c>
      <c r="R79" s="5">
        <v>133975.29999999999</v>
      </c>
      <c r="S79">
        <f>VLOOKUP(K79,'MIS COMPROBANTES'!E:Q,13,FALSE)</f>
        <v>8406949.8300000001</v>
      </c>
    </row>
    <row r="80" spans="1:19" x14ac:dyDescent="0.25">
      <c r="A80" s="3">
        <v>45447</v>
      </c>
      <c r="B80" s="1" t="s">
        <v>53</v>
      </c>
      <c r="C80" s="1" t="s">
        <v>54</v>
      </c>
      <c r="D80" s="1" t="s">
        <v>18</v>
      </c>
      <c r="E80" s="1" t="s">
        <v>594</v>
      </c>
      <c r="F80" s="4">
        <v>12272</v>
      </c>
      <c r="G80" s="1" t="s">
        <v>19</v>
      </c>
      <c r="H80" s="1" t="s">
        <v>133</v>
      </c>
      <c r="I80" s="6">
        <v>6156</v>
      </c>
      <c r="J80" s="6">
        <v>6799195</v>
      </c>
      <c r="K80" s="1" t="str">
        <f t="shared" si="1"/>
        <v>3054724233161566799195</v>
      </c>
      <c r="L80" s="5">
        <v>3</v>
      </c>
      <c r="M80" s="12">
        <v>0</v>
      </c>
      <c r="N80" s="12">
        <v>0</v>
      </c>
      <c r="O80" s="12">
        <v>167469.12</v>
      </c>
      <c r="P80" s="12">
        <v>0</v>
      </c>
      <c r="Q80" s="1" t="s">
        <v>15</v>
      </c>
      <c r="R80" s="5">
        <v>0</v>
      </c>
      <c r="S80">
        <f>VLOOKUP(K80,'MIS COMPROBANTES'!E:Q,13,FALSE)</f>
        <v>8406949.8300000001</v>
      </c>
    </row>
    <row r="81" spans="1:19" x14ac:dyDescent="0.25">
      <c r="A81" s="3">
        <v>45447</v>
      </c>
      <c r="B81" s="1" t="s">
        <v>134</v>
      </c>
      <c r="C81" s="1" t="s">
        <v>135</v>
      </c>
      <c r="D81" s="1" t="s">
        <v>88</v>
      </c>
      <c r="E81" s="1" t="s">
        <v>616</v>
      </c>
      <c r="F81" s="4">
        <v>12223</v>
      </c>
      <c r="G81" s="1" t="s">
        <v>19</v>
      </c>
      <c r="H81" s="1" t="s">
        <v>136</v>
      </c>
      <c r="I81" s="6">
        <v>3</v>
      </c>
      <c r="J81" s="6">
        <v>5361</v>
      </c>
      <c r="K81" s="1" t="str">
        <f t="shared" si="1"/>
        <v>2018056301735361</v>
      </c>
      <c r="L81" s="5">
        <v>0</v>
      </c>
      <c r="M81" s="12">
        <v>200000</v>
      </c>
      <c r="N81" s="12">
        <v>0</v>
      </c>
      <c r="O81" s="12">
        <v>0</v>
      </c>
      <c r="P81" s="12">
        <v>200000</v>
      </c>
      <c r="Q81" s="1" t="s">
        <v>15</v>
      </c>
      <c r="R81" s="5">
        <v>0</v>
      </c>
      <c r="S81">
        <f>VLOOKUP(K81,'MIS COMPROBANTES'!E:Q,13,FALSE)</f>
        <v>200000</v>
      </c>
    </row>
    <row r="82" spans="1:19" x14ac:dyDescent="0.25">
      <c r="A82" s="3">
        <v>45447</v>
      </c>
      <c r="B82" s="1" t="s">
        <v>108</v>
      </c>
      <c r="C82" s="1" t="s">
        <v>109</v>
      </c>
      <c r="D82" s="1" t="s">
        <v>18</v>
      </c>
      <c r="E82" s="1" t="s">
        <v>609</v>
      </c>
      <c r="F82" s="4">
        <v>12468</v>
      </c>
      <c r="G82" s="1" t="s">
        <v>31</v>
      </c>
      <c r="H82" s="1" t="s">
        <v>137</v>
      </c>
      <c r="I82" s="6">
        <v>3</v>
      </c>
      <c r="J82" s="6">
        <v>110</v>
      </c>
      <c r="K82" s="1" t="str">
        <f t="shared" si="1"/>
        <v>307147464363110</v>
      </c>
      <c r="L82" s="5">
        <v>21</v>
      </c>
      <c r="M82" s="12">
        <v>0</v>
      </c>
      <c r="N82" s="12">
        <v>-81378.960000000006</v>
      </c>
      <c r="O82" s="12">
        <v>-17089.580000000002</v>
      </c>
      <c r="P82" s="12">
        <v>-98468.54</v>
      </c>
      <c r="Q82" s="1" t="s">
        <v>15</v>
      </c>
      <c r="R82" s="5">
        <v>0</v>
      </c>
      <c r="S82">
        <f>VLOOKUP(K82,'MIS COMPROBANTES'!E:Q,13,FALSE)</f>
        <v>98468.54</v>
      </c>
    </row>
    <row r="83" spans="1:19" x14ac:dyDescent="0.25">
      <c r="A83" s="3">
        <v>45447</v>
      </c>
      <c r="B83" s="1" t="s">
        <v>138</v>
      </c>
      <c r="C83" s="1" t="s">
        <v>139</v>
      </c>
      <c r="D83" s="1" t="s">
        <v>18</v>
      </c>
      <c r="E83" s="1" t="s">
        <v>617</v>
      </c>
      <c r="F83" s="4">
        <v>12244</v>
      </c>
      <c r="G83" s="1" t="s">
        <v>31</v>
      </c>
      <c r="H83" s="1" t="s">
        <v>140</v>
      </c>
      <c r="I83" s="6">
        <v>43</v>
      </c>
      <c r="J83" s="6">
        <v>4393</v>
      </c>
      <c r="K83" s="1" t="str">
        <f t="shared" si="1"/>
        <v>30567020734434393</v>
      </c>
      <c r="L83" s="5">
        <v>21</v>
      </c>
      <c r="M83" s="12">
        <v>0</v>
      </c>
      <c r="N83" s="12">
        <v>-124935.84</v>
      </c>
      <c r="O83" s="12">
        <v>-26236.53</v>
      </c>
      <c r="P83" s="12">
        <v>-151172.37</v>
      </c>
      <c r="Q83" s="1" t="s">
        <v>15</v>
      </c>
      <c r="R83" s="5">
        <v>0</v>
      </c>
      <c r="S83">
        <f>VLOOKUP(K83,'MIS COMPROBANTES'!E:Q,13,FALSE)</f>
        <v>151172.37</v>
      </c>
    </row>
    <row r="84" spans="1:19" x14ac:dyDescent="0.25">
      <c r="A84" s="3">
        <v>45448</v>
      </c>
      <c r="B84" s="1" t="s">
        <v>141</v>
      </c>
      <c r="C84" s="1" t="s">
        <v>142</v>
      </c>
      <c r="D84" s="1" t="s">
        <v>18</v>
      </c>
      <c r="E84" s="1" t="s">
        <v>618</v>
      </c>
      <c r="F84" s="4">
        <v>12371</v>
      </c>
      <c r="G84" s="1" t="s">
        <v>19</v>
      </c>
      <c r="H84" s="1" t="s">
        <v>143</v>
      </c>
      <c r="I84" s="6">
        <v>7</v>
      </c>
      <c r="J84" s="6">
        <v>2510</v>
      </c>
      <c r="K84" s="1" t="str">
        <f t="shared" si="1"/>
        <v>3071583023672510</v>
      </c>
      <c r="L84" s="5">
        <v>21</v>
      </c>
      <c r="M84" s="12">
        <v>0</v>
      </c>
      <c r="N84" s="12">
        <v>386880</v>
      </c>
      <c r="O84" s="12">
        <v>81244.800000000003</v>
      </c>
      <c r="P84" s="12">
        <v>468124.8</v>
      </c>
      <c r="Q84" s="1" t="s">
        <v>144</v>
      </c>
      <c r="R84" s="5">
        <v>0</v>
      </c>
      <c r="S84">
        <f>VLOOKUP(K84,'MIS COMPROBANTES'!E:Q,13,FALSE)</f>
        <v>468124.8</v>
      </c>
    </row>
    <row r="85" spans="1:19" x14ac:dyDescent="0.25">
      <c r="A85" s="3">
        <v>45448</v>
      </c>
      <c r="B85" s="1" t="s">
        <v>145</v>
      </c>
      <c r="C85" s="1" t="s">
        <v>146</v>
      </c>
      <c r="D85" s="1" t="s">
        <v>18</v>
      </c>
      <c r="E85" s="1" t="s">
        <v>619</v>
      </c>
      <c r="F85" s="4">
        <v>12236</v>
      </c>
      <c r="G85" s="1" t="s">
        <v>19</v>
      </c>
      <c r="H85" s="1" t="s">
        <v>147</v>
      </c>
      <c r="I85" s="6">
        <v>16</v>
      </c>
      <c r="J85" s="6">
        <v>6153</v>
      </c>
      <c r="K85" s="1" t="str">
        <f t="shared" si="1"/>
        <v>33540545419166153</v>
      </c>
      <c r="L85" s="5">
        <v>21</v>
      </c>
      <c r="M85" s="12">
        <v>0</v>
      </c>
      <c r="N85" s="12">
        <v>100000</v>
      </c>
      <c r="O85" s="12">
        <v>21000</v>
      </c>
      <c r="P85" s="12">
        <v>121000</v>
      </c>
      <c r="Q85" s="1" t="s">
        <v>15</v>
      </c>
      <c r="R85" s="5">
        <v>0</v>
      </c>
      <c r="S85">
        <f>VLOOKUP(K85,'MIS COMPROBANTES'!E:Q,13,FALSE)</f>
        <v>121000</v>
      </c>
    </row>
    <row r="86" spans="1:19" x14ac:dyDescent="0.25">
      <c r="A86" s="3">
        <v>45448</v>
      </c>
      <c r="B86" s="1" t="s">
        <v>148</v>
      </c>
      <c r="C86" s="1" t="s">
        <v>149</v>
      </c>
      <c r="D86" s="1" t="s">
        <v>18</v>
      </c>
      <c r="E86" s="1" t="s">
        <v>620</v>
      </c>
      <c r="F86" s="4">
        <v>12373</v>
      </c>
      <c r="G86" s="1" t="s">
        <v>19</v>
      </c>
      <c r="H86" s="1" t="s">
        <v>150</v>
      </c>
      <c r="I86" s="6">
        <v>63</v>
      </c>
      <c r="J86" s="6">
        <v>66147</v>
      </c>
      <c r="K86" s="1" t="str">
        <f t="shared" si="1"/>
        <v>305038616386366147</v>
      </c>
      <c r="L86" s="5">
        <v>21</v>
      </c>
      <c r="M86" s="12">
        <v>0</v>
      </c>
      <c r="N86" s="12">
        <v>419685.47</v>
      </c>
      <c r="O86" s="12">
        <v>88133.94</v>
      </c>
      <c r="P86" s="12">
        <v>528803.68000000005</v>
      </c>
      <c r="Q86" s="1" t="s">
        <v>15</v>
      </c>
      <c r="R86" s="5">
        <v>8393.7099999999991</v>
      </c>
      <c r="S86">
        <f>VLOOKUP(K86,'MIS COMPROBANTES'!E:Q,13,FALSE)</f>
        <v>528803.68000000005</v>
      </c>
    </row>
    <row r="87" spans="1:19" x14ac:dyDescent="0.25">
      <c r="A87" s="3">
        <v>45448</v>
      </c>
      <c r="B87" s="1" t="s">
        <v>148</v>
      </c>
      <c r="C87" s="1" t="s">
        <v>149</v>
      </c>
      <c r="D87" s="1" t="s">
        <v>18</v>
      </c>
      <c r="E87" s="1" t="s">
        <v>620</v>
      </c>
      <c r="F87" s="4">
        <v>12373</v>
      </c>
      <c r="G87" s="1" t="s">
        <v>19</v>
      </c>
      <c r="H87" s="1" t="s">
        <v>150</v>
      </c>
      <c r="I87" s="6">
        <v>63</v>
      </c>
      <c r="J87" s="6">
        <v>66147</v>
      </c>
      <c r="K87" s="1" t="str">
        <f t="shared" si="1"/>
        <v>305038616386366147</v>
      </c>
      <c r="L87" s="5">
        <v>3</v>
      </c>
      <c r="M87" s="12">
        <v>0</v>
      </c>
      <c r="N87" s="12">
        <v>0</v>
      </c>
      <c r="O87" s="12">
        <v>12590.56</v>
      </c>
      <c r="P87" s="12">
        <v>0</v>
      </c>
      <c r="Q87" s="1" t="s">
        <v>15</v>
      </c>
      <c r="R87" s="5">
        <v>0</v>
      </c>
      <c r="S87">
        <f>VLOOKUP(K87,'MIS COMPROBANTES'!E:Q,13,FALSE)</f>
        <v>528803.68000000005</v>
      </c>
    </row>
    <row r="88" spans="1:19" x14ac:dyDescent="0.25">
      <c r="A88" s="3">
        <v>45448</v>
      </c>
      <c r="B88" s="1" t="s">
        <v>151</v>
      </c>
      <c r="C88" s="1" t="s">
        <v>152</v>
      </c>
      <c r="D88" s="1" t="s">
        <v>18</v>
      </c>
      <c r="E88" s="1" t="s">
        <v>621</v>
      </c>
      <c r="F88" s="4">
        <v>12333</v>
      </c>
      <c r="G88" s="1" t="s">
        <v>19</v>
      </c>
      <c r="H88" s="1" t="s">
        <v>153</v>
      </c>
      <c r="I88" s="6">
        <v>102</v>
      </c>
      <c r="J88" s="6">
        <v>46300</v>
      </c>
      <c r="K88" s="1" t="str">
        <f t="shared" si="1"/>
        <v>3071575354110246300</v>
      </c>
      <c r="L88" s="5">
        <v>21</v>
      </c>
      <c r="M88" s="12">
        <v>7085.02</v>
      </c>
      <c r="N88" s="12">
        <v>66713.17</v>
      </c>
      <c r="O88" s="12">
        <v>14009.77</v>
      </c>
      <c r="P88" s="12">
        <v>89142.22</v>
      </c>
      <c r="Q88" s="1" t="s">
        <v>15</v>
      </c>
      <c r="R88" s="5">
        <v>1334.26</v>
      </c>
      <c r="S88" t="e">
        <f>VLOOKUP(K88,'MIS COMPROBANTES'!E:Q,13,FALSE)</f>
        <v>#N/A</v>
      </c>
    </row>
    <row r="89" spans="1:19" x14ac:dyDescent="0.25">
      <c r="A89" s="3">
        <v>45448</v>
      </c>
      <c r="B89" s="1" t="s">
        <v>29</v>
      </c>
      <c r="C89" s="1" t="s">
        <v>30</v>
      </c>
      <c r="D89" s="1" t="s">
        <v>18</v>
      </c>
      <c r="E89" s="1" t="s">
        <v>587</v>
      </c>
      <c r="F89" s="4">
        <v>12370</v>
      </c>
      <c r="G89" s="1" t="s">
        <v>19</v>
      </c>
      <c r="H89" s="1" t="s">
        <v>154</v>
      </c>
      <c r="I89" s="6">
        <v>161</v>
      </c>
      <c r="J89" s="6">
        <v>199335</v>
      </c>
      <c r="K89" s="1" t="str">
        <f t="shared" si="1"/>
        <v>30566108352161199335</v>
      </c>
      <c r="L89" s="5">
        <v>21</v>
      </c>
      <c r="M89" s="12">
        <v>0</v>
      </c>
      <c r="N89" s="12">
        <v>2735910.26</v>
      </c>
      <c r="O89" s="12">
        <v>574541.15</v>
      </c>
      <c r="P89" s="12">
        <v>3433567.38</v>
      </c>
      <c r="Q89" s="1" t="s">
        <v>15</v>
      </c>
      <c r="R89" s="5">
        <v>123115.97</v>
      </c>
      <c r="S89">
        <f>VLOOKUP(K89,'MIS COMPROBANTES'!E:Q,13,FALSE)</f>
        <v>3433567.38</v>
      </c>
    </row>
    <row r="90" spans="1:19" x14ac:dyDescent="0.25">
      <c r="A90" s="3">
        <v>45448</v>
      </c>
      <c r="B90" s="1" t="s">
        <v>155</v>
      </c>
      <c r="C90" s="1" t="s">
        <v>156</v>
      </c>
      <c r="D90" s="1" t="s">
        <v>18</v>
      </c>
      <c r="E90" s="1" t="s">
        <v>622</v>
      </c>
      <c r="F90" s="4">
        <v>12374</v>
      </c>
      <c r="G90" s="1" t="s">
        <v>19</v>
      </c>
      <c r="H90" s="1" t="s">
        <v>157</v>
      </c>
      <c r="I90" s="6">
        <v>539</v>
      </c>
      <c r="J90" s="6">
        <v>41126</v>
      </c>
      <c r="K90" s="1" t="str">
        <f t="shared" si="1"/>
        <v>3066319759953941126</v>
      </c>
      <c r="L90" s="5">
        <v>21</v>
      </c>
      <c r="M90" s="12">
        <v>0</v>
      </c>
      <c r="N90" s="12">
        <v>1296608.9099999999</v>
      </c>
      <c r="O90" s="12">
        <v>272287.86</v>
      </c>
      <c r="P90" s="12">
        <v>1594828.94</v>
      </c>
      <c r="Q90" s="1" t="s">
        <v>15</v>
      </c>
      <c r="R90" s="5">
        <v>25932.17</v>
      </c>
      <c r="S90">
        <f>VLOOKUP(K90,'MIS COMPROBANTES'!E:Q,13,FALSE)</f>
        <v>1594828.95</v>
      </c>
    </row>
    <row r="91" spans="1:19" x14ac:dyDescent="0.25">
      <c r="A91" s="3">
        <v>45448</v>
      </c>
      <c r="B91" s="1" t="s">
        <v>796</v>
      </c>
      <c r="C91" s="1" t="s">
        <v>742</v>
      </c>
      <c r="D91" s="1" t="s">
        <v>18</v>
      </c>
      <c r="E91" s="1" t="s">
        <v>813</v>
      </c>
      <c r="F91" s="4">
        <v>12918</v>
      </c>
      <c r="G91" s="1" t="s">
        <v>19</v>
      </c>
      <c r="H91" s="1" t="s">
        <v>797</v>
      </c>
      <c r="I91" s="6">
        <v>601</v>
      </c>
      <c r="J91" s="6">
        <v>264433</v>
      </c>
      <c r="K91" s="1" t="str">
        <f t="shared" si="1"/>
        <v>30525390086601264433</v>
      </c>
      <c r="L91" s="5">
        <v>21</v>
      </c>
      <c r="M91" s="12">
        <v>501910.76</v>
      </c>
      <c r="N91" s="12">
        <v>7019387.8600000003</v>
      </c>
      <c r="O91" s="12">
        <v>1474071.45</v>
      </c>
      <c r="P91" s="12">
        <v>9356377.6899999995</v>
      </c>
      <c r="Q91" s="1" t="s">
        <v>15</v>
      </c>
      <c r="R91" s="5">
        <v>150425.98000000001</v>
      </c>
      <c r="S91">
        <f>VLOOKUP(K91,'MIS COMPROBANTES'!E:Q,13,FALSE)</f>
        <v>9356377.6899999995</v>
      </c>
    </row>
    <row r="92" spans="1:19" x14ac:dyDescent="0.25">
      <c r="A92" s="3">
        <v>45448</v>
      </c>
      <c r="B92" s="1" t="s">
        <v>796</v>
      </c>
      <c r="C92" s="1" t="s">
        <v>742</v>
      </c>
      <c r="D92" s="1" t="s">
        <v>18</v>
      </c>
      <c r="E92" s="1" t="s">
        <v>813</v>
      </c>
      <c r="F92" s="4">
        <v>12918</v>
      </c>
      <c r="G92" s="1" t="s">
        <v>19</v>
      </c>
      <c r="H92" s="1" t="s">
        <v>797</v>
      </c>
      <c r="I92" s="6">
        <v>601</v>
      </c>
      <c r="J92" s="6">
        <v>264433</v>
      </c>
      <c r="K92" s="1" t="str">
        <f t="shared" si="1"/>
        <v>30525390086601264433</v>
      </c>
      <c r="L92" s="5">
        <v>3</v>
      </c>
      <c r="M92" s="12">
        <v>0</v>
      </c>
      <c r="N92" s="12">
        <v>0</v>
      </c>
      <c r="O92" s="12">
        <v>210581.64</v>
      </c>
      <c r="P92" s="12">
        <v>0</v>
      </c>
      <c r="Q92" s="1" t="s">
        <v>15</v>
      </c>
      <c r="R92" s="5">
        <v>0</v>
      </c>
      <c r="S92">
        <f>VLOOKUP(K92,'MIS COMPROBANTES'!E:Q,13,FALSE)</f>
        <v>9356377.6899999995</v>
      </c>
    </row>
    <row r="93" spans="1:19" x14ac:dyDescent="0.25">
      <c r="A93" s="3">
        <v>45448</v>
      </c>
      <c r="B93" s="1" t="s">
        <v>796</v>
      </c>
      <c r="C93" s="1" t="s">
        <v>742</v>
      </c>
      <c r="D93" s="1" t="s">
        <v>18</v>
      </c>
      <c r="E93" s="1" t="s">
        <v>813</v>
      </c>
      <c r="F93" s="4">
        <v>12919</v>
      </c>
      <c r="G93" s="1" t="s">
        <v>19</v>
      </c>
      <c r="H93" s="1" t="s">
        <v>798</v>
      </c>
      <c r="I93" s="6">
        <v>601</v>
      </c>
      <c r="J93" s="6">
        <v>264434</v>
      </c>
      <c r="K93" s="1" t="str">
        <f t="shared" si="1"/>
        <v>30525390086601264434</v>
      </c>
      <c r="L93" s="5">
        <v>21</v>
      </c>
      <c r="M93" s="12">
        <v>156338.79</v>
      </c>
      <c r="N93" s="12">
        <v>2804032.05</v>
      </c>
      <c r="O93" s="12">
        <v>588846.73</v>
      </c>
      <c r="P93" s="12">
        <v>3692545.92</v>
      </c>
      <c r="Q93" s="1" t="s">
        <v>15</v>
      </c>
      <c r="R93" s="5">
        <v>59207.4</v>
      </c>
      <c r="S93">
        <f>VLOOKUP(K93,'MIS COMPROBANTES'!E:Q,13,FALSE)</f>
        <v>3692545.92</v>
      </c>
    </row>
    <row r="94" spans="1:19" x14ac:dyDescent="0.25">
      <c r="A94" s="3">
        <v>45448</v>
      </c>
      <c r="B94" s="1" t="s">
        <v>796</v>
      </c>
      <c r="C94" s="1" t="s">
        <v>742</v>
      </c>
      <c r="D94" s="1" t="s">
        <v>18</v>
      </c>
      <c r="E94" s="1" t="s">
        <v>813</v>
      </c>
      <c r="F94" s="4">
        <v>12919</v>
      </c>
      <c r="G94" s="1" t="s">
        <v>19</v>
      </c>
      <c r="H94" s="1" t="s">
        <v>798</v>
      </c>
      <c r="I94" s="6">
        <v>601</v>
      </c>
      <c r="J94" s="6">
        <v>264434</v>
      </c>
      <c r="K94" s="1" t="str">
        <f t="shared" si="1"/>
        <v>30525390086601264434</v>
      </c>
      <c r="L94" s="5">
        <v>3</v>
      </c>
      <c r="M94" s="12">
        <v>0</v>
      </c>
      <c r="N94" s="12">
        <v>0</v>
      </c>
      <c r="O94" s="12">
        <v>84120.95</v>
      </c>
      <c r="P94" s="12">
        <v>0</v>
      </c>
      <c r="Q94" s="1" t="s">
        <v>15</v>
      </c>
      <c r="R94" s="5">
        <v>0</v>
      </c>
      <c r="S94">
        <f>VLOOKUP(K94,'MIS COMPROBANTES'!E:Q,13,FALSE)</f>
        <v>3692545.92</v>
      </c>
    </row>
    <row r="95" spans="1:19" x14ac:dyDescent="0.25">
      <c r="A95" s="3">
        <v>45448</v>
      </c>
      <c r="B95" s="1" t="s">
        <v>158</v>
      </c>
      <c r="C95" s="1" t="s">
        <v>159</v>
      </c>
      <c r="D95" s="1" t="s">
        <v>18</v>
      </c>
      <c r="E95" s="1" t="s">
        <v>623</v>
      </c>
      <c r="F95" s="4">
        <v>12269</v>
      </c>
      <c r="G95" s="1" t="s">
        <v>19</v>
      </c>
      <c r="H95" s="1" t="s">
        <v>160</v>
      </c>
      <c r="I95" s="6">
        <v>679</v>
      </c>
      <c r="J95" s="6">
        <v>173926</v>
      </c>
      <c r="K95" s="1" t="str">
        <f t="shared" si="1"/>
        <v>30500858628679173926</v>
      </c>
      <c r="L95" s="5">
        <v>21</v>
      </c>
      <c r="M95" s="12">
        <v>0</v>
      </c>
      <c r="N95" s="12">
        <v>3008414.91</v>
      </c>
      <c r="O95" s="12">
        <v>631767.13</v>
      </c>
      <c r="P95" s="12">
        <v>3865813.16</v>
      </c>
      <c r="Q95" s="1" t="s">
        <v>15</v>
      </c>
      <c r="R95" s="5">
        <v>135378.67000000001</v>
      </c>
      <c r="S95">
        <f>VLOOKUP(K95,'MIS COMPROBANTES'!E:Q,13,FALSE)</f>
        <v>3865813.16</v>
      </c>
    </row>
    <row r="96" spans="1:19" x14ac:dyDescent="0.25">
      <c r="A96" s="3">
        <v>45448</v>
      </c>
      <c r="B96" s="1" t="s">
        <v>158</v>
      </c>
      <c r="C96" s="1" t="s">
        <v>159</v>
      </c>
      <c r="D96" s="1" t="s">
        <v>18</v>
      </c>
      <c r="E96" s="1" t="s">
        <v>623</v>
      </c>
      <c r="F96" s="4">
        <v>12269</v>
      </c>
      <c r="G96" s="1" t="s">
        <v>19</v>
      </c>
      <c r="H96" s="1" t="s">
        <v>160</v>
      </c>
      <c r="I96" s="6">
        <v>679</v>
      </c>
      <c r="J96" s="6">
        <v>173926</v>
      </c>
      <c r="K96" s="1" t="str">
        <f t="shared" si="1"/>
        <v>30500858628679173926</v>
      </c>
      <c r="L96" s="5">
        <v>3</v>
      </c>
      <c r="M96" s="12">
        <v>0</v>
      </c>
      <c r="N96" s="12">
        <v>0</v>
      </c>
      <c r="O96" s="12">
        <v>90252.45</v>
      </c>
      <c r="P96" s="12">
        <v>0</v>
      </c>
      <c r="Q96" s="1" t="s">
        <v>15</v>
      </c>
      <c r="R96" s="5">
        <v>0</v>
      </c>
      <c r="S96">
        <f>VLOOKUP(K96,'MIS COMPROBANTES'!E:Q,13,FALSE)</f>
        <v>3865813.16</v>
      </c>
    </row>
    <row r="97" spans="1:19" x14ac:dyDescent="0.25">
      <c r="A97" s="3">
        <v>45448</v>
      </c>
      <c r="B97" s="1" t="s">
        <v>158</v>
      </c>
      <c r="C97" s="1" t="s">
        <v>159</v>
      </c>
      <c r="D97" s="1" t="s">
        <v>18</v>
      </c>
      <c r="E97" s="1" t="s">
        <v>623</v>
      </c>
      <c r="F97" s="4">
        <v>12271</v>
      </c>
      <c r="G97" s="1" t="s">
        <v>19</v>
      </c>
      <c r="H97" s="1" t="s">
        <v>161</v>
      </c>
      <c r="I97" s="6">
        <v>679</v>
      </c>
      <c r="J97" s="6">
        <v>173927</v>
      </c>
      <c r="K97" s="1" t="str">
        <f t="shared" si="1"/>
        <v>30500858628679173927</v>
      </c>
      <c r="L97" s="5">
        <v>21</v>
      </c>
      <c r="M97" s="12">
        <v>0</v>
      </c>
      <c r="N97" s="12">
        <v>3164523.04</v>
      </c>
      <c r="O97" s="12">
        <v>664549.84</v>
      </c>
      <c r="P97" s="12">
        <v>4066412.1</v>
      </c>
      <c r="Q97" s="1" t="s">
        <v>15</v>
      </c>
      <c r="R97" s="5">
        <v>142403.53</v>
      </c>
      <c r="S97">
        <f>VLOOKUP(K97,'MIS COMPROBANTES'!E:Q,13,FALSE)</f>
        <v>4066412.1</v>
      </c>
    </row>
    <row r="98" spans="1:19" x14ac:dyDescent="0.25">
      <c r="A98" s="3">
        <v>45448</v>
      </c>
      <c r="B98" s="1" t="s">
        <v>158</v>
      </c>
      <c r="C98" s="1" t="s">
        <v>159</v>
      </c>
      <c r="D98" s="1" t="s">
        <v>18</v>
      </c>
      <c r="E98" s="1" t="s">
        <v>623</v>
      </c>
      <c r="F98" s="4">
        <v>12271</v>
      </c>
      <c r="G98" s="1" t="s">
        <v>19</v>
      </c>
      <c r="H98" s="1" t="s">
        <v>161</v>
      </c>
      <c r="I98" s="6">
        <v>679</v>
      </c>
      <c r="J98" s="6">
        <v>173927</v>
      </c>
      <c r="K98" s="1" t="str">
        <f t="shared" si="1"/>
        <v>30500858628679173927</v>
      </c>
      <c r="L98" s="5">
        <v>3</v>
      </c>
      <c r="M98" s="12">
        <v>0</v>
      </c>
      <c r="N98" s="12">
        <v>0</v>
      </c>
      <c r="O98" s="12">
        <v>94935.69</v>
      </c>
      <c r="P98" s="12">
        <v>0</v>
      </c>
      <c r="Q98" s="1" t="s">
        <v>15</v>
      </c>
      <c r="R98" s="5">
        <v>0</v>
      </c>
      <c r="S98">
        <f>VLOOKUP(K98,'MIS COMPROBANTES'!E:Q,13,FALSE)</f>
        <v>4066412.1</v>
      </c>
    </row>
    <row r="99" spans="1:19" x14ac:dyDescent="0.25">
      <c r="A99" s="3">
        <v>45448</v>
      </c>
      <c r="B99" s="1" t="s">
        <v>162</v>
      </c>
      <c r="C99" s="1" t="s">
        <v>163</v>
      </c>
      <c r="D99" s="1" t="s">
        <v>18</v>
      </c>
      <c r="E99" s="1" t="s">
        <v>624</v>
      </c>
      <c r="F99" s="4">
        <v>12811</v>
      </c>
      <c r="G99" s="1" t="s">
        <v>19</v>
      </c>
      <c r="H99" s="1" t="s">
        <v>164</v>
      </c>
      <c r="I99" s="6">
        <v>700</v>
      </c>
      <c r="J99" s="6">
        <v>1713413</v>
      </c>
      <c r="K99" s="1" t="str">
        <f t="shared" si="1"/>
        <v>307158048127001713413</v>
      </c>
      <c r="L99" s="5">
        <v>21</v>
      </c>
      <c r="M99" s="12">
        <v>0</v>
      </c>
      <c r="N99" s="12">
        <v>1487.6</v>
      </c>
      <c r="O99" s="12">
        <v>312.39999999999998</v>
      </c>
      <c r="P99" s="12">
        <v>1800</v>
      </c>
      <c r="Q99" s="1" t="s">
        <v>15</v>
      </c>
      <c r="R99" s="5">
        <v>0</v>
      </c>
      <c r="S99">
        <f>VLOOKUP(K99,'MIS COMPROBANTES'!E:Q,13,FALSE)</f>
        <v>1800</v>
      </c>
    </row>
    <row r="100" spans="1:19" x14ac:dyDescent="0.25">
      <c r="A100" s="3">
        <v>45448</v>
      </c>
      <c r="B100" s="1" t="s">
        <v>162</v>
      </c>
      <c r="C100" s="1" t="s">
        <v>163</v>
      </c>
      <c r="D100" s="1" t="s">
        <v>18</v>
      </c>
      <c r="E100" s="1" t="s">
        <v>624</v>
      </c>
      <c r="F100" s="4">
        <v>12812</v>
      </c>
      <c r="G100" s="1" t="s">
        <v>19</v>
      </c>
      <c r="H100" s="1" t="s">
        <v>165</v>
      </c>
      <c r="I100" s="6">
        <v>700</v>
      </c>
      <c r="J100" s="6">
        <v>1713689</v>
      </c>
      <c r="K100" s="1" t="str">
        <f t="shared" si="1"/>
        <v>307158048127001713689</v>
      </c>
      <c r="L100" s="5">
        <v>21</v>
      </c>
      <c r="M100" s="12">
        <v>0</v>
      </c>
      <c r="N100" s="12">
        <v>5785.12</v>
      </c>
      <c r="O100" s="12">
        <v>1214.8800000000001</v>
      </c>
      <c r="P100" s="12">
        <v>7260.33</v>
      </c>
      <c r="Q100" s="1" t="s">
        <v>15</v>
      </c>
      <c r="R100" s="5">
        <v>260.33</v>
      </c>
      <c r="S100">
        <f>VLOOKUP(K100,'MIS COMPROBANTES'!E:Q,13,FALSE)</f>
        <v>7260.33</v>
      </c>
    </row>
    <row r="101" spans="1:19" x14ac:dyDescent="0.25">
      <c r="A101" s="3">
        <v>45448</v>
      </c>
      <c r="B101" s="1" t="s">
        <v>162</v>
      </c>
      <c r="C101" s="1" t="s">
        <v>163</v>
      </c>
      <c r="D101" s="1" t="s">
        <v>18</v>
      </c>
      <c r="E101" s="1" t="s">
        <v>624</v>
      </c>
      <c r="F101" s="4">
        <v>12813</v>
      </c>
      <c r="G101" s="1" t="s">
        <v>19</v>
      </c>
      <c r="H101" s="1" t="s">
        <v>166</v>
      </c>
      <c r="I101" s="6">
        <v>700</v>
      </c>
      <c r="J101" s="6">
        <v>1730819</v>
      </c>
      <c r="K101" s="1" t="str">
        <f t="shared" si="1"/>
        <v>307158048127001730819</v>
      </c>
      <c r="L101" s="5">
        <v>21</v>
      </c>
      <c r="M101" s="12">
        <v>0</v>
      </c>
      <c r="N101" s="12">
        <v>18677.689999999999</v>
      </c>
      <c r="O101" s="12">
        <v>3922.31</v>
      </c>
      <c r="P101" s="12">
        <v>23440.49</v>
      </c>
      <c r="Q101" s="1" t="s">
        <v>15</v>
      </c>
      <c r="R101" s="5">
        <v>840.49</v>
      </c>
      <c r="S101">
        <f>VLOOKUP(K101,'MIS COMPROBANTES'!E:Q,13,FALSE)</f>
        <v>23440.49</v>
      </c>
    </row>
    <row r="102" spans="1:19" x14ac:dyDescent="0.25">
      <c r="A102" s="3">
        <v>45448</v>
      </c>
      <c r="B102" s="1" t="s">
        <v>158</v>
      </c>
      <c r="C102" s="1" t="s">
        <v>159</v>
      </c>
      <c r="D102" s="1" t="s">
        <v>18</v>
      </c>
      <c r="E102" s="1" t="s">
        <v>623</v>
      </c>
      <c r="F102" s="4">
        <v>12268</v>
      </c>
      <c r="G102" s="1" t="s">
        <v>19</v>
      </c>
      <c r="H102" s="1" t="s">
        <v>167</v>
      </c>
      <c r="I102" s="6">
        <v>702</v>
      </c>
      <c r="J102" s="6">
        <v>430978</v>
      </c>
      <c r="K102" s="1" t="str">
        <f t="shared" si="1"/>
        <v>30500858628702430978</v>
      </c>
      <c r="L102" s="5">
        <v>21</v>
      </c>
      <c r="M102" s="12">
        <v>0</v>
      </c>
      <c r="N102" s="12">
        <v>401121.99</v>
      </c>
      <c r="O102" s="12">
        <v>84235.62</v>
      </c>
      <c r="P102" s="12">
        <v>515441.76</v>
      </c>
      <c r="Q102" s="1" t="s">
        <v>15</v>
      </c>
      <c r="R102" s="5">
        <v>18050.490000000002</v>
      </c>
      <c r="S102">
        <f>VLOOKUP(K102,'MIS COMPROBANTES'!E:Q,13,FALSE)</f>
        <v>515441.75</v>
      </c>
    </row>
    <row r="103" spans="1:19" x14ac:dyDescent="0.25">
      <c r="A103" s="3">
        <v>45448</v>
      </c>
      <c r="B103" s="1" t="s">
        <v>158</v>
      </c>
      <c r="C103" s="1" t="s">
        <v>159</v>
      </c>
      <c r="D103" s="1" t="s">
        <v>18</v>
      </c>
      <c r="E103" s="1" t="s">
        <v>623</v>
      </c>
      <c r="F103" s="4">
        <v>12268</v>
      </c>
      <c r="G103" s="1" t="s">
        <v>19</v>
      </c>
      <c r="H103" s="1" t="s">
        <v>167</v>
      </c>
      <c r="I103" s="6">
        <v>702</v>
      </c>
      <c r="J103" s="6">
        <v>430978</v>
      </c>
      <c r="K103" s="1" t="str">
        <f t="shared" si="1"/>
        <v>30500858628702430978</v>
      </c>
      <c r="L103" s="5">
        <v>3</v>
      </c>
      <c r="M103" s="12">
        <v>0</v>
      </c>
      <c r="N103" s="12">
        <v>0</v>
      </c>
      <c r="O103" s="12">
        <v>12033.66</v>
      </c>
      <c r="P103" s="12">
        <v>0</v>
      </c>
      <c r="Q103" s="1" t="s">
        <v>15</v>
      </c>
      <c r="R103" s="5">
        <v>0</v>
      </c>
      <c r="S103">
        <f>VLOOKUP(K103,'MIS COMPROBANTES'!E:Q,13,FALSE)</f>
        <v>515441.75</v>
      </c>
    </row>
    <row r="104" spans="1:19" x14ac:dyDescent="0.25">
      <c r="A104" s="3">
        <v>45448</v>
      </c>
      <c r="B104" s="1" t="s">
        <v>158</v>
      </c>
      <c r="C104" s="1" t="s">
        <v>159</v>
      </c>
      <c r="D104" s="1" t="s">
        <v>18</v>
      </c>
      <c r="E104" s="1" t="s">
        <v>623</v>
      </c>
      <c r="F104" s="4">
        <v>12270</v>
      </c>
      <c r="G104" s="1" t="s">
        <v>19</v>
      </c>
      <c r="H104" s="1" t="s">
        <v>168</v>
      </c>
      <c r="I104" s="6">
        <v>702</v>
      </c>
      <c r="J104" s="6">
        <v>430979</v>
      </c>
      <c r="K104" s="1" t="str">
        <f t="shared" si="1"/>
        <v>30500858628702430979</v>
      </c>
      <c r="L104" s="5">
        <v>21</v>
      </c>
      <c r="M104" s="12">
        <v>0</v>
      </c>
      <c r="N104" s="12">
        <v>5087311.13</v>
      </c>
      <c r="O104" s="12">
        <v>1068335.33</v>
      </c>
      <c r="P104" s="12">
        <v>6537194.7999999998</v>
      </c>
      <c r="Q104" s="1" t="s">
        <v>15</v>
      </c>
      <c r="R104" s="5">
        <v>228928.99</v>
      </c>
      <c r="S104">
        <f>VLOOKUP(K104,'MIS COMPROBANTES'!E:Q,13,FALSE)</f>
        <v>6537194.8200000003</v>
      </c>
    </row>
    <row r="105" spans="1:19" x14ac:dyDescent="0.25">
      <c r="A105" s="3">
        <v>45448</v>
      </c>
      <c r="B105" s="1" t="s">
        <v>158</v>
      </c>
      <c r="C105" s="1" t="s">
        <v>159</v>
      </c>
      <c r="D105" s="1" t="s">
        <v>18</v>
      </c>
      <c r="E105" s="1" t="s">
        <v>623</v>
      </c>
      <c r="F105" s="4">
        <v>12270</v>
      </c>
      <c r="G105" s="1" t="s">
        <v>19</v>
      </c>
      <c r="H105" s="1" t="s">
        <v>168</v>
      </c>
      <c r="I105" s="6">
        <v>702</v>
      </c>
      <c r="J105" s="6">
        <v>430979</v>
      </c>
      <c r="K105" s="1" t="str">
        <f t="shared" si="1"/>
        <v>30500858628702430979</v>
      </c>
      <c r="L105" s="5">
        <v>3</v>
      </c>
      <c r="M105" s="12">
        <v>0</v>
      </c>
      <c r="N105" s="12">
        <v>0</v>
      </c>
      <c r="O105" s="12">
        <v>152619.35</v>
      </c>
      <c r="P105" s="12">
        <v>0</v>
      </c>
      <c r="Q105" s="1" t="s">
        <v>15</v>
      </c>
      <c r="R105" s="5">
        <v>0</v>
      </c>
      <c r="S105">
        <f>VLOOKUP(K105,'MIS COMPROBANTES'!E:Q,13,FALSE)</f>
        <v>6537194.8200000003</v>
      </c>
    </row>
    <row r="106" spans="1:19" x14ac:dyDescent="0.25">
      <c r="A106" s="3">
        <v>45448</v>
      </c>
      <c r="B106" s="1" t="s">
        <v>169</v>
      </c>
      <c r="C106" s="1" t="s">
        <v>170</v>
      </c>
      <c r="D106" s="1" t="s">
        <v>18</v>
      </c>
      <c r="E106" s="1" t="s">
        <v>625</v>
      </c>
      <c r="F106" s="4">
        <v>12267</v>
      </c>
      <c r="G106" s="1" t="s">
        <v>19</v>
      </c>
      <c r="H106" s="1" t="s">
        <v>171</v>
      </c>
      <c r="I106" s="6">
        <v>1152</v>
      </c>
      <c r="J106" s="6">
        <v>71445</v>
      </c>
      <c r="K106" s="1" t="str">
        <f t="shared" si="1"/>
        <v>30507950848115271445</v>
      </c>
      <c r="L106" s="5">
        <v>21</v>
      </c>
      <c r="M106" s="12">
        <v>0</v>
      </c>
      <c r="N106" s="12">
        <v>1576080</v>
      </c>
      <c r="O106" s="12">
        <v>330976.8</v>
      </c>
      <c r="P106" s="12">
        <v>2025262.8</v>
      </c>
      <c r="Q106" s="1" t="s">
        <v>15</v>
      </c>
      <c r="R106" s="5">
        <v>70923.600000000006</v>
      </c>
      <c r="S106">
        <f>VLOOKUP(K106,'MIS COMPROBANTES'!E:Q,13,FALSE)</f>
        <v>2025262.8</v>
      </c>
    </row>
    <row r="107" spans="1:19" x14ac:dyDescent="0.25">
      <c r="A107" s="3">
        <v>45448</v>
      </c>
      <c r="B107" s="1" t="s">
        <v>169</v>
      </c>
      <c r="C107" s="1" t="s">
        <v>170</v>
      </c>
      <c r="D107" s="1" t="s">
        <v>18</v>
      </c>
      <c r="E107" s="1" t="s">
        <v>625</v>
      </c>
      <c r="F107" s="4">
        <v>12267</v>
      </c>
      <c r="G107" s="1" t="s">
        <v>19</v>
      </c>
      <c r="H107" s="1" t="s">
        <v>171</v>
      </c>
      <c r="I107" s="6">
        <v>1152</v>
      </c>
      <c r="J107" s="6">
        <v>71445</v>
      </c>
      <c r="K107" s="1" t="str">
        <f t="shared" si="1"/>
        <v>30507950848115271445</v>
      </c>
      <c r="L107" s="5">
        <v>3</v>
      </c>
      <c r="M107" s="12">
        <v>0</v>
      </c>
      <c r="N107" s="12">
        <v>0</v>
      </c>
      <c r="O107" s="12">
        <v>47282.400000000001</v>
      </c>
      <c r="P107" s="12">
        <v>0</v>
      </c>
      <c r="Q107" s="1" t="s">
        <v>15</v>
      </c>
      <c r="R107" s="5">
        <v>0</v>
      </c>
      <c r="S107">
        <f>VLOOKUP(K107,'MIS COMPROBANTES'!E:Q,13,FALSE)</f>
        <v>2025262.8</v>
      </c>
    </row>
    <row r="108" spans="1:19" x14ac:dyDescent="0.25">
      <c r="A108" s="3">
        <v>45448</v>
      </c>
      <c r="B108" s="1" t="s">
        <v>799</v>
      </c>
      <c r="C108" s="1" t="s">
        <v>746</v>
      </c>
      <c r="D108" s="1" t="s">
        <v>88</v>
      </c>
      <c r="E108" s="1" t="s">
        <v>814</v>
      </c>
      <c r="F108" s="4">
        <v>12932</v>
      </c>
      <c r="G108" s="1" t="s">
        <v>19</v>
      </c>
      <c r="H108" s="1" t="s">
        <v>800</v>
      </c>
      <c r="I108" s="6">
        <v>2</v>
      </c>
      <c r="J108" s="6">
        <v>6</v>
      </c>
      <c r="K108" s="1" t="str">
        <f t="shared" si="1"/>
        <v>2332453310926</v>
      </c>
      <c r="L108" s="5">
        <v>0</v>
      </c>
      <c r="M108" s="12">
        <v>31673</v>
      </c>
      <c r="N108" s="12">
        <v>0</v>
      </c>
      <c r="O108" s="12">
        <v>0</v>
      </c>
      <c r="P108" s="12">
        <v>31673</v>
      </c>
      <c r="Q108" s="1" t="s">
        <v>15</v>
      </c>
      <c r="R108" s="5">
        <v>0</v>
      </c>
      <c r="S108">
        <f>VLOOKUP(K108,'MIS COMPROBANTES'!E:Q,13,FALSE)</f>
        <v>31673</v>
      </c>
    </row>
    <row r="109" spans="1:19" x14ac:dyDescent="0.25">
      <c r="A109" s="3">
        <v>45448</v>
      </c>
      <c r="B109" s="1" t="s">
        <v>172</v>
      </c>
      <c r="C109" s="1" t="s">
        <v>173</v>
      </c>
      <c r="D109" s="1" t="s">
        <v>88</v>
      </c>
      <c r="E109" s="1" t="s">
        <v>626</v>
      </c>
      <c r="F109" s="4">
        <v>12358</v>
      </c>
      <c r="G109" s="1" t="s">
        <v>19</v>
      </c>
      <c r="H109" s="1" t="s">
        <v>174</v>
      </c>
      <c r="I109" s="6">
        <v>2</v>
      </c>
      <c r="J109" s="6">
        <v>191</v>
      </c>
      <c r="K109" s="1" t="str">
        <f t="shared" si="1"/>
        <v>203300659832191</v>
      </c>
      <c r="L109" s="5">
        <v>0</v>
      </c>
      <c r="M109" s="12">
        <v>213000</v>
      </c>
      <c r="N109" s="12">
        <v>0</v>
      </c>
      <c r="O109" s="12">
        <v>0</v>
      </c>
      <c r="P109" s="12">
        <v>213000</v>
      </c>
      <c r="Q109" s="1" t="s">
        <v>15</v>
      </c>
      <c r="R109" s="5">
        <v>0</v>
      </c>
      <c r="S109">
        <f>VLOOKUP(K109,'MIS COMPROBANTES'!E:Q,13,FALSE)</f>
        <v>213000</v>
      </c>
    </row>
    <row r="110" spans="1:19" x14ac:dyDescent="0.25">
      <c r="A110" s="3">
        <v>45448</v>
      </c>
      <c r="B110" s="1" t="s">
        <v>175</v>
      </c>
      <c r="C110" s="1" t="s">
        <v>176</v>
      </c>
      <c r="D110" s="1" t="s">
        <v>18</v>
      </c>
      <c r="E110" s="1" t="s">
        <v>627</v>
      </c>
      <c r="F110" s="4">
        <v>12278</v>
      </c>
      <c r="G110" s="1" t="s">
        <v>31</v>
      </c>
      <c r="H110" s="1" t="s">
        <v>177</v>
      </c>
      <c r="I110" s="6">
        <v>1</v>
      </c>
      <c r="J110" s="6">
        <v>388</v>
      </c>
      <c r="K110" s="1" t="str">
        <f t="shared" si="1"/>
        <v>307164230301388</v>
      </c>
      <c r="L110" s="5">
        <v>21</v>
      </c>
      <c r="M110" s="12">
        <v>0</v>
      </c>
      <c r="N110" s="12">
        <v>-162994</v>
      </c>
      <c r="O110" s="12">
        <v>-34228.74</v>
      </c>
      <c r="P110" s="12">
        <v>-197222.74</v>
      </c>
      <c r="Q110" s="1" t="s">
        <v>15</v>
      </c>
      <c r="R110" s="5">
        <v>0</v>
      </c>
      <c r="S110">
        <f>VLOOKUP(K110,'MIS COMPROBANTES'!E:Q,13,FALSE)</f>
        <v>197222.74</v>
      </c>
    </row>
    <row r="111" spans="1:19" x14ac:dyDescent="0.25">
      <c r="A111" s="3">
        <v>45448</v>
      </c>
      <c r="B111" s="1" t="s">
        <v>178</v>
      </c>
      <c r="C111" s="1" t="s">
        <v>179</v>
      </c>
      <c r="D111" s="1" t="s">
        <v>18</v>
      </c>
      <c r="E111" s="1" t="s">
        <v>628</v>
      </c>
      <c r="F111" s="4">
        <v>12243</v>
      </c>
      <c r="G111" s="1" t="s">
        <v>31</v>
      </c>
      <c r="H111" s="1" t="s">
        <v>180</v>
      </c>
      <c r="I111" s="6">
        <v>5</v>
      </c>
      <c r="J111" s="6">
        <v>254</v>
      </c>
      <c r="K111" s="1" t="str">
        <f t="shared" si="1"/>
        <v>307095717175254</v>
      </c>
      <c r="L111" s="5">
        <v>21</v>
      </c>
      <c r="M111" s="12">
        <v>0</v>
      </c>
      <c r="N111" s="12">
        <v>-99605.34</v>
      </c>
      <c r="O111" s="12">
        <v>-20917.12</v>
      </c>
      <c r="P111" s="12">
        <v>-120522.46</v>
      </c>
      <c r="Q111" s="1" t="s">
        <v>15</v>
      </c>
      <c r="R111" s="5">
        <v>0</v>
      </c>
      <c r="S111">
        <f>VLOOKUP(K111,'MIS COMPROBANTES'!E:Q,13,FALSE)</f>
        <v>120522.46</v>
      </c>
    </row>
    <row r="112" spans="1:19" x14ac:dyDescent="0.25">
      <c r="A112" s="3">
        <v>45448</v>
      </c>
      <c r="B112" s="1" t="s">
        <v>796</v>
      </c>
      <c r="C112" s="1" t="s">
        <v>742</v>
      </c>
      <c r="D112" s="1" t="s">
        <v>18</v>
      </c>
      <c r="E112" s="1" t="s">
        <v>813</v>
      </c>
      <c r="F112" s="4">
        <v>12920</v>
      </c>
      <c r="G112" s="1" t="s">
        <v>31</v>
      </c>
      <c r="H112" s="1" t="s">
        <v>801</v>
      </c>
      <c r="I112" s="6">
        <v>603</v>
      </c>
      <c r="J112" s="6">
        <v>57049</v>
      </c>
      <c r="K112" s="1" t="str">
        <f t="shared" si="1"/>
        <v>3052539008660357049</v>
      </c>
      <c r="L112" s="5">
        <v>21</v>
      </c>
      <c r="M112" s="12">
        <v>-13517.6</v>
      </c>
      <c r="N112" s="12">
        <v>-155446.20000000001</v>
      </c>
      <c r="O112" s="12">
        <v>-32643.7</v>
      </c>
      <c r="P112" s="12">
        <v>-206270.88</v>
      </c>
      <c r="Q112" s="1" t="s">
        <v>15</v>
      </c>
      <c r="R112" s="5">
        <v>0</v>
      </c>
      <c r="S112">
        <f>VLOOKUP(K112,'MIS COMPROBANTES'!E:Q,13,FALSE)</f>
        <v>206270.88</v>
      </c>
    </row>
    <row r="113" spans="1:19" x14ac:dyDescent="0.25">
      <c r="A113" s="3">
        <v>45448</v>
      </c>
      <c r="B113" s="1" t="s">
        <v>796</v>
      </c>
      <c r="C113" s="1" t="s">
        <v>742</v>
      </c>
      <c r="D113" s="1" t="s">
        <v>18</v>
      </c>
      <c r="E113" s="1" t="s">
        <v>813</v>
      </c>
      <c r="F113" s="4">
        <v>12920</v>
      </c>
      <c r="G113" s="1" t="s">
        <v>31</v>
      </c>
      <c r="H113" s="1" t="s">
        <v>801</v>
      </c>
      <c r="I113" s="6">
        <v>603</v>
      </c>
      <c r="J113" s="6">
        <v>57049</v>
      </c>
      <c r="K113" s="1" t="str">
        <f t="shared" si="1"/>
        <v>3052539008660357049</v>
      </c>
      <c r="L113" s="5">
        <v>3</v>
      </c>
      <c r="M113" s="12">
        <v>0</v>
      </c>
      <c r="N113" s="12">
        <v>0</v>
      </c>
      <c r="O113" s="12">
        <v>-4663.38</v>
      </c>
      <c r="P113" s="12">
        <v>0</v>
      </c>
      <c r="Q113" s="1" t="s">
        <v>15</v>
      </c>
      <c r="R113" s="5">
        <v>0</v>
      </c>
      <c r="S113">
        <f>VLOOKUP(K113,'MIS COMPROBANTES'!E:Q,13,FALSE)</f>
        <v>206270.88</v>
      </c>
    </row>
    <row r="114" spans="1:19" x14ac:dyDescent="0.25">
      <c r="A114" s="3">
        <v>45448</v>
      </c>
      <c r="B114" s="1" t="s">
        <v>129</v>
      </c>
      <c r="C114" s="1" t="s">
        <v>130</v>
      </c>
      <c r="D114" s="1" t="s">
        <v>18</v>
      </c>
      <c r="E114" s="1" t="s">
        <v>615</v>
      </c>
      <c r="F114" s="4">
        <v>12275</v>
      </c>
      <c r="G114" s="1" t="s">
        <v>31</v>
      </c>
      <c r="H114" s="1" t="s">
        <v>181</v>
      </c>
      <c r="I114" s="6">
        <v>6004</v>
      </c>
      <c r="J114" s="6">
        <v>1767701</v>
      </c>
      <c r="K114" s="1" t="str">
        <f t="shared" si="1"/>
        <v>3050111624260041767701</v>
      </c>
      <c r="L114" s="5">
        <v>21</v>
      </c>
      <c r="M114" s="12">
        <v>0</v>
      </c>
      <c r="N114" s="12">
        <v>-13220.64</v>
      </c>
      <c r="O114" s="12">
        <v>-2776.33</v>
      </c>
      <c r="P114" s="12">
        <v>-16393.59</v>
      </c>
      <c r="Q114" s="1" t="s">
        <v>15</v>
      </c>
      <c r="R114" s="5">
        <v>0</v>
      </c>
      <c r="S114">
        <f>VLOOKUP(K114,'MIS COMPROBANTES'!E:Q,13,FALSE)</f>
        <v>16393.59</v>
      </c>
    </row>
    <row r="115" spans="1:19" x14ac:dyDescent="0.25">
      <c r="A115" s="3">
        <v>45448</v>
      </c>
      <c r="B115" s="1" t="s">
        <v>129</v>
      </c>
      <c r="C115" s="1" t="s">
        <v>130</v>
      </c>
      <c r="D115" s="1" t="s">
        <v>18</v>
      </c>
      <c r="E115" s="1" t="s">
        <v>615</v>
      </c>
      <c r="F115" s="4">
        <v>12275</v>
      </c>
      <c r="G115" s="1" t="s">
        <v>31</v>
      </c>
      <c r="H115" s="1" t="s">
        <v>181</v>
      </c>
      <c r="I115" s="6">
        <v>6004</v>
      </c>
      <c r="J115" s="6">
        <v>1767701</v>
      </c>
      <c r="K115" s="1" t="str">
        <f t="shared" si="1"/>
        <v>3050111624260041767701</v>
      </c>
      <c r="L115" s="5">
        <v>3</v>
      </c>
      <c r="M115" s="12">
        <v>0</v>
      </c>
      <c r="N115" s="12">
        <v>0</v>
      </c>
      <c r="O115" s="12">
        <v>-396.62</v>
      </c>
      <c r="P115" s="12">
        <v>0</v>
      </c>
      <c r="Q115" s="1" t="s">
        <v>15</v>
      </c>
      <c r="R115" s="5">
        <v>0</v>
      </c>
      <c r="S115">
        <f>VLOOKUP(K115,'MIS COMPROBANTES'!E:Q,13,FALSE)</f>
        <v>16393.59</v>
      </c>
    </row>
    <row r="116" spans="1:19" x14ac:dyDescent="0.25">
      <c r="A116" s="3">
        <v>45449</v>
      </c>
      <c r="B116" s="1" t="s">
        <v>182</v>
      </c>
      <c r="C116" s="1" t="s">
        <v>183</v>
      </c>
      <c r="D116" s="1" t="s">
        <v>18</v>
      </c>
      <c r="E116" s="1" t="s">
        <v>629</v>
      </c>
      <c r="F116" s="4">
        <v>12481</v>
      </c>
      <c r="G116" s="1" t="s">
        <v>19</v>
      </c>
      <c r="H116" s="1" t="s">
        <v>184</v>
      </c>
      <c r="I116" s="6">
        <v>1</v>
      </c>
      <c r="J116" s="6">
        <v>2398</v>
      </c>
      <c r="K116" s="1" t="str">
        <f t="shared" si="1"/>
        <v>3071616110912398</v>
      </c>
      <c r="L116" s="5">
        <v>21</v>
      </c>
      <c r="M116" s="12">
        <v>0</v>
      </c>
      <c r="N116" s="12">
        <v>1876050</v>
      </c>
      <c r="O116" s="12">
        <v>393970.5</v>
      </c>
      <c r="P116" s="12">
        <v>2270020.5</v>
      </c>
      <c r="Q116" s="1" t="s">
        <v>15</v>
      </c>
      <c r="R116" s="5">
        <v>0</v>
      </c>
      <c r="S116">
        <f>VLOOKUP(K116,'MIS COMPROBANTES'!E:Q,13,FALSE)</f>
        <v>2270020.5</v>
      </c>
    </row>
    <row r="117" spans="1:19" x14ac:dyDescent="0.25">
      <c r="A117" s="3">
        <v>45449</v>
      </c>
      <c r="B117" s="1" t="s">
        <v>185</v>
      </c>
      <c r="C117" s="1" t="s">
        <v>186</v>
      </c>
      <c r="D117" s="1" t="s">
        <v>18</v>
      </c>
      <c r="E117" s="1" t="s">
        <v>630</v>
      </c>
      <c r="F117" s="4">
        <v>12870</v>
      </c>
      <c r="G117" s="1" t="s">
        <v>19</v>
      </c>
      <c r="H117" s="1" t="s">
        <v>187</v>
      </c>
      <c r="I117" s="6">
        <v>2</v>
      </c>
      <c r="J117" s="6">
        <v>21532</v>
      </c>
      <c r="K117" s="1" t="str">
        <f t="shared" si="1"/>
        <v>30714786667221532</v>
      </c>
      <c r="L117" s="5">
        <v>21</v>
      </c>
      <c r="M117" s="12">
        <v>0</v>
      </c>
      <c r="N117" s="12">
        <v>2883150</v>
      </c>
      <c r="O117" s="12">
        <v>605461.5</v>
      </c>
      <c r="P117" s="12">
        <v>3546274.5</v>
      </c>
      <c r="Q117" s="1" t="s">
        <v>15</v>
      </c>
      <c r="R117" s="5">
        <v>57663</v>
      </c>
      <c r="S117">
        <f>VLOOKUP(K117,'MIS COMPROBANTES'!E:Q,13,FALSE)</f>
        <v>3546274.5</v>
      </c>
    </row>
    <row r="118" spans="1:19" x14ac:dyDescent="0.25">
      <c r="A118" s="3">
        <v>45449</v>
      </c>
      <c r="B118" s="1" t="s">
        <v>108</v>
      </c>
      <c r="C118" s="1" t="s">
        <v>109</v>
      </c>
      <c r="D118" s="1" t="s">
        <v>18</v>
      </c>
      <c r="E118" s="1" t="s">
        <v>609</v>
      </c>
      <c r="F118" s="4">
        <v>12466</v>
      </c>
      <c r="G118" s="1" t="s">
        <v>19</v>
      </c>
      <c r="H118" s="1" t="s">
        <v>188</v>
      </c>
      <c r="I118" s="6">
        <v>3</v>
      </c>
      <c r="J118" s="6">
        <v>1406</v>
      </c>
      <c r="K118" s="1" t="str">
        <f t="shared" si="1"/>
        <v>3071474643631406</v>
      </c>
      <c r="L118" s="5">
        <v>21</v>
      </c>
      <c r="M118" s="12">
        <v>0</v>
      </c>
      <c r="N118" s="12">
        <v>2055110.8</v>
      </c>
      <c r="O118" s="12">
        <v>431573.27</v>
      </c>
      <c r="P118" s="12">
        <v>2486684.0699999998</v>
      </c>
      <c r="Q118" s="1" t="s">
        <v>15</v>
      </c>
      <c r="R118" s="5">
        <v>0</v>
      </c>
      <c r="S118">
        <f>VLOOKUP(K118,'MIS COMPROBANTES'!E:Q,13,FALSE)</f>
        <v>2486684.0699999998</v>
      </c>
    </row>
    <row r="119" spans="1:19" x14ac:dyDescent="0.25">
      <c r="A119" s="3">
        <v>45449</v>
      </c>
      <c r="B119" s="1" t="s">
        <v>108</v>
      </c>
      <c r="C119" s="1" t="s">
        <v>109</v>
      </c>
      <c r="D119" s="1" t="s">
        <v>18</v>
      </c>
      <c r="E119" s="1" t="s">
        <v>609</v>
      </c>
      <c r="F119" s="4">
        <v>12467</v>
      </c>
      <c r="G119" s="1" t="s">
        <v>19</v>
      </c>
      <c r="H119" s="1" t="s">
        <v>189</v>
      </c>
      <c r="I119" s="6">
        <v>3</v>
      </c>
      <c r="J119" s="6">
        <v>1407</v>
      </c>
      <c r="K119" s="1" t="str">
        <f t="shared" si="1"/>
        <v>3071474643631407</v>
      </c>
      <c r="L119" s="5">
        <v>21</v>
      </c>
      <c r="M119" s="12">
        <v>0</v>
      </c>
      <c r="N119" s="12">
        <v>23936204.170000002</v>
      </c>
      <c r="O119" s="12">
        <v>5026602.88</v>
      </c>
      <c r="P119" s="12">
        <v>28962807.050000001</v>
      </c>
      <c r="Q119" s="1" t="s">
        <v>15</v>
      </c>
      <c r="R119" s="5">
        <v>0</v>
      </c>
      <c r="S119">
        <f>VLOOKUP(K119,'MIS COMPROBANTES'!E:Q,13,FALSE)</f>
        <v>28962807.050000001</v>
      </c>
    </row>
    <row r="120" spans="1:19" x14ac:dyDescent="0.25">
      <c r="A120" s="3">
        <v>45449</v>
      </c>
      <c r="B120" s="1" t="s">
        <v>190</v>
      </c>
      <c r="C120" s="1" t="s">
        <v>191</v>
      </c>
      <c r="D120" s="1" t="s">
        <v>18</v>
      </c>
      <c r="E120" s="1" t="s">
        <v>631</v>
      </c>
      <c r="F120" s="4">
        <v>12754</v>
      </c>
      <c r="G120" s="1" t="s">
        <v>19</v>
      </c>
      <c r="H120" s="1" t="s">
        <v>192</v>
      </c>
      <c r="I120" s="6">
        <v>8</v>
      </c>
      <c r="J120" s="6">
        <v>3348</v>
      </c>
      <c r="K120" s="1" t="str">
        <f t="shared" si="1"/>
        <v>3070916018083348</v>
      </c>
      <c r="L120" s="5">
        <v>21</v>
      </c>
      <c r="M120" s="12">
        <v>0</v>
      </c>
      <c r="N120" s="12">
        <v>17222400</v>
      </c>
      <c r="O120" s="12">
        <v>3616704</v>
      </c>
      <c r="P120" s="12">
        <v>21183552</v>
      </c>
      <c r="Q120" s="1" t="s">
        <v>15</v>
      </c>
      <c r="R120" s="5">
        <v>344448</v>
      </c>
      <c r="S120">
        <f>VLOOKUP(K120,'MIS COMPROBANTES'!E:Q,13,FALSE)</f>
        <v>21183552</v>
      </c>
    </row>
    <row r="121" spans="1:19" x14ac:dyDescent="0.25">
      <c r="A121" s="3">
        <v>45449</v>
      </c>
      <c r="B121" s="1" t="s">
        <v>193</v>
      </c>
      <c r="C121" s="1" t="s">
        <v>194</v>
      </c>
      <c r="D121" s="1" t="s">
        <v>18</v>
      </c>
      <c r="E121" s="1" t="s">
        <v>632</v>
      </c>
      <c r="F121" s="4">
        <v>12510</v>
      </c>
      <c r="G121" s="1" t="s">
        <v>19</v>
      </c>
      <c r="H121" s="1" t="s">
        <v>195</v>
      </c>
      <c r="I121" s="6">
        <v>115</v>
      </c>
      <c r="J121" s="6">
        <v>143617</v>
      </c>
      <c r="K121" s="1" t="str">
        <f t="shared" si="1"/>
        <v>30629646708115143617</v>
      </c>
      <c r="L121" s="5">
        <v>10.5</v>
      </c>
      <c r="M121" s="12">
        <v>0</v>
      </c>
      <c r="N121" s="12">
        <v>416307.73</v>
      </c>
      <c r="O121" s="12">
        <v>43712.31</v>
      </c>
      <c r="P121" s="12">
        <v>484998.5</v>
      </c>
      <c r="Q121" s="1" t="s">
        <v>15</v>
      </c>
      <c r="R121" s="5">
        <v>18733.84</v>
      </c>
      <c r="S121">
        <f>VLOOKUP(K121,'MIS COMPROBANTES'!E:Q,13,FALSE)</f>
        <v>484998.5</v>
      </c>
    </row>
    <row r="122" spans="1:19" x14ac:dyDescent="0.25">
      <c r="A122" s="3">
        <v>45449</v>
      </c>
      <c r="B122" s="1" t="s">
        <v>193</v>
      </c>
      <c r="C122" s="1" t="s">
        <v>194</v>
      </c>
      <c r="D122" s="1" t="s">
        <v>18</v>
      </c>
      <c r="E122" s="1" t="s">
        <v>632</v>
      </c>
      <c r="F122" s="4">
        <v>12510</v>
      </c>
      <c r="G122" s="1" t="s">
        <v>19</v>
      </c>
      <c r="H122" s="1" t="s">
        <v>195</v>
      </c>
      <c r="I122" s="6">
        <v>115</v>
      </c>
      <c r="J122" s="6">
        <v>143617</v>
      </c>
      <c r="K122" s="1" t="str">
        <f t="shared" si="1"/>
        <v>30629646708115143617</v>
      </c>
      <c r="L122" s="5">
        <v>1.5</v>
      </c>
      <c r="M122" s="12">
        <v>0</v>
      </c>
      <c r="N122" s="12">
        <v>0</v>
      </c>
      <c r="O122" s="12">
        <v>6244.62</v>
      </c>
      <c r="P122" s="12">
        <v>0</v>
      </c>
      <c r="Q122" s="1" t="s">
        <v>15</v>
      </c>
      <c r="R122" s="5">
        <v>0</v>
      </c>
      <c r="S122">
        <f>VLOOKUP(K122,'MIS COMPROBANTES'!E:Q,13,FALSE)</f>
        <v>484998.5</v>
      </c>
    </row>
    <row r="123" spans="1:19" x14ac:dyDescent="0.25">
      <c r="A123" s="3">
        <v>45449</v>
      </c>
      <c r="B123" s="1" t="s">
        <v>193</v>
      </c>
      <c r="C123" s="1" t="s">
        <v>194</v>
      </c>
      <c r="D123" s="1" t="s">
        <v>18</v>
      </c>
      <c r="E123" s="1" t="s">
        <v>632</v>
      </c>
      <c r="F123" s="4">
        <v>12511</v>
      </c>
      <c r="G123" s="1" t="s">
        <v>19</v>
      </c>
      <c r="H123" s="1" t="s">
        <v>196</v>
      </c>
      <c r="I123" s="6">
        <v>115</v>
      </c>
      <c r="J123" s="6">
        <v>143618</v>
      </c>
      <c r="K123" s="1" t="str">
        <f t="shared" si="1"/>
        <v>30629646708115143618</v>
      </c>
      <c r="L123" s="5">
        <v>21</v>
      </c>
      <c r="M123" s="12">
        <v>0</v>
      </c>
      <c r="N123" s="12">
        <v>2821865.07</v>
      </c>
      <c r="O123" s="12">
        <v>592591.66</v>
      </c>
      <c r="P123" s="12">
        <v>3626096.61</v>
      </c>
      <c r="Q123" s="1" t="s">
        <v>15</v>
      </c>
      <c r="R123" s="5">
        <v>126983.93</v>
      </c>
      <c r="S123">
        <f>VLOOKUP(K123,'MIS COMPROBANTES'!E:Q,13,FALSE)</f>
        <v>3626096.61</v>
      </c>
    </row>
    <row r="124" spans="1:19" x14ac:dyDescent="0.25">
      <c r="A124" s="3">
        <v>45449</v>
      </c>
      <c r="B124" s="1" t="s">
        <v>193</v>
      </c>
      <c r="C124" s="1" t="s">
        <v>194</v>
      </c>
      <c r="D124" s="1" t="s">
        <v>18</v>
      </c>
      <c r="E124" s="1" t="s">
        <v>632</v>
      </c>
      <c r="F124" s="4">
        <v>12511</v>
      </c>
      <c r="G124" s="1" t="s">
        <v>19</v>
      </c>
      <c r="H124" s="1" t="s">
        <v>196</v>
      </c>
      <c r="I124" s="6">
        <v>115</v>
      </c>
      <c r="J124" s="6">
        <v>143618</v>
      </c>
      <c r="K124" s="1" t="str">
        <f t="shared" si="1"/>
        <v>30629646708115143618</v>
      </c>
      <c r="L124" s="5">
        <v>3</v>
      </c>
      <c r="M124" s="12">
        <v>0</v>
      </c>
      <c r="N124" s="12">
        <v>0</v>
      </c>
      <c r="O124" s="12">
        <v>84655.95</v>
      </c>
      <c r="P124" s="12">
        <v>0</v>
      </c>
      <c r="Q124" s="1" t="s">
        <v>15</v>
      </c>
      <c r="R124" s="5">
        <v>0</v>
      </c>
      <c r="S124">
        <f>VLOOKUP(K124,'MIS COMPROBANTES'!E:Q,13,FALSE)</f>
        <v>3626096.61</v>
      </c>
    </row>
    <row r="125" spans="1:19" x14ac:dyDescent="0.25">
      <c r="A125" s="3">
        <v>45449</v>
      </c>
      <c r="B125" s="1" t="s">
        <v>193</v>
      </c>
      <c r="C125" s="1" t="s">
        <v>194</v>
      </c>
      <c r="D125" s="1" t="s">
        <v>18</v>
      </c>
      <c r="E125" s="1" t="s">
        <v>632</v>
      </c>
      <c r="F125" s="4">
        <v>12603</v>
      </c>
      <c r="G125" s="1" t="s">
        <v>19</v>
      </c>
      <c r="H125" s="1" t="s">
        <v>197</v>
      </c>
      <c r="I125" s="6">
        <v>115</v>
      </c>
      <c r="J125" s="6">
        <v>143622</v>
      </c>
      <c r="K125" s="1" t="str">
        <f t="shared" si="1"/>
        <v>30629646708115143622</v>
      </c>
      <c r="L125" s="5">
        <v>21</v>
      </c>
      <c r="M125" s="12">
        <v>0</v>
      </c>
      <c r="N125" s="12">
        <v>1845068.55</v>
      </c>
      <c r="O125" s="12">
        <v>387464.39</v>
      </c>
      <c r="P125" s="12">
        <v>2370913.08</v>
      </c>
      <c r="Q125" s="1" t="s">
        <v>15</v>
      </c>
      <c r="R125" s="5">
        <v>83028.08</v>
      </c>
      <c r="S125">
        <f>VLOOKUP(K125,'MIS COMPROBANTES'!E:Q,13,FALSE)</f>
        <v>2370913.08</v>
      </c>
    </row>
    <row r="126" spans="1:19" x14ac:dyDescent="0.25">
      <c r="A126" s="3">
        <v>45449</v>
      </c>
      <c r="B126" s="1" t="s">
        <v>193</v>
      </c>
      <c r="C126" s="1" t="s">
        <v>194</v>
      </c>
      <c r="D126" s="1" t="s">
        <v>18</v>
      </c>
      <c r="E126" s="1" t="s">
        <v>632</v>
      </c>
      <c r="F126" s="4">
        <v>12603</v>
      </c>
      <c r="G126" s="1" t="s">
        <v>19</v>
      </c>
      <c r="H126" s="1" t="s">
        <v>197</v>
      </c>
      <c r="I126" s="6">
        <v>115</v>
      </c>
      <c r="J126" s="6">
        <v>143622</v>
      </c>
      <c r="K126" s="1" t="str">
        <f t="shared" si="1"/>
        <v>30629646708115143622</v>
      </c>
      <c r="L126" s="5">
        <v>3</v>
      </c>
      <c r="M126" s="12">
        <v>0</v>
      </c>
      <c r="N126" s="12">
        <v>0</v>
      </c>
      <c r="O126" s="12">
        <v>55352.06</v>
      </c>
      <c r="P126" s="12">
        <v>0</v>
      </c>
      <c r="Q126" s="1" t="s">
        <v>15</v>
      </c>
      <c r="R126" s="5">
        <v>0</v>
      </c>
      <c r="S126">
        <f>VLOOKUP(K126,'MIS COMPROBANTES'!E:Q,13,FALSE)</f>
        <v>2370913.08</v>
      </c>
    </row>
    <row r="127" spans="1:19" x14ac:dyDescent="0.25">
      <c r="A127" s="3">
        <v>45449</v>
      </c>
      <c r="B127" s="1" t="s">
        <v>44</v>
      </c>
      <c r="C127" s="1" t="s">
        <v>45</v>
      </c>
      <c r="D127" s="1" t="s">
        <v>18</v>
      </c>
      <c r="E127" s="1" t="s">
        <v>591</v>
      </c>
      <c r="F127" s="4">
        <v>12375</v>
      </c>
      <c r="G127" s="1" t="s">
        <v>19</v>
      </c>
      <c r="H127" s="1" t="s">
        <v>198</v>
      </c>
      <c r="I127" s="6">
        <v>622</v>
      </c>
      <c r="J127" s="6">
        <v>285040</v>
      </c>
      <c r="K127" s="1" t="str">
        <f t="shared" si="1"/>
        <v>30682032630622285040</v>
      </c>
      <c r="L127" s="5">
        <v>21</v>
      </c>
      <c r="M127" s="12">
        <v>0</v>
      </c>
      <c r="N127" s="12">
        <v>265575.24</v>
      </c>
      <c r="O127" s="12">
        <v>55770.8</v>
      </c>
      <c r="P127" s="12">
        <v>341264.18</v>
      </c>
      <c r="Q127" s="1" t="s">
        <v>15</v>
      </c>
      <c r="R127" s="5">
        <v>11950.88</v>
      </c>
      <c r="S127">
        <f>VLOOKUP(K127,'MIS COMPROBANTES'!E:Q,13,FALSE)</f>
        <v>341264.18</v>
      </c>
    </row>
    <row r="128" spans="1:19" x14ac:dyDescent="0.25">
      <c r="A128" s="3">
        <v>45449</v>
      </c>
      <c r="B128" s="1" t="s">
        <v>44</v>
      </c>
      <c r="C128" s="1" t="s">
        <v>45</v>
      </c>
      <c r="D128" s="1" t="s">
        <v>18</v>
      </c>
      <c r="E128" s="1" t="s">
        <v>591</v>
      </c>
      <c r="F128" s="4">
        <v>12375</v>
      </c>
      <c r="G128" s="1" t="s">
        <v>19</v>
      </c>
      <c r="H128" s="1" t="s">
        <v>198</v>
      </c>
      <c r="I128" s="6">
        <v>622</v>
      </c>
      <c r="J128" s="6">
        <v>285040</v>
      </c>
      <c r="K128" s="1" t="str">
        <f t="shared" si="1"/>
        <v>30682032630622285040</v>
      </c>
      <c r="L128" s="5">
        <v>3</v>
      </c>
      <c r="M128" s="12">
        <v>0</v>
      </c>
      <c r="N128" s="12">
        <v>0</v>
      </c>
      <c r="O128" s="12">
        <v>7967.26</v>
      </c>
      <c r="P128" s="12">
        <v>0</v>
      </c>
      <c r="Q128" s="1" t="s">
        <v>15</v>
      </c>
      <c r="R128" s="5">
        <v>0</v>
      </c>
      <c r="S128">
        <f>VLOOKUP(K128,'MIS COMPROBANTES'!E:Q,13,FALSE)</f>
        <v>341264.18</v>
      </c>
    </row>
    <row r="129" spans="1:19" x14ac:dyDescent="0.25">
      <c r="A129" s="3">
        <v>45449</v>
      </c>
      <c r="B129" s="1" t="s">
        <v>97</v>
      </c>
      <c r="C129" s="1" t="s">
        <v>98</v>
      </c>
      <c r="D129" s="1" t="s">
        <v>18</v>
      </c>
      <c r="E129" s="1" t="s">
        <v>607</v>
      </c>
      <c r="F129" s="4">
        <v>12376</v>
      </c>
      <c r="G129" s="1" t="s">
        <v>19</v>
      </c>
      <c r="H129" s="1" t="s">
        <v>199</v>
      </c>
      <c r="I129" s="6">
        <v>2002</v>
      </c>
      <c r="J129" s="6">
        <v>290094</v>
      </c>
      <c r="K129" s="1" t="str">
        <f t="shared" ref="K129:K192" si="2">CONCATENATE(E129,I129,J129)</f>
        <v>305007682622002290094</v>
      </c>
      <c r="L129" s="5">
        <v>21</v>
      </c>
      <c r="M129" s="12">
        <v>0</v>
      </c>
      <c r="N129" s="12">
        <v>3556063.4</v>
      </c>
      <c r="O129" s="12">
        <v>746773.32</v>
      </c>
      <c r="P129" s="12">
        <v>4569541.47</v>
      </c>
      <c r="Q129" s="1" t="s">
        <v>15</v>
      </c>
      <c r="R129" s="5">
        <v>160022.85</v>
      </c>
      <c r="S129">
        <f>VLOOKUP(K129,'MIS COMPROBANTES'!E:Q,13,FALSE)</f>
        <v>4569541.47</v>
      </c>
    </row>
    <row r="130" spans="1:19" x14ac:dyDescent="0.25">
      <c r="A130" s="3">
        <v>45449</v>
      </c>
      <c r="B130" s="1" t="s">
        <v>97</v>
      </c>
      <c r="C130" s="1" t="s">
        <v>98</v>
      </c>
      <c r="D130" s="1" t="s">
        <v>18</v>
      </c>
      <c r="E130" s="1" t="s">
        <v>607</v>
      </c>
      <c r="F130" s="4">
        <v>12376</v>
      </c>
      <c r="G130" s="1" t="s">
        <v>19</v>
      </c>
      <c r="H130" s="1" t="s">
        <v>199</v>
      </c>
      <c r="I130" s="6">
        <v>2002</v>
      </c>
      <c r="J130" s="6">
        <v>290094</v>
      </c>
      <c r="K130" s="1" t="str">
        <f t="shared" si="2"/>
        <v>305007682622002290094</v>
      </c>
      <c r="L130" s="5">
        <v>3</v>
      </c>
      <c r="M130" s="12">
        <v>0</v>
      </c>
      <c r="N130" s="12">
        <v>0</v>
      </c>
      <c r="O130" s="12">
        <v>106681.9</v>
      </c>
      <c r="P130" s="12">
        <v>0</v>
      </c>
      <c r="Q130" s="1" t="s">
        <v>15</v>
      </c>
      <c r="R130" s="5">
        <v>0</v>
      </c>
      <c r="S130">
        <f>VLOOKUP(K130,'MIS COMPROBANTES'!E:Q,13,FALSE)</f>
        <v>4569541.47</v>
      </c>
    </row>
    <row r="131" spans="1:19" x14ac:dyDescent="0.25">
      <c r="A131" s="3">
        <v>45449</v>
      </c>
      <c r="B131" s="1" t="s">
        <v>129</v>
      </c>
      <c r="C131" s="1" t="s">
        <v>130</v>
      </c>
      <c r="D131" s="1" t="s">
        <v>18</v>
      </c>
      <c r="E131" s="1" t="s">
        <v>615</v>
      </c>
      <c r="F131" s="4">
        <v>12365</v>
      </c>
      <c r="G131" s="1" t="s">
        <v>19</v>
      </c>
      <c r="H131" s="1" t="s">
        <v>200</v>
      </c>
      <c r="I131" s="6">
        <v>6004</v>
      </c>
      <c r="J131" s="6">
        <v>3646474</v>
      </c>
      <c r="K131" s="1" t="str">
        <f t="shared" si="2"/>
        <v>3050111624260043646474</v>
      </c>
      <c r="L131" s="5">
        <v>21</v>
      </c>
      <c r="M131" s="12">
        <v>0</v>
      </c>
      <c r="N131" s="12">
        <v>113930.32</v>
      </c>
      <c r="O131" s="12">
        <v>23925.37</v>
      </c>
      <c r="P131" s="12">
        <v>143552.21</v>
      </c>
      <c r="Q131" s="1" t="s">
        <v>15</v>
      </c>
      <c r="R131" s="5">
        <v>2278.61</v>
      </c>
      <c r="S131">
        <f>VLOOKUP(K131,'MIS COMPROBANTES'!E:Q,13,FALSE)</f>
        <v>143552.21</v>
      </c>
    </row>
    <row r="132" spans="1:19" x14ac:dyDescent="0.25">
      <c r="A132" s="3">
        <v>45449</v>
      </c>
      <c r="B132" s="1" t="s">
        <v>129</v>
      </c>
      <c r="C132" s="1" t="s">
        <v>130</v>
      </c>
      <c r="D132" s="1" t="s">
        <v>18</v>
      </c>
      <c r="E132" s="1" t="s">
        <v>615</v>
      </c>
      <c r="F132" s="4">
        <v>12365</v>
      </c>
      <c r="G132" s="1" t="s">
        <v>19</v>
      </c>
      <c r="H132" s="1" t="s">
        <v>200</v>
      </c>
      <c r="I132" s="6">
        <v>6004</v>
      </c>
      <c r="J132" s="6">
        <v>3646474</v>
      </c>
      <c r="K132" s="1" t="str">
        <f t="shared" si="2"/>
        <v>3050111624260043646474</v>
      </c>
      <c r="L132" s="5">
        <v>3</v>
      </c>
      <c r="M132" s="12">
        <v>0</v>
      </c>
      <c r="N132" s="12">
        <v>0</v>
      </c>
      <c r="O132" s="12">
        <v>3417.91</v>
      </c>
      <c r="P132" s="12">
        <v>0</v>
      </c>
      <c r="Q132" s="1" t="s">
        <v>15</v>
      </c>
      <c r="R132" s="5">
        <v>0</v>
      </c>
      <c r="S132">
        <f>VLOOKUP(K132,'MIS COMPROBANTES'!E:Q,13,FALSE)</f>
        <v>143552.21</v>
      </c>
    </row>
    <row r="133" spans="1:19" x14ac:dyDescent="0.25">
      <c r="A133" s="3">
        <v>45449</v>
      </c>
      <c r="B133" s="1" t="s">
        <v>53</v>
      </c>
      <c r="C133" s="1" t="s">
        <v>54</v>
      </c>
      <c r="D133" s="1" t="s">
        <v>18</v>
      </c>
      <c r="E133" s="1" t="s">
        <v>594</v>
      </c>
      <c r="F133" s="4">
        <v>12366</v>
      </c>
      <c r="G133" s="1" t="s">
        <v>19</v>
      </c>
      <c r="H133" s="1" t="s">
        <v>201</v>
      </c>
      <c r="I133" s="6">
        <v>6156</v>
      </c>
      <c r="J133" s="6">
        <v>6803082</v>
      </c>
      <c r="K133" s="1" t="str">
        <f t="shared" si="2"/>
        <v>3054724233161566803082</v>
      </c>
      <c r="L133" s="5">
        <v>21</v>
      </c>
      <c r="M133" s="12">
        <v>0</v>
      </c>
      <c r="N133" s="12">
        <v>491041.93</v>
      </c>
      <c r="O133" s="12">
        <v>103118.81</v>
      </c>
      <c r="P133" s="12">
        <v>618712.84</v>
      </c>
      <c r="Q133" s="1" t="s">
        <v>15</v>
      </c>
      <c r="R133" s="5">
        <v>9820.84</v>
      </c>
      <c r="S133">
        <f>VLOOKUP(K133,'MIS COMPROBANTES'!E:Q,13,FALSE)</f>
        <v>618712.84</v>
      </c>
    </row>
    <row r="134" spans="1:19" x14ac:dyDescent="0.25">
      <c r="A134" s="3">
        <v>45449</v>
      </c>
      <c r="B134" s="1" t="s">
        <v>53</v>
      </c>
      <c r="C134" s="1" t="s">
        <v>54</v>
      </c>
      <c r="D134" s="1" t="s">
        <v>18</v>
      </c>
      <c r="E134" s="1" t="s">
        <v>594</v>
      </c>
      <c r="F134" s="4">
        <v>12366</v>
      </c>
      <c r="G134" s="1" t="s">
        <v>19</v>
      </c>
      <c r="H134" s="1" t="s">
        <v>201</v>
      </c>
      <c r="I134" s="6">
        <v>6156</v>
      </c>
      <c r="J134" s="6">
        <v>6803082</v>
      </c>
      <c r="K134" s="1" t="str">
        <f t="shared" si="2"/>
        <v>3054724233161566803082</v>
      </c>
      <c r="L134" s="5">
        <v>3</v>
      </c>
      <c r="M134" s="12">
        <v>0</v>
      </c>
      <c r="N134" s="12">
        <v>0</v>
      </c>
      <c r="O134" s="12">
        <v>14731.26</v>
      </c>
      <c r="P134" s="12">
        <v>0</v>
      </c>
      <c r="Q134" s="1" t="s">
        <v>15</v>
      </c>
      <c r="R134" s="5">
        <v>0</v>
      </c>
      <c r="S134">
        <f>VLOOKUP(K134,'MIS COMPROBANTES'!E:Q,13,FALSE)</f>
        <v>618712.84</v>
      </c>
    </row>
    <row r="135" spans="1:19" x14ac:dyDescent="0.25">
      <c r="A135" s="3">
        <v>45449</v>
      </c>
      <c r="B135" s="1" t="s">
        <v>202</v>
      </c>
      <c r="C135" s="1" t="s">
        <v>203</v>
      </c>
      <c r="D135" s="1" t="s">
        <v>18</v>
      </c>
      <c r="E135" s="1" t="s">
        <v>633</v>
      </c>
      <c r="F135" s="4">
        <v>12701</v>
      </c>
      <c r="G135" s="1" t="s">
        <v>19</v>
      </c>
      <c r="H135" s="1" t="s">
        <v>204</v>
      </c>
      <c r="I135" s="6">
        <v>7298</v>
      </c>
      <c r="J135" s="6">
        <v>31523</v>
      </c>
      <c r="K135" s="1" t="str">
        <f t="shared" si="2"/>
        <v>30678774495729831523</v>
      </c>
      <c r="L135" s="5">
        <v>21</v>
      </c>
      <c r="M135" s="12">
        <v>6261.05</v>
      </c>
      <c r="N135" s="12">
        <v>45240.42</v>
      </c>
      <c r="O135" s="12">
        <v>9500.49</v>
      </c>
      <c r="P135" s="12">
        <v>62031.99</v>
      </c>
      <c r="Q135" s="1" t="s">
        <v>15</v>
      </c>
      <c r="R135" s="5">
        <v>1030.03</v>
      </c>
      <c r="S135">
        <f>VLOOKUP(K135,'MIS COMPROBANTES'!E:Q,13,FALSE)</f>
        <v>62031.99</v>
      </c>
    </row>
    <row r="136" spans="1:19" x14ac:dyDescent="0.25">
      <c r="A136" s="3">
        <v>45449</v>
      </c>
      <c r="B136" s="1" t="s">
        <v>202</v>
      </c>
      <c r="C136" s="1" t="s">
        <v>203</v>
      </c>
      <c r="D136" s="1" t="s">
        <v>18</v>
      </c>
      <c r="E136" s="1" t="s">
        <v>633</v>
      </c>
      <c r="F136" s="4">
        <v>12354</v>
      </c>
      <c r="G136" s="1" t="s">
        <v>19</v>
      </c>
      <c r="H136" s="1" t="s">
        <v>205</v>
      </c>
      <c r="I136" s="6">
        <v>7980</v>
      </c>
      <c r="J136" s="6">
        <v>28739</v>
      </c>
      <c r="K136" s="1" t="str">
        <f t="shared" si="2"/>
        <v>30678774495798028739</v>
      </c>
      <c r="L136" s="5">
        <v>21</v>
      </c>
      <c r="M136" s="12">
        <v>7662.79</v>
      </c>
      <c r="N136" s="12">
        <v>80446.429999999993</v>
      </c>
      <c r="O136" s="12">
        <v>16893.75</v>
      </c>
      <c r="P136" s="12">
        <v>109408.43</v>
      </c>
      <c r="Q136" s="1" t="s">
        <v>15</v>
      </c>
      <c r="R136" s="5">
        <v>4405.46</v>
      </c>
      <c r="S136">
        <f>VLOOKUP(K136,'MIS COMPROBANTES'!E:Q,13,FALSE)</f>
        <v>109408.44</v>
      </c>
    </row>
    <row r="137" spans="1:19" x14ac:dyDescent="0.25">
      <c r="A137" s="3">
        <v>45449</v>
      </c>
      <c r="B137" s="1" t="s">
        <v>169</v>
      </c>
      <c r="C137" s="1" t="s">
        <v>170</v>
      </c>
      <c r="D137" s="1" t="s">
        <v>18</v>
      </c>
      <c r="E137" s="1" t="s">
        <v>625</v>
      </c>
      <c r="F137" s="4">
        <v>12292</v>
      </c>
      <c r="G137" s="1" t="s">
        <v>31</v>
      </c>
      <c r="H137" s="1" t="s">
        <v>206</v>
      </c>
      <c r="I137" s="6">
        <v>1152</v>
      </c>
      <c r="J137" s="6">
        <v>6664</v>
      </c>
      <c r="K137" s="1" t="str">
        <f t="shared" si="2"/>
        <v>3050795084811526664</v>
      </c>
      <c r="L137" s="5">
        <v>21</v>
      </c>
      <c r="M137" s="12">
        <v>0</v>
      </c>
      <c r="N137" s="12">
        <v>-4378</v>
      </c>
      <c r="O137" s="12">
        <v>-919.38</v>
      </c>
      <c r="P137" s="12">
        <v>-5428.72</v>
      </c>
      <c r="Q137" s="1" t="s">
        <v>15</v>
      </c>
      <c r="R137" s="5">
        <v>0</v>
      </c>
      <c r="S137">
        <f>VLOOKUP(K137,'MIS COMPROBANTES'!E:Q,13,FALSE)</f>
        <v>5428.72</v>
      </c>
    </row>
    <row r="138" spans="1:19" x14ac:dyDescent="0.25">
      <c r="A138" s="3">
        <v>45449</v>
      </c>
      <c r="B138" s="1" t="s">
        <v>169</v>
      </c>
      <c r="C138" s="1" t="s">
        <v>170</v>
      </c>
      <c r="D138" s="1" t="s">
        <v>18</v>
      </c>
      <c r="E138" s="1" t="s">
        <v>625</v>
      </c>
      <c r="F138" s="4">
        <v>12292</v>
      </c>
      <c r="G138" s="1" t="s">
        <v>31</v>
      </c>
      <c r="H138" s="1" t="s">
        <v>206</v>
      </c>
      <c r="I138" s="6">
        <v>1152</v>
      </c>
      <c r="J138" s="6">
        <v>6664</v>
      </c>
      <c r="K138" s="1" t="str">
        <f t="shared" si="2"/>
        <v>3050795084811526664</v>
      </c>
      <c r="L138" s="5">
        <v>3</v>
      </c>
      <c r="M138" s="12">
        <v>0</v>
      </c>
      <c r="N138" s="12">
        <v>0</v>
      </c>
      <c r="O138" s="12">
        <v>-131.34</v>
      </c>
      <c r="P138" s="12">
        <v>0</v>
      </c>
      <c r="Q138" s="1" t="s">
        <v>15</v>
      </c>
      <c r="R138" s="5">
        <v>0</v>
      </c>
      <c r="S138">
        <f>VLOOKUP(K138,'MIS COMPROBANTES'!E:Q,13,FALSE)</f>
        <v>5428.72</v>
      </c>
    </row>
    <row r="139" spans="1:19" x14ac:dyDescent="0.25">
      <c r="A139" s="3">
        <v>45450</v>
      </c>
      <c r="B139" s="1" t="s">
        <v>21</v>
      </c>
      <c r="C139" s="1" t="s">
        <v>22</v>
      </c>
      <c r="D139" s="1" t="s">
        <v>18</v>
      </c>
      <c r="E139" s="1" t="s">
        <v>585</v>
      </c>
      <c r="F139" s="4">
        <v>12621</v>
      </c>
      <c r="G139" s="1" t="s">
        <v>19</v>
      </c>
      <c r="H139" s="1" t="s">
        <v>207</v>
      </c>
      <c r="I139" s="6">
        <v>2024</v>
      </c>
      <c r="J139" s="6">
        <v>33219411</v>
      </c>
      <c r="K139" s="1" t="str">
        <f t="shared" si="2"/>
        <v>30604731018202433219411</v>
      </c>
      <c r="L139" s="5">
        <v>10.5</v>
      </c>
      <c r="M139" s="12">
        <v>360000</v>
      </c>
      <c r="N139" s="12">
        <v>450000</v>
      </c>
      <c r="O139" s="12">
        <v>47250</v>
      </c>
      <c r="P139" s="12">
        <v>873000</v>
      </c>
      <c r="Q139" s="1" t="s">
        <v>15</v>
      </c>
      <c r="R139" s="5">
        <v>9000</v>
      </c>
      <c r="S139" t="e">
        <f>VLOOKUP(K139,'MIS COMPROBANTES'!E:Q,13,FALSE)</f>
        <v>#N/A</v>
      </c>
    </row>
    <row r="140" spans="1:19" x14ac:dyDescent="0.25">
      <c r="A140" s="3">
        <v>45450</v>
      </c>
      <c r="B140" s="1" t="s">
        <v>21</v>
      </c>
      <c r="C140" s="1" t="s">
        <v>22</v>
      </c>
      <c r="D140" s="1" t="s">
        <v>18</v>
      </c>
      <c r="E140" s="1" t="s">
        <v>585</v>
      </c>
      <c r="F140" s="4">
        <v>12621</v>
      </c>
      <c r="G140" s="1" t="s">
        <v>19</v>
      </c>
      <c r="H140" s="1" t="s">
        <v>207</v>
      </c>
      <c r="I140" s="6">
        <v>2024</v>
      </c>
      <c r="J140" s="6">
        <v>33219411</v>
      </c>
      <c r="K140" s="1" t="str">
        <f t="shared" si="2"/>
        <v>30604731018202433219411</v>
      </c>
      <c r="L140" s="5">
        <v>1.5</v>
      </c>
      <c r="M140" s="12">
        <v>0</v>
      </c>
      <c r="N140" s="12">
        <v>0</v>
      </c>
      <c r="O140" s="12">
        <v>6750</v>
      </c>
      <c r="P140" s="12">
        <v>0</v>
      </c>
      <c r="Q140" s="1" t="s">
        <v>15</v>
      </c>
      <c r="R140" s="5">
        <v>0</v>
      </c>
      <c r="S140" t="e">
        <f>VLOOKUP(K140,'MIS COMPROBANTES'!E:Q,13,FALSE)</f>
        <v>#N/A</v>
      </c>
    </row>
    <row r="141" spans="1:19" x14ac:dyDescent="0.25">
      <c r="A141" s="3">
        <v>45450</v>
      </c>
      <c r="B141" s="1" t="s">
        <v>16</v>
      </c>
      <c r="C141" s="1" t="s">
        <v>17</v>
      </c>
      <c r="D141" s="1" t="s">
        <v>18</v>
      </c>
      <c r="E141" s="1" t="s">
        <v>584</v>
      </c>
      <c r="F141" s="4">
        <v>12625</v>
      </c>
      <c r="G141" s="1" t="s">
        <v>19</v>
      </c>
      <c r="H141" s="1" t="s">
        <v>208</v>
      </c>
      <c r="I141" s="6">
        <v>2024</v>
      </c>
      <c r="J141" s="6">
        <v>93760212</v>
      </c>
      <c r="K141" s="1" t="str">
        <f t="shared" si="2"/>
        <v>30500008454202493760212</v>
      </c>
      <c r="L141" s="5">
        <v>10.5</v>
      </c>
      <c r="M141" s="12">
        <v>1194925.23</v>
      </c>
      <c r="N141" s="12">
        <v>87488.9</v>
      </c>
      <c r="O141" s="12">
        <v>9186.33</v>
      </c>
      <c r="P141" s="12">
        <v>1294662.57</v>
      </c>
      <c r="Q141" s="1" t="s">
        <v>15</v>
      </c>
      <c r="R141" s="5">
        <v>1749.78</v>
      </c>
      <c r="S141" t="e">
        <f>VLOOKUP(K141,'MIS COMPROBANTES'!E:Q,13,FALSE)</f>
        <v>#N/A</v>
      </c>
    </row>
    <row r="142" spans="1:19" x14ac:dyDescent="0.25">
      <c r="A142" s="3">
        <v>45450</v>
      </c>
      <c r="B142" s="1" t="s">
        <v>16</v>
      </c>
      <c r="C142" s="1" t="s">
        <v>17</v>
      </c>
      <c r="D142" s="1" t="s">
        <v>18</v>
      </c>
      <c r="E142" s="1" t="s">
        <v>584</v>
      </c>
      <c r="F142" s="4">
        <v>12625</v>
      </c>
      <c r="G142" s="1" t="s">
        <v>19</v>
      </c>
      <c r="H142" s="1" t="s">
        <v>208</v>
      </c>
      <c r="I142" s="6">
        <v>2024</v>
      </c>
      <c r="J142" s="6">
        <v>93760212</v>
      </c>
      <c r="K142" s="1" t="str">
        <f t="shared" si="2"/>
        <v>30500008454202493760212</v>
      </c>
      <c r="L142" s="5">
        <v>1.5</v>
      </c>
      <c r="M142" s="12">
        <v>0</v>
      </c>
      <c r="N142" s="12">
        <v>0</v>
      </c>
      <c r="O142" s="12">
        <v>1312.33</v>
      </c>
      <c r="P142" s="12">
        <v>0</v>
      </c>
      <c r="Q142" s="1" t="s">
        <v>15</v>
      </c>
      <c r="R142" s="5">
        <v>0</v>
      </c>
      <c r="S142" t="e">
        <f>VLOOKUP(K142,'MIS COMPROBANTES'!E:Q,13,FALSE)</f>
        <v>#N/A</v>
      </c>
    </row>
    <row r="143" spans="1:19" x14ac:dyDescent="0.25">
      <c r="A143" s="3">
        <v>45450</v>
      </c>
      <c r="B143" s="1" t="s">
        <v>209</v>
      </c>
      <c r="C143" s="1" t="s">
        <v>210</v>
      </c>
      <c r="D143" s="1" t="s">
        <v>18</v>
      </c>
      <c r="E143" s="1" t="s">
        <v>634</v>
      </c>
      <c r="F143" s="4">
        <v>12747</v>
      </c>
      <c r="G143" s="1" t="s">
        <v>19</v>
      </c>
      <c r="H143" s="1" t="s">
        <v>211</v>
      </c>
      <c r="I143" s="6">
        <v>2</v>
      </c>
      <c r="J143" s="6">
        <v>38</v>
      </c>
      <c r="K143" s="1" t="str">
        <f t="shared" si="2"/>
        <v>20200362951238</v>
      </c>
      <c r="L143" s="5">
        <v>21</v>
      </c>
      <c r="M143" s="12">
        <v>0</v>
      </c>
      <c r="N143" s="12">
        <v>250000</v>
      </c>
      <c r="O143" s="12">
        <v>52500</v>
      </c>
      <c r="P143" s="12">
        <v>302500</v>
      </c>
      <c r="Q143" s="1" t="s">
        <v>15</v>
      </c>
      <c r="R143" s="5">
        <v>0</v>
      </c>
      <c r="S143">
        <f>VLOOKUP(K143,'MIS COMPROBANTES'!E:Q,13,FALSE)</f>
        <v>302500</v>
      </c>
    </row>
    <row r="144" spans="1:19" x14ac:dyDescent="0.25">
      <c r="A144" s="3">
        <v>45450</v>
      </c>
      <c r="B144" s="1" t="s">
        <v>185</v>
      </c>
      <c r="C144" s="1" t="s">
        <v>186</v>
      </c>
      <c r="D144" s="1" t="s">
        <v>18</v>
      </c>
      <c r="E144" s="1" t="s">
        <v>630</v>
      </c>
      <c r="F144" s="4">
        <v>12871</v>
      </c>
      <c r="G144" s="1" t="s">
        <v>19</v>
      </c>
      <c r="H144" s="1" t="s">
        <v>212</v>
      </c>
      <c r="I144" s="6">
        <v>2</v>
      </c>
      <c r="J144" s="6">
        <v>21598</v>
      </c>
      <c r="K144" s="1" t="str">
        <f t="shared" si="2"/>
        <v>30714786667221598</v>
      </c>
      <c r="L144" s="5">
        <v>21</v>
      </c>
      <c r="M144" s="12">
        <v>0</v>
      </c>
      <c r="N144" s="12">
        <v>3581622</v>
      </c>
      <c r="O144" s="12">
        <v>752140.62</v>
      </c>
      <c r="P144" s="12">
        <v>4405395.0599999996</v>
      </c>
      <c r="Q144" s="1" t="s">
        <v>15</v>
      </c>
      <c r="R144" s="5">
        <v>71632.44</v>
      </c>
      <c r="S144">
        <f>VLOOKUP(K144,'MIS COMPROBANTES'!E:Q,13,FALSE)</f>
        <v>4405395.0599999996</v>
      </c>
    </row>
    <row r="145" spans="1:19" x14ac:dyDescent="0.25">
      <c r="A145" s="3">
        <v>45450</v>
      </c>
      <c r="B145" s="1" t="s">
        <v>213</v>
      </c>
      <c r="C145" s="1" t="s">
        <v>214</v>
      </c>
      <c r="D145" s="1" t="s">
        <v>18</v>
      </c>
      <c r="E145" s="1" t="s">
        <v>635</v>
      </c>
      <c r="F145" s="4">
        <v>12359</v>
      </c>
      <c r="G145" s="1" t="s">
        <v>19</v>
      </c>
      <c r="H145" s="1" t="s">
        <v>215</v>
      </c>
      <c r="I145" s="6">
        <v>3</v>
      </c>
      <c r="J145" s="6">
        <v>1152</v>
      </c>
      <c r="K145" s="1" t="str">
        <f t="shared" si="2"/>
        <v>3071765357931152</v>
      </c>
      <c r="L145" s="5">
        <v>21</v>
      </c>
      <c r="M145" s="12">
        <v>1928.99</v>
      </c>
      <c r="N145" s="12">
        <v>103139.46</v>
      </c>
      <c r="O145" s="12">
        <v>21659.29</v>
      </c>
      <c r="P145" s="12">
        <v>127499.45</v>
      </c>
      <c r="Q145" s="1" t="s">
        <v>15</v>
      </c>
      <c r="R145" s="5">
        <v>771.71</v>
      </c>
      <c r="S145" t="e">
        <f>VLOOKUP(K145,'MIS COMPROBANTES'!E:Q,13,FALSE)</f>
        <v>#N/A</v>
      </c>
    </row>
    <row r="146" spans="1:19" x14ac:dyDescent="0.25">
      <c r="A146" s="3">
        <v>45450</v>
      </c>
      <c r="B146" s="1" t="s">
        <v>216</v>
      </c>
      <c r="C146" s="1" t="s">
        <v>217</v>
      </c>
      <c r="D146" s="1" t="s">
        <v>18</v>
      </c>
      <c r="E146" s="1" t="s">
        <v>636</v>
      </c>
      <c r="F146" s="4">
        <v>12424</v>
      </c>
      <c r="G146" s="1" t="s">
        <v>19</v>
      </c>
      <c r="H146" s="1" t="s">
        <v>218</v>
      </c>
      <c r="I146" s="6">
        <v>3</v>
      </c>
      <c r="J146" s="6">
        <v>50560</v>
      </c>
      <c r="K146" s="1" t="str">
        <f t="shared" si="2"/>
        <v>30711497974350560</v>
      </c>
      <c r="L146" s="5">
        <v>21</v>
      </c>
      <c r="M146" s="12">
        <v>0</v>
      </c>
      <c r="N146" s="12">
        <v>944002.9</v>
      </c>
      <c r="O146" s="12">
        <v>198240.61</v>
      </c>
      <c r="P146" s="12">
        <v>1142243.51</v>
      </c>
      <c r="Q146" s="1" t="s">
        <v>15</v>
      </c>
      <c r="R146" s="5">
        <v>0</v>
      </c>
      <c r="S146">
        <f>VLOOKUP(K146,'MIS COMPROBANTES'!E:Q,13,FALSE)</f>
        <v>1142243.51</v>
      </c>
    </row>
    <row r="147" spans="1:19" x14ac:dyDescent="0.25">
      <c r="A147" s="3">
        <v>45450</v>
      </c>
      <c r="B147" s="1" t="s">
        <v>70</v>
      </c>
      <c r="C147" s="1" t="s">
        <v>71</v>
      </c>
      <c r="D147" s="1" t="s">
        <v>18</v>
      </c>
      <c r="E147" s="1" t="s">
        <v>599</v>
      </c>
      <c r="F147" s="4">
        <v>12294</v>
      </c>
      <c r="G147" s="1" t="s">
        <v>19</v>
      </c>
      <c r="H147" s="1" t="s">
        <v>219</v>
      </c>
      <c r="I147" s="6">
        <v>3</v>
      </c>
      <c r="J147" s="6">
        <v>101224</v>
      </c>
      <c r="K147" s="1" t="str">
        <f t="shared" si="2"/>
        <v>307039574783101224</v>
      </c>
      <c r="L147" s="5">
        <v>21</v>
      </c>
      <c r="M147" s="12">
        <v>0</v>
      </c>
      <c r="N147" s="12">
        <v>1001669.42</v>
      </c>
      <c r="O147" s="12">
        <v>210350.58</v>
      </c>
      <c r="P147" s="12">
        <v>1232053.3899999999</v>
      </c>
      <c r="Q147" s="1" t="s">
        <v>15</v>
      </c>
      <c r="R147" s="5">
        <v>20033.39</v>
      </c>
      <c r="S147">
        <f>VLOOKUP(K147,'MIS COMPROBANTES'!E:Q,13,FALSE)</f>
        <v>1232053.3899999999</v>
      </c>
    </row>
    <row r="148" spans="1:19" x14ac:dyDescent="0.25">
      <c r="A148" s="3">
        <v>45450</v>
      </c>
      <c r="B148" s="1" t="s">
        <v>220</v>
      </c>
      <c r="C148" s="1" t="s">
        <v>221</v>
      </c>
      <c r="D148" s="1" t="s">
        <v>18</v>
      </c>
      <c r="E148" s="1" t="s">
        <v>637</v>
      </c>
      <c r="F148" s="4">
        <v>12363</v>
      </c>
      <c r="G148" s="1" t="s">
        <v>19</v>
      </c>
      <c r="H148" s="1" t="s">
        <v>222</v>
      </c>
      <c r="I148" s="6">
        <v>4</v>
      </c>
      <c r="J148" s="6">
        <v>1159</v>
      </c>
      <c r="K148" s="1" t="str">
        <f t="shared" si="2"/>
        <v>2010832176941159</v>
      </c>
      <c r="L148" s="5">
        <v>21</v>
      </c>
      <c r="M148" s="12">
        <v>0</v>
      </c>
      <c r="N148" s="12">
        <v>22314.05</v>
      </c>
      <c r="O148" s="12">
        <v>4685.95</v>
      </c>
      <c r="P148" s="12">
        <v>27000</v>
      </c>
      <c r="Q148" s="1" t="s">
        <v>15</v>
      </c>
      <c r="R148" s="5">
        <v>0</v>
      </c>
      <c r="S148">
        <f>VLOOKUP(K148,'MIS COMPROBANTES'!E:Q,13,FALSE)</f>
        <v>27000</v>
      </c>
    </row>
    <row r="149" spans="1:19" x14ac:dyDescent="0.25">
      <c r="A149" s="3">
        <v>45450</v>
      </c>
      <c r="B149" s="1" t="s">
        <v>223</v>
      </c>
      <c r="C149" s="1" t="s">
        <v>224</v>
      </c>
      <c r="D149" s="1" t="s">
        <v>18</v>
      </c>
      <c r="E149" s="1" t="s">
        <v>638</v>
      </c>
      <c r="F149" s="4">
        <v>12377</v>
      </c>
      <c r="G149" s="1" t="s">
        <v>19</v>
      </c>
      <c r="H149" s="1" t="s">
        <v>225</v>
      </c>
      <c r="I149" s="6">
        <v>12</v>
      </c>
      <c r="J149" s="6">
        <v>80291</v>
      </c>
      <c r="K149" s="1" t="str">
        <f t="shared" si="2"/>
        <v>306976466271280291</v>
      </c>
      <c r="L149" s="5">
        <v>21</v>
      </c>
      <c r="M149" s="12">
        <v>0</v>
      </c>
      <c r="N149" s="12">
        <v>2226301.44</v>
      </c>
      <c r="O149" s="12">
        <v>467523.3</v>
      </c>
      <c r="P149" s="12">
        <v>2760613.78</v>
      </c>
      <c r="Q149" s="1" t="s">
        <v>15</v>
      </c>
      <c r="R149" s="5">
        <v>0</v>
      </c>
      <c r="S149">
        <f>VLOOKUP(K149,'MIS COMPROBANTES'!E:Q,13,FALSE)</f>
        <v>2760613.78</v>
      </c>
    </row>
    <row r="150" spans="1:19" x14ac:dyDescent="0.25">
      <c r="A150" s="3">
        <v>45450</v>
      </c>
      <c r="B150" s="1" t="s">
        <v>223</v>
      </c>
      <c r="C150" s="1" t="s">
        <v>224</v>
      </c>
      <c r="D150" s="1" t="s">
        <v>18</v>
      </c>
      <c r="E150" s="1" t="s">
        <v>638</v>
      </c>
      <c r="F150" s="4">
        <v>12377</v>
      </c>
      <c r="G150" s="1" t="s">
        <v>19</v>
      </c>
      <c r="H150" s="1" t="s">
        <v>225</v>
      </c>
      <c r="I150" s="6">
        <v>12</v>
      </c>
      <c r="J150" s="6">
        <v>80291</v>
      </c>
      <c r="K150" s="1" t="str">
        <f t="shared" si="2"/>
        <v>306976466271280291</v>
      </c>
      <c r="L150" s="5">
        <v>3</v>
      </c>
      <c r="M150" s="12">
        <v>0</v>
      </c>
      <c r="N150" s="12">
        <v>0</v>
      </c>
      <c r="O150" s="12">
        <v>66789.039999999994</v>
      </c>
      <c r="P150" s="12">
        <v>0</v>
      </c>
      <c r="Q150" s="1" t="s">
        <v>15</v>
      </c>
      <c r="R150" s="5">
        <v>0</v>
      </c>
      <c r="S150">
        <f>VLOOKUP(K150,'MIS COMPROBANTES'!E:Q,13,FALSE)</f>
        <v>2760613.78</v>
      </c>
    </row>
    <row r="151" spans="1:19" x14ac:dyDescent="0.25">
      <c r="A151" s="3">
        <v>45450</v>
      </c>
      <c r="B151" s="1" t="s">
        <v>226</v>
      </c>
      <c r="C151" s="1" t="s">
        <v>227</v>
      </c>
      <c r="D151" s="1" t="s">
        <v>18</v>
      </c>
      <c r="E151" s="1" t="s">
        <v>639</v>
      </c>
      <c r="F151" s="4">
        <v>12756</v>
      </c>
      <c r="G151" s="1" t="s">
        <v>19</v>
      </c>
      <c r="H151" s="1" t="s">
        <v>228</v>
      </c>
      <c r="I151" s="6">
        <v>18</v>
      </c>
      <c r="J151" s="6">
        <v>5757</v>
      </c>
      <c r="K151" s="1" t="str">
        <f t="shared" si="2"/>
        <v>30624419193185757</v>
      </c>
      <c r="L151" s="5">
        <v>21</v>
      </c>
      <c r="M151" s="12">
        <v>0</v>
      </c>
      <c r="N151" s="12">
        <v>7815600</v>
      </c>
      <c r="O151" s="12">
        <v>1641276</v>
      </c>
      <c r="P151" s="12">
        <v>9847656</v>
      </c>
      <c r="Q151" s="1" t="s">
        <v>15</v>
      </c>
      <c r="R151" s="5">
        <v>156312</v>
      </c>
      <c r="S151">
        <f>VLOOKUP(K151,'MIS COMPROBANTES'!E:Q,13,FALSE)</f>
        <v>9847656</v>
      </c>
    </row>
    <row r="152" spans="1:19" x14ac:dyDescent="0.25">
      <c r="A152" s="3">
        <v>45450</v>
      </c>
      <c r="B152" s="1" t="s">
        <v>226</v>
      </c>
      <c r="C152" s="1" t="s">
        <v>227</v>
      </c>
      <c r="D152" s="1" t="s">
        <v>18</v>
      </c>
      <c r="E152" s="1" t="s">
        <v>639</v>
      </c>
      <c r="F152" s="4">
        <v>12756</v>
      </c>
      <c r="G152" s="1" t="s">
        <v>19</v>
      </c>
      <c r="H152" s="1" t="s">
        <v>228</v>
      </c>
      <c r="I152" s="6">
        <v>18</v>
      </c>
      <c r="J152" s="6">
        <v>5757</v>
      </c>
      <c r="K152" s="1" t="str">
        <f t="shared" si="2"/>
        <v>30624419193185757</v>
      </c>
      <c r="L152" s="5">
        <v>3</v>
      </c>
      <c r="M152" s="12">
        <v>0</v>
      </c>
      <c r="N152" s="12">
        <v>0</v>
      </c>
      <c r="O152" s="12">
        <v>234468</v>
      </c>
      <c r="P152" s="12">
        <v>0</v>
      </c>
      <c r="Q152" s="1" t="s">
        <v>15</v>
      </c>
      <c r="R152" s="5">
        <v>0</v>
      </c>
      <c r="S152">
        <f>VLOOKUP(K152,'MIS COMPROBANTES'!E:Q,13,FALSE)</f>
        <v>9847656</v>
      </c>
    </row>
    <row r="153" spans="1:19" x14ac:dyDescent="0.25">
      <c r="A153" s="3">
        <v>45450</v>
      </c>
      <c r="B153" s="1" t="s">
        <v>229</v>
      </c>
      <c r="C153" s="1" t="s">
        <v>230</v>
      </c>
      <c r="D153" s="1" t="s">
        <v>18</v>
      </c>
      <c r="E153" s="1" t="s">
        <v>640</v>
      </c>
      <c r="F153" s="4">
        <v>12420</v>
      </c>
      <c r="G153" s="1" t="s">
        <v>19</v>
      </c>
      <c r="H153" s="1" t="s">
        <v>231</v>
      </c>
      <c r="I153" s="6">
        <v>46</v>
      </c>
      <c r="J153" s="6">
        <v>402514</v>
      </c>
      <c r="K153" s="1" t="str">
        <f t="shared" si="2"/>
        <v>3053214979346402514</v>
      </c>
      <c r="L153" s="5">
        <v>21</v>
      </c>
      <c r="M153" s="12">
        <v>0</v>
      </c>
      <c r="N153" s="12">
        <v>2383500</v>
      </c>
      <c r="O153" s="12">
        <v>500535</v>
      </c>
      <c r="P153" s="12">
        <v>3003210</v>
      </c>
      <c r="Q153" s="1" t="s">
        <v>15</v>
      </c>
      <c r="R153" s="5">
        <v>47670</v>
      </c>
      <c r="S153">
        <f>VLOOKUP(K153,'MIS COMPROBANTES'!E:Q,13,FALSE)</f>
        <v>3003210</v>
      </c>
    </row>
    <row r="154" spans="1:19" x14ac:dyDescent="0.25">
      <c r="A154" s="3">
        <v>45450</v>
      </c>
      <c r="B154" s="1" t="s">
        <v>229</v>
      </c>
      <c r="C154" s="1" t="s">
        <v>230</v>
      </c>
      <c r="D154" s="1" t="s">
        <v>18</v>
      </c>
      <c r="E154" s="1" t="s">
        <v>640</v>
      </c>
      <c r="F154" s="4">
        <v>12420</v>
      </c>
      <c r="G154" s="1" t="s">
        <v>19</v>
      </c>
      <c r="H154" s="1" t="s">
        <v>231</v>
      </c>
      <c r="I154" s="6">
        <v>46</v>
      </c>
      <c r="J154" s="6">
        <v>402514</v>
      </c>
      <c r="K154" s="1" t="str">
        <f t="shared" si="2"/>
        <v>3053214979346402514</v>
      </c>
      <c r="L154" s="5">
        <v>3</v>
      </c>
      <c r="M154" s="12">
        <v>0</v>
      </c>
      <c r="N154" s="12">
        <v>0</v>
      </c>
      <c r="O154" s="12">
        <v>71505</v>
      </c>
      <c r="P154" s="12">
        <v>0</v>
      </c>
      <c r="Q154" s="1" t="s">
        <v>15</v>
      </c>
      <c r="R154" s="5">
        <v>0</v>
      </c>
      <c r="S154">
        <f>VLOOKUP(K154,'MIS COMPROBANTES'!E:Q,13,FALSE)</f>
        <v>3003210</v>
      </c>
    </row>
    <row r="155" spans="1:19" x14ac:dyDescent="0.25">
      <c r="A155" s="3">
        <v>45450</v>
      </c>
      <c r="B155" s="1" t="s">
        <v>97</v>
      </c>
      <c r="C155" s="1" t="s">
        <v>98</v>
      </c>
      <c r="D155" s="1" t="s">
        <v>18</v>
      </c>
      <c r="E155" s="1" t="s">
        <v>607</v>
      </c>
      <c r="F155" s="4">
        <v>12470</v>
      </c>
      <c r="G155" s="1" t="s">
        <v>19</v>
      </c>
      <c r="H155" s="1" t="s">
        <v>232</v>
      </c>
      <c r="I155" s="6">
        <v>2002</v>
      </c>
      <c r="J155" s="6">
        <v>290321</v>
      </c>
      <c r="K155" s="1" t="str">
        <f t="shared" si="2"/>
        <v>305007682622002290321</v>
      </c>
      <c r="L155" s="5">
        <v>21</v>
      </c>
      <c r="M155" s="12">
        <v>0</v>
      </c>
      <c r="N155" s="12">
        <v>3691129.36</v>
      </c>
      <c r="O155" s="12">
        <v>775137.17</v>
      </c>
      <c r="P155" s="12">
        <v>4743101.2300000004</v>
      </c>
      <c r="Q155" s="1" t="s">
        <v>15</v>
      </c>
      <c r="R155" s="5">
        <v>166100.81</v>
      </c>
      <c r="S155">
        <f>VLOOKUP(K155,'MIS COMPROBANTES'!E:Q,13,FALSE)</f>
        <v>4743101.2300000004</v>
      </c>
    </row>
    <row r="156" spans="1:19" x14ac:dyDescent="0.25">
      <c r="A156" s="3">
        <v>45450</v>
      </c>
      <c r="B156" s="1" t="s">
        <v>97</v>
      </c>
      <c r="C156" s="1" t="s">
        <v>98</v>
      </c>
      <c r="D156" s="1" t="s">
        <v>18</v>
      </c>
      <c r="E156" s="1" t="s">
        <v>607</v>
      </c>
      <c r="F156" s="4">
        <v>12470</v>
      </c>
      <c r="G156" s="1" t="s">
        <v>19</v>
      </c>
      <c r="H156" s="1" t="s">
        <v>232</v>
      </c>
      <c r="I156" s="6">
        <v>2002</v>
      </c>
      <c r="J156" s="6">
        <v>290321</v>
      </c>
      <c r="K156" s="1" t="str">
        <f t="shared" si="2"/>
        <v>305007682622002290321</v>
      </c>
      <c r="L156" s="5">
        <v>3</v>
      </c>
      <c r="M156" s="12">
        <v>0</v>
      </c>
      <c r="N156" s="12">
        <v>0</v>
      </c>
      <c r="O156" s="12">
        <v>110733.89</v>
      </c>
      <c r="P156" s="12">
        <v>0</v>
      </c>
      <c r="Q156" s="1" t="s">
        <v>15</v>
      </c>
      <c r="R156" s="5">
        <v>0</v>
      </c>
      <c r="S156">
        <f>VLOOKUP(K156,'MIS COMPROBANTES'!E:Q,13,FALSE)</f>
        <v>4743101.2300000004</v>
      </c>
    </row>
    <row r="157" spans="1:19" x14ac:dyDescent="0.25">
      <c r="A157" s="3">
        <v>45450</v>
      </c>
      <c r="B157" s="1" t="s">
        <v>233</v>
      </c>
      <c r="C157" s="1" t="s">
        <v>234</v>
      </c>
      <c r="D157" s="1" t="s">
        <v>18</v>
      </c>
      <c r="E157" s="1" t="s">
        <v>641</v>
      </c>
      <c r="F157" s="4">
        <v>12454</v>
      </c>
      <c r="G157" s="1" t="s">
        <v>19</v>
      </c>
      <c r="H157" s="1" t="s">
        <v>235</v>
      </c>
      <c r="I157" s="6">
        <v>3950</v>
      </c>
      <c r="J157" s="6">
        <v>1900905</v>
      </c>
      <c r="K157" s="1" t="str">
        <f t="shared" si="2"/>
        <v>3063945373839501900905</v>
      </c>
      <c r="L157" s="5">
        <v>21</v>
      </c>
      <c r="M157" s="12">
        <v>0</v>
      </c>
      <c r="N157" s="12">
        <v>60975.01</v>
      </c>
      <c r="O157" s="12">
        <v>12804.75</v>
      </c>
      <c r="P157" s="12">
        <v>76828.509999999995</v>
      </c>
      <c r="Q157" s="1" t="s">
        <v>15</v>
      </c>
      <c r="R157" s="5">
        <v>1219.5</v>
      </c>
      <c r="S157">
        <f>VLOOKUP(K157,'MIS COMPROBANTES'!E:Q,13,FALSE)</f>
        <v>76828.509999999995</v>
      </c>
    </row>
    <row r="158" spans="1:19" x14ac:dyDescent="0.25">
      <c r="A158" s="3">
        <v>45450</v>
      </c>
      <c r="B158" s="1" t="s">
        <v>233</v>
      </c>
      <c r="C158" s="1" t="s">
        <v>234</v>
      </c>
      <c r="D158" s="1" t="s">
        <v>18</v>
      </c>
      <c r="E158" s="1" t="s">
        <v>641</v>
      </c>
      <c r="F158" s="4">
        <v>12454</v>
      </c>
      <c r="G158" s="1" t="s">
        <v>19</v>
      </c>
      <c r="H158" s="1" t="s">
        <v>235</v>
      </c>
      <c r="I158" s="6">
        <v>3950</v>
      </c>
      <c r="J158" s="6">
        <v>1900905</v>
      </c>
      <c r="K158" s="1" t="str">
        <f t="shared" si="2"/>
        <v>3063945373839501900905</v>
      </c>
      <c r="L158" s="5">
        <v>3</v>
      </c>
      <c r="M158" s="12">
        <v>0</v>
      </c>
      <c r="N158" s="12">
        <v>0</v>
      </c>
      <c r="O158" s="12">
        <v>1829.25</v>
      </c>
      <c r="P158" s="12">
        <v>0</v>
      </c>
      <c r="Q158" s="1" t="s">
        <v>15</v>
      </c>
      <c r="R158" s="5">
        <v>0</v>
      </c>
      <c r="S158">
        <f>VLOOKUP(K158,'MIS COMPROBANTES'!E:Q,13,FALSE)</f>
        <v>76828.509999999995</v>
      </c>
    </row>
    <row r="159" spans="1:19" x14ac:dyDescent="0.25">
      <c r="A159" s="3">
        <v>45450</v>
      </c>
      <c r="B159" s="1" t="s">
        <v>148</v>
      </c>
      <c r="C159" s="1" t="s">
        <v>149</v>
      </c>
      <c r="D159" s="1" t="s">
        <v>18</v>
      </c>
      <c r="E159" s="1" t="s">
        <v>620</v>
      </c>
      <c r="F159" s="4">
        <v>12704</v>
      </c>
      <c r="G159" s="1" t="s">
        <v>31</v>
      </c>
      <c r="H159" s="1" t="s">
        <v>236</v>
      </c>
      <c r="I159" s="6">
        <v>63</v>
      </c>
      <c r="J159" s="6">
        <v>22060</v>
      </c>
      <c r="K159" s="1" t="str">
        <f t="shared" si="2"/>
        <v>305038616386322060</v>
      </c>
      <c r="L159" s="5">
        <v>21</v>
      </c>
      <c r="M159" s="12">
        <v>0</v>
      </c>
      <c r="N159" s="12">
        <v>-29840.55</v>
      </c>
      <c r="O159" s="12">
        <v>-6266.52</v>
      </c>
      <c r="P159" s="12">
        <v>-37599.1</v>
      </c>
      <c r="Q159" s="1" t="s">
        <v>15</v>
      </c>
      <c r="R159" s="5">
        <v>-596.80999999999995</v>
      </c>
      <c r="S159">
        <f>VLOOKUP(K159,'MIS COMPROBANTES'!E:Q,13,FALSE)</f>
        <v>37599.089999999997</v>
      </c>
    </row>
    <row r="160" spans="1:19" x14ac:dyDescent="0.25">
      <c r="A160" s="3">
        <v>45450</v>
      </c>
      <c r="B160" s="1" t="s">
        <v>148</v>
      </c>
      <c r="C160" s="1" t="s">
        <v>149</v>
      </c>
      <c r="D160" s="1" t="s">
        <v>18</v>
      </c>
      <c r="E160" s="1" t="s">
        <v>620</v>
      </c>
      <c r="F160" s="4">
        <v>12704</v>
      </c>
      <c r="G160" s="1" t="s">
        <v>31</v>
      </c>
      <c r="H160" s="1" t="s">
        <v>236</v>
      </c>
      <c r="I160" s="6">
        <v>63</v>
      </c>
      <c r="J160" s="6">
        <v>22060</v>
      </c>
      <c r="K160" s="1" t="str">
        <f t="shared" si="2"/>
        <v>305038616386322060</v>
      </c>
      <c r="L160" s="5">
        <v>3</v>
      </c>
      <c r="M160" s="12">
        <v>0</v>
      </c>
      <c r="N160" s="12">
        <v>0</v>
      </c>
      <c r="O160" s="12">
        <v>-895.22</v>
      </c>
      <c r="P160" s="12">
        <v>0</v>
      </c>
      <c r="Q160" s="1" t="s">
        <v>15</v>
      </c>
      <c r="R160" s="5">
        <v>0</v>
      </c>
      <c r="S160">
        <f>VLOOKUP(K160,'MIS COMPROBANTES'!E:Q,13,FALSE)</f>
        <v>37599.089999999997</v>
      </c>
    </row>
    <row r="161" spans="1:19" x14ac:dyDescent="0.25">
      <c r="A161" s="3">
        <v>45450</v>
      </c>
      <c r="B161" s="1" t="s">
        <v>129</v>
      </c>
      <c r="C161" s="1" t="s">
        <v>130</v>
      </c>
      <c r="D161" s="1" t="s">
        <v>18</v>
      </c>
      <c r="E161" s="1" t="s">
        <v>615</v>
      </c>
      <c r="F161" s="4">
        <v>12425</v>
      </c>
      <c r="G161" s="1" t="s">
        <v>31</v>
      </c>
      <c r="H161" s="1" t="s">
        <v>237</v>
      </c>
      <c r="I161" s="6">
        <v>6004</v>
      </c>
      <c r="J161" s="6">
        <v>1769457</v>
      </c>
      <c r="K161" s="1" t="str">
        <f t="shared" si="2"/>
        <v>3050111624260041769457</v>
      </c>
      <c r="L161" s="5">
        <v>21</v>
      </c>
      <c r="M161" s="12">
        <v>0</v>
      </c>
      <c r="N161" s="12">
        <v>-1844.76</v>
      </c>
      <c r="O161" s="12">
        <v>-387.4</v>
      </c>
      <c r="P161" s="12">
        <v>-2232.16</v>
      </c>
      <c r="Q161" s="1" t="s">
        <v>15</v>
      </c>
      <c r="R161" s="5">
        <v>0</v>
      </c>
      <c r="S161">
        <f>VLOOKUP(K161,'MIS COMPROBANTES'!E:Q,13,FALSE)</f>
        <v>2232.16</v>
      </c>
    </row>
    <row r="162" spans="1:19" x14ac:dyDescent="0.25">
      <c r="A162" s="3">
        <v>45450</v>
      </c>
      <c r="B162" s="1" t="s">
        <v>53</v>
      </c>
      <c r="C162" s="1" t="s">
        <v>54</v>
      </c>
      <c r="D162" s="1" t="s">
        <v>18</v>
      </c>
      <c r="E162" s="1" t="s">
        <v>594</v>
      </c>
      <c r="F162" s="4">
        <v>12426</v>
      </c>
      <c r="G162" s="1" t="s">
        <v>31</v>
      </c>
      <c r="H162" s="1" t="s">
        <v>238</v>
      </c>
      <c r="I162" s="6">
        <v>6156</v>
      </c>
      <c r="J162" s="6">
        <v>2565677</v>
      </c>
      <c r="K162" s="1" t="str">
        <f t="shared" si="2"/>
        <v>3054724233161562565677</v>
      </c>
      <c r="L162" s="5">
        <v>21</v>
      </c>
      <c r="M162" s="12">
        <v>0</v>
      </c>
      <c r="N162" s="12">
        <v>-428073.36</v>
      </c>
      <c r="O162" s="12">
        <v>-89895.41</v>
      </c>
      <c r="P162" s="12">
        <v>-530810.97</v>
      </c>
      <c r="Q162" s="1" t="s">
        <v>15</v>
      </c>
      <c r="R162" s="5">
        <v>0</v>
      </c>
      <c r="S162">
        <f>VLOOKUP(K162,'MIS COMPROBANTES'!E:Q,13,FALSE)</f>
        <v>530810.97</v>
      </c>
    </row>
    <row r="163" spans="1:19" x14ac:dyDescent="0.25">
      <c r="A163" s="3">
        <v>45450</v>
      </c>
      <c r="B163" s="1" t="s">
        <v>53</v>
      </c>
      <c r="C163" s="1" t="s">
        <v>54</v>
      </c>
      <c r="D163" s="1" t="s">
        <v>18</v>
      </c>
      <c r="E163" s="1" t="s">
        <v>594</v>
      </c>
      <c r="F163" s="4">
        <v>12426</v>
      </c>
      <c r="G163" s="1" t="s">
        <v>31</v>
      </c>
      <c r="H163" s="1" t="s">
        <v>238</v>
      </c>
      <c r="I163" s="6">
        <v>6156</v>
      </c>
      <c r="J163" s="6">
        <v>2565677</v>
      </c>
      <c r="K163" s="1" t="str">
        <f t="shared" si="2"/>
        <v>3054724233161562565677</v>
      </c>
      <c r="L163" s="5">
        <v>3</v>
      </c>
      <c r="M163" s="12">
        <v>0</v>
      </c>
      <c r="N163" s="12">
        <v>0</v>
      </c>
      <c r="O163" s="12">
        <v>-12842.2</v>
      </c>
      <c r="P163" s="12">
        <v>0</v>
      </c>
      <c r="Q163" s="1" t="s">
        <v>15</v>
      </c>
      <c r="R163" s="5">
        <v>0</v>
      </c>
      <c r="S163">
        <f>VLOOKUP(K163,'MIS COMPROBANTES'!E:Q,13,FALSE)</f>
        <v>530810.97</v>
      </c>
    </row>
    <row r="164" spans="1:19" x14ac:dyDescent="0.25">
      <c r="A164" s="3">
        <v>45451</v>
      </c>
      <c r="B164" s="1" t="s">
        <v>29</v>
      </c>
      <c r="C164" s="1" t="s">
        <v>30</v>
      </c>
      <c r="D164" s="1" t="s">
        <v>18</v>
      </c>
      <c r="E164" s="1" t="s">
        <v>587</v>
      </c>
      <c r="F164" s="4">
        <v>12514</v>
      </c>
      <c r="G164" s="1" t="s">
        <v>19</v>
      </c>
      <c r="H164" s="1" t="s">
        <v>239</v>
      </c>
      <c r="I164" s="6">
        <v>161</v>
      </c>
      <c r="J164" s="6">
        <v>199622</v>
      </c>
      <c r="K164" s="1" t="str">
        <f t="shared" si="2"/>
        <v>30566108352161199622</v>
      </c>
      <c r="L164" s="5">
        <v>21</v>
      </c>
      <c r="M164" s="12">
        <v>0</v>
      </c>
      <c r="N164" s="12">
        <v>4451736.7</v>
      </c>
      <c r="O164" s="12">
        <v>934864.71</v>
      </c>
      <c r="P164" s="12">
        <v>5586929.5599999996</v>
      </c>
      <c r="Q164" s="1" t="s">
        <v>15</v>
      </c>
      <c r="R164" s="5">
        <v>200328.15</v>
      </c>
      <c r="S164">
        <f>VLOOKUP(K164,'MIS COMPROBANTES'!E:Q,13,FALSE)</f>
        <v>5586929.5599999996</v>
      </c>
    </row>
    <row r="165" spans="1:19" x14ac:dyDescent="0.25">
      <c r="A165" s="3">
        <v>45451</v>
      </c>
      <c r="B165" s="1" t="s">
        <v>240</v>
      </c>
      <c r="C165" s="1" t="s">
        <v>241</v>
      </c>
      <c r="D165" s="1" t="s">
        <v>18</v>
      </c>
      <c r="E165" s="1" t="s">
        <v>642</v>
      </c>
      <c r="F165" s="4">
        <v>12707</v>
      </c>
      <c r="G165" s="1" t="s">
        <v>19</v>
      </c>
      <c r="H165" s="1" t="s">
        <v>242</v>
      </c>
      <c r="I165" s="6">
        <v>15895</v>
      </c>
      <c r="J165" s="6">
        <v>814</v>
      </c>
      <c r="K165" s="1" t="str">
        <f t="shared" si="2"/>
        <v>3068731043415895814</v>
      </c>
      <c r="L165" s="5">
        <v>21</v>
      </c>
      <c r="M165" s="12">
        <v>365.47</v>
      </c>
      <c r="N165" s="12">
        <v>166326.74</v>
      </c>
      <c r="O165" s="12">
        <v>32455.56</v>
      </c>
      <c r="P165" s="12">
        <v>212698.61</v>
      </c>
      <c r="Q165" s="1" t="s">
        <v>15</v>
      </c>
      <c r="R165" s="5">
        <v>7501.15</v>
      </c>
      <c r="S165">
        <f>VLOOKUP(K165,'MIS COMPROBANTES'!E:Q,13,FALSE)</f>
        <v>212698.61</v>
      </c>
    </row>
    <row r="166" spans="1:19" x14ac:dyDescent="0.25">
      <c r="A166" s="3">
        <v>45451</v>
      </c>
      <c r="B166" s="1" t="s">
        <v>240</v>
      </c>
      <c r="C166" s="1" t="s">
        <v>241</v>
      </c>
      <c r="D166" s="1" t="s">
        <v>18</v>
      </c>
      <c r="E166" s="1" t="s">
        <v>642</v>
      </c>
      <c r="F166" s="4">
        <v>12707</v>
      </c>
      <c r="G166" s="1" t="s">
        <v>19</v>
      </c>
      <c r="H166" s="1" t="s">
        <v>242</v>
      </c>
      <c r="I166" s="6">
        <v>15895</v>
      </c>
      <c r="J166" s="6">
        <v>814</v>
      </c>
      <c r="K166" s="1" t="str">
        <f t="shared" si="2"/>
        <v>3068731043415895814</v>
      </c>
      <c r="L166" s="5">
        <v>10.5</v>
      </c>
      <c r="M166" s="12">
        <v>0</v>
      </c>
      <c r="N166" s="12">
        <v>0</v>
      </c>
      <c r="O166" s="12">
        <v>1236.53</v>
      </c>
      <c r="P166" s="12">
        <v>0</v>
      </c>
      <c r="Q166" s="1" t="s">
        <v>15</v>
      </c>
      <c r="R166" s="5">
        <v>0</v>
      </c>
      <c r="S166">
        <f>VLOOKUP(K166,'MIS COMPROBANTES'!E:Q,13,FALSE)</f>
        <v>212698.61</v>
      </c>
    </row>
    <row r="167" spans="1:19" x14ac:dyDescent="0.25">
      <c r="A167" s="3">
        <v>45451</v>
      </c>
      <c r="B167" s="1" t="s">
        <v>240</v>
      </c>
      <c r="C167" s="1" t="s">
        <v>241</v>
      </c>
      <c r="D167" s="1" t="s">
        <v>18</v>
      </c>
      <c r="E167" s="1" t="s">
        <v>642</v>
      </c>
      <c r="F167" s="4">
        <v>12707</v>
      </c>
      <c r="G167" s="1" t="s">
        <v>19</v>
      </c>
      <c r="H167" s="1" t="s">
        <v>242</v>
      </c>
      <c r="I167" s="6">
        <v>15895</v>
      </c>
      <c r="J167" s="6">
        <v>814</v>
      </c>
      <c r="K167" s="1" t="str">
        <f t="shared" si="2"/>
        <v>3068731043415895814</v>
      </c>
      <c r="L167" s="5">
        <v>3</v>
      </c>
      <c r="M167" s="12">
        <v>0</v>
      </c>
      <c r="N167" s="12">
        <v>0</v>
      </c>
      <c r="O167" s="12">
        <v>4813.16</v>
      </c>
      <c r="P167" s="12">
        <v>0</v>
      </c>
      <c r="Q167" s="1" t="s">
        <v>15</v>
      </c>
      <c r="R167" s="5">
        <v>0</v>
      </c>
      <c r="S167">
        <f>VLOOKUP(K167,'MIS COMPROBANTES'!E:Q,13,FALSE)</f>
        <v>212698.61</v>
      </c>
    </row>
    <row r="168" spans="1:19" x14ac:dyDescent="0.25">
      <c r="A168" s="3">
        <v>45453</v>
      </c>
      <c r="B168" s="1" t="s">
        <v>16</v>
      </c>
      <c r="C168" s="1" t="s">
        <v>17</v>
      </c>
      <c r="D168" s="1" t="s">
        <v>18</v>
      </c>
      <c r="E168" s="1" t="s">
        <v>584</v>
      </c>
      <c r="F168" s="4">
        <v>12368</v>
      </c>
      <c r="G168" s="1" t="s">
        <v>19</v>
      </c>
      <c r="H168" s="1" t="s">
        <v>243</v>
      </c>
      <c r="I168" s="6">
        <v>2024</v>
      </c>
      <c r="J168" s="6">
        <v>90002801</v>
      </c>
      <c r="K168" s="1" t="str">
        <f t="shared" si="2"/>
        <v>30500008454202490002801</v>
      </c>
      <c r="L168" s="5">
        <v>10.5</v>
      </c>
      <c r="M168" s="12">
        <v>17350.47</v>
      </c>
      <c r="N168" s="12">
        <v>383156.21</v>
      </c>
      <c r="O168" s="12">
        <v>40231.4</v>
      </c>
      <c r="P168" s="12">
        <v>454148.55</v>
      </c>
      <c r="Q168" s="1" t="s">
        <v>15</v>
      </c>
      <c r="R168" s="5">
        <v>7663.13</v>
      </c>
      <c r="S168" t="e">
        <f>VLOOKUP(K168,'MIS COMPROBANTES'!E:Q,13,FALSE)</f>
        <v>#N/A</v>
      </c>
    </row>
    <row r="169" spans="1:19" x14ac:dyDescent="0.25">
      <c r="A169" s="3">
        <v>45453</v>
      </c>
      <c r="B169" s="1" t="s">
        <v>16</v>
      </c>
      <c r="C169" s="1" t="s">
        <v>17</v>
      </c>
      <c r="D169" s="1" t="s">
        <v>18</v>
      </c>
      <c r="E169" s="1" t="s">
        <v>584</v>
      </c>
      <c r="F169" s="4">
        <v>12368</v>
      </c>
      <c r="G169" s="1" t="s">
        <v>19</v>
      </c>
      <c r="H169" s="1" t="s">
        <v>243</v>
      </c>
      <c r="I169" s="6">
        <v>2024</v>
      </c>
      <c r="J169" s="6">
        <v>90002801</v>
      </c>
      <c r="K169" s="1" t="str">
        <f t="shared" si="2"/>
        <v>30500008454202490002801</v>
      </c>
      <c r="L169" s="5">
        <v>1.5</v>
      </c>
      <c r="M169" s="12">
        <v>0</v>
      </c>
      <c r="N169" s="12">
        <v>0</v>
      </c>
      <c r="O169" s="12">
        <v>5747.34</v>
      </c>
      <c r="P169" s="12">
        <v>0</v>
      </c>
      <c r="Q169" s="1" t="s">
        <v>15</v>
      </c>
      <c r="R169" s="5">
        <v>0</v>
      </c>
      <c r="S169" t="e">
        <f>VLOOKUP(K169,'MIS COMPROBANTES'!E:Q,13,FALSE)</f>
        <v>#N/A</v>
      </c>
    </row>
    <row r="170" spans="1:19" x14ac:dyDescent="0.25">
      <c r="A170" s="3">
        <v>45453</v>
      </c>
      <c r="B170" s="1" t="s">
        <v>244</v>
      </c>
      <c r="C170" s="1" t="s">
        <v>245</v>
      </c>
      <c r="D170" s="1" t="s">
        <v>18</v>
      </c>
      <c r="E170" s="1" t="s">
        <v>643</v>
      </c>
      <c r="F170" s="4">
        <v>12413</v>
      </c>
      <c r="G170" s="1" t="s">
        <v>19</v>
      </c>
      <c r="H170" s="1" t="s">
        <v>246</v>
      </c>
      <c r="I170" s="6">
        <v>1</v>
      </c>
      <c r="J170" s="6">
        <v>820</v>
      </c>
      <c r="K170" s="1" t="str">
        <f t="shared" si="2"/>
        <v>307150480661820</v>
      </c>
      <c r="L170" s="5">
        <v>21</v>
      </c>
      <c r="M170" s="12">
        <v>0</v>
      </c>
      <c r="N170" s="12">
        <v>1680000</v>
      </c>
      <c r="O170" s="12">
        <v>352800</v>
      </c>
      <c r="P170" s="12">
        <v>2032800</v>
      </c>
      <c r="Q170" s="1" t="s">
        <v>15</v>
      </c>
      <c r="R170" s="5">
        <v>0</v>
      </c>
      <c r="S170">
        <f>VLOOKUP(K170,'MIS COMPROBANTES'!E:Q,13,FALSE)</f>
        <v>2032800</v>
      </c>
    </row>
    <row r="171" spans="1:19" x14ac:dyDescent="0.25">
      <c r="A171" s="3">
        <v>45453</v>
      </c>
      <c r="B171" s="1" t="s">
        <v>247</v>
      </c>
      <c r="C171" s="1" t="s">
        <v>248</v>
      </c>
      <c r="D171" s="1" t="s">
        <v>18</v>
      </c>
      <c r="E171" s="1" t="s">
        <v>644</v>
      </c>
      <c r="F171" s="4">
        <v>12415</v>
      </c>
      <c r="G171" s="1" t="s">
        <v>19</v>
      </c>
      <c r="H171" s="1" t="s">
        <v>249</v>
      </c>
      <c r="I171" s="6">
        <v>4</v>
      </c>
      <c r="J171" s="6">
        <v>1471</v>
      </c>
      <c r="K171" s="1" t="str">
        <f t="shared" si="2"/>
        <v>2024334867741471</v>
      </c>
      <c r="L171" s="5">
        <v>21</v>
      </c>
      <c r="M171" s="12">
        <v>0</v>
      </c>
      <c r="N171" s="12">
        <v>2094500</v>
      </c>
      <c r="O171" s="12">
        <v>34545</v>
      </c>
      <c r="P171" s="12">
        <v>2331695</v>
      </c>
      <c r="Q171" s="1" t="s">
        <v>15</v>
      </c>
      <c r="R171" s="5">
        <v>0</v>
      </c>
      <c r="S171">
        <f>VLOOKUP(K171,'MIS COMPROBANTES'!E:Q,13,FALSE)</f>
        <v>2331695</v>
      </c>
    </row>
    <row r="172" spans="1:19" x14ac:dyDescent="0.25">
      <c r="A172" s="3">
        <v>45453</v>
      </c>
      <c r="B172" s="1" t="s">
        <v>247</v>
      </c>
      <c r="C172" s="1" t="s">
        <v>248</v>
      </c>
      <c r="D172" s="1" t="s">
        <v>18</v>
      </c>
      <c r="E172" s="1" t="s">
        <v>644</v>
      </c>
      <c r="F172" s="4">
        <v>12415</v>
      </c>
      <c r="G172" s="1" t="s">
        <v>19</v>
      </c>
      <c r="H172" s="1" t="s">
        <v>249</v>
      </c>
      <c r="I172" s="6">
        <v>4</v>
      </c>
      <c r="J172" s="6">
        <v>1471</v>
      </c>
      <c r="K172" s="1" t="str">
        <f t="shared" si="2"/>
        <v>2024334867741471</v>
      </c>
      <c r="L172" s="5">
        <v>10.5</v>
      </c>
      <c r="M172" s="12">
        <v>0</v>
      </c>
      <c r="N172" s="12">
        <v>0</v>
      </c>
      <c r="O172" s="12">
        <v>202650</v>
      </c>
      <c r="P172" s="12">
        <v>0</v>
      </c>
      <c r="Q172" s="1" t="s">
        <v>15</v>
      </c>
      <c r="R172" s="5">
        <v>0</v>
      </c>
      <c r="S172">
        <f>VLOOKUP(K172,'MIS COMPROBANTES'!E:Q,13,FALSE)</f>
        <v>2331695</v>
      </c>
    </row>
    <row r="173" spans="1:19" x14ac:dyDescent="0.25">
      <c r="A173" s="3">
        <v>45453</v>
      </c>
      <c r="B173" s="1" t="s">
        <v>247</v>
      </c>
      <c r="C173" s="1" t="s">
        <v>248</v>
      </c>
      <c r="D173" s="1" t="s">
        <v>18</v>
      </c>
      <c r="E173" s="1" t="s">
        <v>644</v>
      </c>
      <c r="F173" s="4">
        <v>12414</v>
      </c>
      <c r="G173" s="1" t="s">
        <v>19</v>
      </c>
      <c r="H173" s="1" t="s">
        <v>250</v>
      </c>
      <c r="I173" s="6">
        <v>4</v>
      </c>
      <c r="J173" s="6">
        <v>1472</v>
      </c>
      <c r="K173" s="1" t="str">
        <f t="shared" si="2"/>
        <v>2024334867741472</v>
      </c>
      <c r="L173" s="5">
        <v>10.5</v>
      </c>
      <c r="M173" s="12">
        <v>0</v>
      </c>
      <c r="N173" s="12">
        <v>1190000</v>
      </c>
      <c r="O173" s="12">
        <v>124950</v>
      </c>
      <c r="P173" s="12">
        <v>1314950</v>
      </c>
      <c r="Q173" s="1" t="s">
        <v>15</v>
      </c>
      <c r="R173" s="5">
        <v>0</v>
      </c>
      <c r="S173">
        <f>VLOOKUP(K173,'MIS COMPROBANTES'!E:Q,13,FALSE)</f>
        <v>1314950</v>
      </c>
    </row>
    <row r="174" spans="1:19" x14ac:dyDescent="0.25">
      <c r="A174" s="3">
        <v>45453</v>
      </c>
      <c r="B174" s="1" t="s">
        <v>247</v>
      </c>
      <c r="C174" s="1" t="s">
        <v>248</v>
      </c>
      <c r="D174" s="1" t="s">
        <v>18</v>
      </c>
      <c r="E174" s="1" t="s">
        <v>644</v>
      </c>
      <c r="F174" s="4">
        <v>12416</v>
      </c>
      <c r="G174" s="1" t="s">
        <v>19</v>
      </c>
      <c r="H174" s="1" t="s">
        <v>251</v>
      </c>
      <c r="I174" s="6">
        <v>4</v>
      </c>
      <c r="J174" s="6">
        <v>1473</v>
      </c>
      <c r="K174" s="1" t="str">
        <f t="shared" si="2"/>
        <v>2024334867741473</v>
      </c>
      <c r="L174" s="5">
        <v>21</v>
      </c>
      <c r="M174" s="12">
        <v>0</v>
      </c>
      <c r="N174" s="12">
        <v>2567200</v>
      </c>
      <c r="O174" s="12">
        <v>46620</v>
      </c>
      <c r="P174" s="12">
        <v>2860066</v>
      </c>
      <c r="Q174" s="1" t="s">
        <v>15</v>
      </c>
      <c r="R174" s="5">
        <v>0</v>
      </c>
      <c r="S174">
        <f>VLOOKUP(K174,'MIS COMPROBANTES'!E:Q,13,FALSE)</f>
        <v>2860066</v>
      </c>
    </row>
    <row r="175" spans="1:19" x14ac:dyDescent="0.25">
      <c r="A175" s="3">
        <v>45453</v>
      </c>
      <c r="B175" s="1" t="s">
        <v>247</v>
      </c>
      <c r="C175" s="1" t="s">
        <v>248</v>
      </c>
      <c r="D175" s="1" t="s">
        <v>18</v>
      </c>
      <c r="E175" s="1" t="s">
        <v>644</v>
      </c>
      <c r="F175" s="4">
        <v>12416</v>
      </c>
      <c r="G175" s="1" t="s">
        <v>19</v>
      </c>
      <c r="H175" s="1" t="s">
        <v>251</v>
      </c>
      <c r="I175" s="6">
        <v>4</v>
      </c>
      <c r="J175" s="6">
        <v>1473</v>
      </c>
      <c r="K175" s="1" t="str">
        <f t="shared" si="2"/>
        <v>2024334867741473</v>
      </c>
      <c r="L175" s="5">
        <v>10.5</v>
      </c>
      <c r="M175" s="12">
        <v>0</v>
      </c>
      <c r="N175" s="12">
        <v>0</v>
      </c>
      <c r="O175" s="12">
        <v>246246</v>
      </c>
      <c r="P175" s="12">
        <v>0</v>
      </c>
      <c r="Q175" s="1" t="s">
        <v>15</v>
      </c>
      <c r="R175" s="5">
        <v>0</v>
      </c>
      <c r="S175">
        <f>VLOOKUP(K175,'MIS COMPROBANTES'!E:Q,13,FALSE)</f>
        <v>2860066</v>
      </c>
    </row>
    <row r="176" spans="1:19" x14ac:dyDescent="0.25">
      <c r="A176" s="3">
        <v>45453</v>
      </c>
      <c r="B176" s="1" t="s">
        <v>252</v>
      </c>
      <c r="C176" s="1" t="s">
        <v>253</v>
      </c>
      <c r="D176" s="1" t="s">
        <v>18</v>
      </c>
      <c r="E176" s="1" t="s">
        <v>645</v>
      </c>
      <c r="F176" s="4">
        <v>12751</v>
      </c>
      <c r="G176" s="1" t="s">
        <v>19</v>
      </c>
      <c r="H176" s="1" t="s">
        <v>254</v>
      </c>
      <c r="I176" s="6">
        <v>10</v>
      </c>
      <c r="J176" s="6">
        <v>13726</v>
      </c>
      <c r="K176" s="1" t="str">
        <f t="shared" si="2"/>
        <v>305180258791013726</v>
      </c>
      <c r="L176" s="5">
        <v>21</v>
      </c>
      <c r="M176" s="12">
        <v>0</v>
      </c>
      <c r="N176" s="12">
        <v>2176347.6</v>
      </c>
      <c r="O176" s="12">
        <v>457033</v>
      </c>
      <c r="P176" s="12">
        <v>2633380.6</v>
      </c>
      <c r="Q176" s="1" t="s">
        <v>15</v>
      </c>
      <c r="R176" s="5">
        <v>0</v>
      </c>
      <c r="S176">
        <f>VLOOKUP(K176,'MIS COMPROBANTES'!E:Q,13,FALSE)</f>
        <v>2633380.6</v>
      </c>
    </row>
    <row r="177" spans="1:19" x14ac:dyDescent="0.25">
      <c r="A177" s="3">
        <v>45453</v>
      </c>
      <c r="B177" s="1" t="s">
        <v>255</v>
      </c>
      <c r="C177" s="1" t="s">
        <v>256</v>
      </c>
      <c r="D177" s="1" t="s">
        <v>18</v>
      </c>
      <c r="E177" s="1" t="s">
        <v>646</v>
      </c>
      <c r="F177" s="4">
        <v>12417</v>
      </c>
      <c r="G177" s="1" t="s">
        <v>19</v>
      </c>
      <c r="H177" s="1" t="s">
        <v>257</v>
      </c>
      <c r="I177" s="6">
        <v>12</v>
      </c>
      <c r="J177" s="6">
        <v>53935</v>
      </c>
      <c r="K177" s="1" t="str">
        <f t="shared" si="2"/>
        <v>307089380211253935</v>
      </c>
      <c r="L177" s="5">
        <v>21</v>
      </c>
      <c r="M177" s="12">
        <v>0</v>
      </c>
      <c r="N177" s="12">
        <v>4311920</v>
      </c>
      <c r="O177" s="12">
        <v>905503.2</v>
      </c>
      <c r="P177" s="12">
        <v>5303661.5999999996</v>
      </c>
      <c r="Q177" s="1" t="s">
        <v>15</v>
      </c>
      <c r="R177" s="5">
        <v>86238.399999999994</v>
      </c>
      <c r="S177">
        <f>VLOOKUP(K177,'MIS COMPROBANTES'!E:Q,13,FALSE)</f>
        <v>5303661.5999999996</v>
      </c>
    </row>
    <row r="178" spans="1:19" x14ac:dyDescent="0.25">
      <c r="A178" s="3">
        <v>45453</v>
      </c>
      <c r="B178" s="1" t="s">
        <v>258</v>
      </c>
      <c r="C178" s="1" t="s">
        <v>259</v>
      </c>
      <c r="D178" s="1" t="s">
        <v>18</v>
      </c>
      <c r="E178" s="1" t="s">
        <v>647</v>
      </c>
      <c r="F178" s="4">
        <v>12418</v>
      </c>
      <c r="G178" s="1" t="s">
        <v>19</v>
      </c>
      <c r="H178" s="1" t="s">
        <v>260</v>
      </c>
      <c r="I178" s="6">
        <v>14</v>
      </c>
      <c r="J178" s="6">
        <v>66484</v>
      </c>
      <c r="K178" s="1" t="str">
        <f t="shared" si="2"/>
        <v>306026087901466484</v>
      </c>
      <c r="L178" s="5">
        <v>21</v>
      </c>
      <c r="M178" s="12">
        <v>0</v>
      </c>
      <c r="N178" s="12">
        <v>971173.3</v>
      </c>
      <c r="O178" s="12">
        <v>203946.39</v>
      </c>
      <c r="P178" s="12">
        <v>1223678.3500000001</v>
      </c>
      <c r="Q178" s="1" t="s">
        <v>15</v>
      </c>
      <c r="R178" s="5">
        <v>48558.66</v>
      </c>
      <c r="S178">
        <f>VLOOKUP(K178,'MIS COMPROBANTES'!E:Q,13,FALSE)</f>
        <v>1223678.3500000001</v>
      </c>
    </row>
    <row r="179" spans="1:19" x14ac:dyDescent="0.25">
      <c r="A179" s="3">
        <v>45453</v>
      </c>
      <c r="B179" s="1" t="s">
        <v>261</v>
      </c>
      <c r="C179" s="1" t="s">
        <v>262</v>
      </c>
      <c r="D179" s="1" t="s">
        <v>18</v>
      </c>
      <c r="E179" s="1" t="s">
        <v>648</v>
      </c>
      <c r="F179" s="4">
        <v>12761</v>
      </c>
      <c r="G179" s="1" t="s">
        <v>19</v>
      </c>
      <c r="H179" s="1" t="s">
        <v>263</v>
      </c>
      <c r="I179" s="6">
        <v>437</v>
      </c>
      <c r="J179" s="6">
        <v>1670551</v>
      </c>
      <c r="K179" s="1" t="str">
        <f t="shared" si="2"/>
        <v>305010926964371670551</v>
      </c>
      <c r="L179" s="5">
        <v>21</v>
      </c>
      <c r="M179" s="12">
        <v>0</v>
      </c>
      <c r="N179" s="12">
        <v>2058056.17</v>
      </c>
      <c r="O179" s="12">
        <v>432191.8</v>
      </c>
      <c r="P179" s="12">
        <v>2644602.1800000002</v>
      </c>
      <c r="Q179" s="1" t="s">
        <v>15</v>
      </c>
      <c r="R179" s="5">
        <v>92612.52</v>
      </c>
      <c r="S179">
        <f>VLOOKUP(K179,'MIS COMPROBANTES'!E:Q,13,FALSE)</f>
        <v>2644602.1800000002</v>
      </c>
    </row>
    <row r="180" spans="1:19" x14ac:dyDescent="0.25">
      <c r="A180" s="3">
        <v>45453</v>
      </c>
      <c r="B180" s="1" t="s">
        <v>261</v>
      </c>
      <c r="C180" s="1" t="s">
        <v>262</v>
      </c>
      <c r="D180" s="1" t="s">
        <v>18</v>
      </c>
      <c r="E180" s="1" t="s">
        <v>648</v>
      </c>
      <c r="F180" s="4">
        <v>12761</v>
      </c>
      <c r="G180" s="1" t="s">
        <v>19</v>
      </c>
      <c r="H180" s="1" t="s">
        <v>263</v>
      </c>
      <c r="I180" s="6">
        <v>437</v>
      </c>
      <c r="J180" s="6">
        <v>1670551</v>
      </c>
      <c r="K180" s="1" t="str">
        <f t="shared" si="2"/>
        <v>305010926964371670551</v>
      </c>
      <c r="L180" s="5">
        <v>3</v>
      </c>
      <c r="M180" s="12">
        <v>0</v>
      </c>
      <c r="N180" s="12">
        <v>0</v>
      </c>
      <c r="O180" s="12">
        <v>61741.69</v>
      </c>
      <c r="P180" s="12">
        <v>0</v>
      </c>
      <c r="Q180" s="1" t="s">
        <v>15</v>
      </c>
      <c r="R180" s="5">
        <v>0</v>
      </c>
      <c r="S180">
        <f>VLOOKUP(K180,'MIS COMPROBANTES'!E:Q,13,FALSE)</f>
        <v>2644602.1800000002</v>
      </c>
    </row>
    <row r="181" spans="1:19" x14ac:dyDescent="0.25">
      <c r="A181" s="3">
        <v>45453</v>
      </c>
      <c r="B181" s="1" t="s">
        <v>261</v>
      </c>
      <c r="C181" s="1" t="s">
        <v>262</v>
      </c>
      <c r="D181" s="1" t="s">
        <v>18</v>
      </c>
      <c r="E181" s="1" t="s">
        <v>648</v>
      </c>
      <c r="F181" s="4">
        <v>12473</v>
      </c>
      <c r="G181" s="1" t="s">
        <v>19</v>
      </c>
      <c r="H181" s="1" t="s">
        <v>264</v>
      </c>
      <c r="I181" s="6">
        <v>437</v>
      </c>
      <c r="J181" s="6">
        <v>1670552</v>
      </c>
      <c r="K181" s="1" t="str">
        <f t="shared" si="2"/>
        <v>305010926964371670552</v>
      </c>
      <c r="L181" s="5">
        <v>21</v>
      </c>
      <c r="M181" s="12">
        <v>0</v>
      </c>
      <c r="N181" s="12">
        <v>3524005.51</v>
      </c>
      <c r="O181" s="12">
        <v>740041.16</v>
      </c>
      <c r="P181" s="12">
        <v>4528347.09</v>
      </c>
      <c r="Q181" s="1" t="s">
        <v>15</v>
      </c>
      <c r="R181" s="5">
        <v>158580.25</v>
      </c>
      <c r="S181">
        <f>VLOOKUP(K181,'MIS COMPROBANTES'!E:Q,13,FALSE)</f>
        <v>4528347.09</v>
      </c>
    </row>
    <row r="182" spans="1:19" x14ac:dyDescent="0.25">
      <c r="A182" s="3">
        <v>45453</v>
      </c>
      <c r="B182" s="1" t="s">
        <v>261</v>
      </c>
      <c r="C182" s="1" t="s">
        <v>262</v>
      </c>
      <c r="D182" s="1" t="s">
        <v>18</v>
      </c>
      <c r="E182" s="1" t="s">
        <v>648</v>
      </c>
      <c r="F182" s="4">
        <v>12473</v>
      </c>
      <c r="G182" s="1" t="s">
        <v>19</v>
      </c>
      <c r="H182" s="1" t="s">
        <v>264</v>
      </c>
      <c r="I182" s="6">
        <v>437</v>
      </c>
      <c r="J182" s="6">
        <v>1670552</v>
      </c>
      <c r="K182" s="1" t="str">
        <f t="shared" si="2"/>
        <v>305010926964371670552</v>
      </c>
      <c r="L182" s="5">
        <v>3</v>
      </c>
      <c r="M182" s="12">
        <v>0</v>
      </c>
      <c r="N182" s="12">
        <v>0</v>
      </c>
      <c r="O182" s="12">
        <v>105720.17</v>
      </c>
      <c r="P182" s="12">
        <v>0</v>
      </c>
      <c r="Q182" s="1" t="s">
        <v>15</v>
      </c>
      <c r="R182" s="5">
        <v>0</v>
      </c>
      <c r="S182">
        <f>VLOOKUP(K182,'MIS COMPROBANTES'!E:Q,13,FALSE)</f>
        <v>4528347.09</v>
      </c>
    </row>
    <row r="183" spans="1:19" x14ac:dyDescent="0.25">
      <c r="A183" s="3">
        <v>45453</v>
      </c>
      <c r="B183" s="1" t="s">
        <v>261</v>
      </c>
      <c r="C183" s="1" t="s">
        <v>262</v>
      </c>
      <c r="D183" s="1" t="s">
        <v>18</v>
      </c>
      <c r="E183" s="1" t="s">
        <v>648</v>
      </c>
      <c r="F183" s="4">
        <v>12762</v>
      </c>
      <c r="G183" s="1" t="s">
        <v>19</v>
      </c>
      <c r="H183" s="1" t="s">
        <v>265</v>
      </c>
      <c r="I183" s="6">
        <v>437</v>
      </c>
      <c r="J183" s="6">
        <v>1670553</v>
      </c>
      <c r="K183" s="1" t="str">
        <f t="shared" si="2"/>
        <v>305010926964371670553</v>
      </c>
      <c r="L183" s="5">
        <v>21</v>
      </c>
      <c r="M183" s="12">
        <v>0</v>
      </c>
      <c r="N183" s="12">
        <v>9601552.2100000009</v>
      </c>
      <c r="O183" s="12">
        <v>2016325.96</v>
      </c>
      <c r="P183" s="12">
        <v>12337994.59</v>
      </c>
      <c r="Q183" s="1" t="s">
        <v>15</v>
      </c>
      <c r="R183" s="5">
        <v>432069.85</v>
      </c>
      <c r="S183">
        <f>VLOOKUP(K183,'MIS COMPROBANTES'!E:Q,13,FALSE)</f>
        <v>12337994.59</v>
      </c>
    </row>
    <row r="184" spans="1:19" x14ac:dyDescent="0.25">
      <c r="A184" s="3">
        <v>45453</v>
      </c>
      <c r="B184" s="1" t="s">
        <v>261</v>
      </c>
      <c r="C184" s="1" t="s">
        <v>262</v>
      </c>
      <c r="D184" s="1" t="s">
        <v>18</v>
      </c>
      <c r="E184" s="1" t="s">
        <v>648</v>
      </c>
      <c r="F184" s="4">
        <v>12762</v>
      </c>
      <c r="G184" s="1" t="s">
        <v>19</v>
      </c>
      <c r="H184" s="1" t="s">
        <v>265</v>
      </c>
      <c r="I184" s="6">
        <v>437</v>
      </c>
      <c r="J184" s="6">
        <v>1670553</v>
      </c>
      <c r="K184" s="1" t="str">
        <f t="shared" si="2"/>
        <v>305010926964371670553</v>
      </c>
      <c r="L184" s="5">
        <v>3</v>
      </c>
      <c r="M184" s="12">
        <v>0</v>
      </c>
      <c r="N184" s="12">
        <v>0</v>
      </c>
      <c r="O184" s="12">
        <v>288046.57</v>
      </c>
      <c r="P184" s="12">
        <v>0</v>
      </c>
      <c r="Q184" s="1" t="s">
        <v>15</v>
      </c>
      <c r="R184" s="5">
        <v>0</v>
      </c>
      <c r="S184">
        <f>VLOOKUP(K184,'MIS COMPROBANTES'!E:Q,13,FALSE)</f>
        <v>12337994.59</v>
      </c>
    </row>
    <row r="185" spans="1:19" x14ac:dyDescent="0.25">
      <c r="A185" s="3">
        <v>45453</v>
      </c>
      <c r="B185" s="1" t="s">
        <v>261</v>
      </c>
      <c r="C185" s="1" t="s">
        <v>262</v>
      </c>
      <c r="D185" s="1" t="s">
        <v>18</v>
      </c>
      <c r="E185" s="1" t="s">
        <v>648</v>
      </c>
      <c r="F185" s="4">
        <v>12763</v>
      </c>
      <c r="G185" s="1" t="s">
        <v>19</v>
      </c>
      <c r="H185" s="1" t="s">
        <v>266</v>
      </c>
      <c r="I185" s="6">
        <v>437</v>
      </c>
      <c r="J185" s="6">
        <v>1670554</v>
      </c>
      <c r="K185" s="1" t="str">
        <f t="shared" si="2"/>
        <v>305010926964371670554</v>
      </c>
      <c r="L185" s="5">
        <v>21</v>
      </c>
      <c r="M185" s="12">
        <v>0</v>
      </c>
      <c r="N185" s="12">
        <v>14955207.83</v>
      </c>
      <c r="O185" s="12">
        <v>3140593.64</v>
      </c>
      <c r="P185" s="12">
        <v>19217442.059999999</v>
      </c>
      <c r="Q185" s="1" t="s">
        <v>15</v>
      </c>
      <c r="R185" s="5">
        <v>672984.36</v>
      </c>
      <c r="S185">
        <f>VLOOKUP(K185,'MIS COMPROBANTES'!E:Q,13,FALSE)</f>
        <v>19217442.059999999</v>
      </c>
    </row>
    <row r="186" spans="1:19" x14ac:dyDescent="0.25">
      <c r="A186" s="3">
        <v>45453</v>
      </c>
      <c r="B186" s="1" t="s">
        <v>261</v>
      </c>
      <c r="C186" s="1" t="s">
        <v>262</v>
      </c>
      <c r="D186" s="1" t="s">
        <v>18</v>
      </c>
      <c r="E186" s="1" t="s">
        <v>648</v>
      </c>
      <c r="F186" s="4">
        <v>12763</v>
      </c>
      <c r="G186" s="1" t="s">
        <v>19</v>
      </c>
      <c r="H186" s="1" t="s">
        <v>266</v>
      </c>
      <c r="I186" s="6">
        <v>437</v>
      </c>
      <c r="J186" s="6">
        <v>1670554</v>
      </c>
      <c r="K186" s="1" t="str">
        <f t="shared" si="2"/>
        <v>305010926964371670554</v>
      </c>
      <c r="L186" s="5">
        <v>3</v>
      </c>
      <c r="M186" s="12">
        <v>0</v>
      </c>
      <c r="N186" s="12">
        <v>0</v>
      </c>
      <c r="O186" s="12">
        <v>448656.23</v>
      </c>
      <c r="P186" s="12">
        <v>0</v>
      </c>
      <c r="Q186" s="1" t="s">
        <v>15</v>
      </c>
      <c r="R186" s="5">
        <v>0</v>
      </c>
      <c r="S186">
        <f>VLOOKUP(K186,'MIS COMPROBANTES'!E:Q,13,FALSE)</f>
        <v>19217442.059999999</v>
      </c>
    </row>
    <row r="187" spans="1:19" x14ac:dyDescent="0.25">
      <c r="A187" s="3">
        <v>45453</v>
      </c>
      <c r="B187" s="1" t="s">
        <v>261</v>
      </c>
      <c r="C187" s="1" t="s">
        <v>262</v>
      </c>
      <c r="D187" s="1" t="s">
        <v>18</v>
      </c>
      <c r="E187" s="1" t="s">
        <v>648</v>
      </c>
      <c r="F187" s="4">
        <v>12520</v>
      </c>
      <c r="G187" s="1" t="s">
        <v>19</v>
      </c>
      <c r="H187" s="1" t="s">
        <v>267</v>
      </c>
      <c r="I187" s="6">
        <v>437</v>
      </c>
      <c r="J187" s="6">
        <v>1670555</v>
      </c>
      <c r="K187" s="1" t="str">
        <f t="shared" si="2"/>
        <v>305010926964371670555</v>
      </c>
      <c r="L187" s="5">
        <v>21</v>
      </c>
      <c r="M187" s="12">
        <v>0</v>
      </c>
      <c r="N187" s="12">
        <v>11874055.970000001</v>
      </c>
      <c r="O187" s="12">
        <v>2493551.7599999998</v>
      </c>
      <c r="P187" s="12">
        <v>15258161.93</v>
      </c>
      <c r="Q187" s="1" t="s">
        <v>15</v>
      </c>
      <c r="R187" s="5">
        <v>534332.52</v>
      </c>
      <c r="S187">
        <f>VLOOKUP(K187,'MIS COMPROBANTES'!E:Q,13,FALSE)</f>
        <v>15258161.93</v>
      </c>
    </row>
    <row r="188" spans="1:19" x14ac:dyDescent="0.25">
      <c r="A188" s="3">
        <v>45453</v>
      </c>
      <c r="B188" s="1" t="s">
        <v>261</v>
      </c>
      <c r="C188" s="1" t="s">
        <v>262</v>
      </c>
      <c r="D188" s="1" t="s">
        <v>18</v>
      </c>
      <c r="E188" s="1" t="s">
        <v>648</v>
      </c>
      <c r="F188" s="4">
        <v>12520</v>
      </c>
      <c r="G188" s="1" t="s">
        <v>19</v>
      </c>
      <c r="H188" s="1" t="s">
        <v>267</v>
      </c>
      <c r="I188" s="6">
        <v>437</v>
      </c>
      <c r="J188" s="6">
        <v>1670555</v>
      </c>
      <c r="K188" s="1" t="str">
        <f t="shared" si="2"/>
        <v>305010926964371670555</v>
      </c>
      <c r="L188" s="5">
        <v>3</v>
      </c>
      <c r="M188" s="12">
        <v>0</v>
      </c>
      <c r="N188" s="12">
        <v>0</v>
      </c>
      <c r="O188" s="12">
        <v>356221.68</v>
      </c>
      <c r="P188" s="12">
        <v>0</v>
      </c>
      <c r="Q188" s="1" t="s">
        <v>15</v>
      </c>
      <c r="R188" s="5">
        <v>0</v>
      </c>
      <c r="S188">
        <f>VLOOKUP(K188,'MIS COMPROBANTES'!E:Q,13,FALSE)</f>
        <v>15258161.93</v>
      </c>
    </row>
    <row r="189" spans="1:19" x14ac:dyDescent="0.25">
      <c r="A189" s="3">
        <v>45453</v>
      </c>
      <c r="B189" s="1" t="s">
        <v>261</v>
      </c>
      <c r="C189" s="1" t="s">
        <v>262</v>
      </c>
      <c r="D189" s="1" t="s">
        <v>18</v>
      </c>
      <c r="E189" s="1" t="s">
        <v>648</v>
      </c>
      <c r="F189" s="4">
        <v>12483</v>
      </c>
      <c r="G189" s="1" t="s">
        <v>19</v>
      </c>
      <c r="H189" s="1" t="s">
        <v>268</v>
      </c>
      <c r="I189" s="6">
        <v>437</v>
      </c>
      <c r="J189" s="6">
        <v>1670556</v>
      </c>
      <c r="K189" s="1" t="str">
        <f t="shared" si="2"/>
        <v>305010926964371670556</v>
      </c>
      <c r="L189" s="5">
        <v>21</v>
      </c>
      <c r="M189" s="12">
        <v>0</v>
      </c>
      <c r="N189" s="12">
        <v>7464635.2999999998</v>
      </c>
      <c r="O189" s="12">
        <v>1567573.41</v>
      </c>
      <c r="P189" s="12">
        <v>9592056.3599999994</v>
      </c>
      <c r="Q189" s="1" t="s">
        <v>15</v>
      </c>
      <c r="R189" s="5">
        <v>335908.59</v>
      </c>
      <c r="S189">
        <f>VLOOKUP(K189,'MIS COMPROBANTES'!E:Q,13,FALSE)</f>
        <v>9592056.3599999994</v>
      </c>
    </row>
    <row r="190" spans="1:19" x14ac:dyDescent="0.25">
      <c r="A190" s="3">
        <v>45453</v>
      </c>
      <c r="B190" s="1" t="s">
        <v>261</v>
      </c>
      <c r="C190" s="1" t="s">
        <v>262</v>
      </c>
      <c r="D190" s="1" t="s">
        <v>18</v>
      </c>
      <c r="E190" s="1" t="s">
        <v>648</v>
      </c>
      <c r="F190" s="4">
        <v>12483</v>
      </c>
      <c r="G190" s="1" t="s">
        <v>19</v>
      </c>
      <c r="H190" s="1" t="s">
        <v>268</v>
      </c>
      <c r="I190" s="6">
        <v>437</v>
      </c>
      <c r="J190" s="6">
        <v>1670556</v>
      </c>
      <c r="K190" s="1" t="str">
        <f t="shared" si="2"/>
        <v>305010926964371670556</v>
      </c>
      <c r="L190" s="5">
        <v>3</v>
      </c>
      <c r="M190" s="12">
        <v>0</v>
      </c>
      <c r="N190" s="12">
        <v>0</v>
      </c>
      <c r="O190" s="12">
        <v>223939.06</v>
      </c>
      <c r="P190" s="12">
        <v>0</v>
      </c>
      <c r="Q190" s="1" t="s">
        <v>15</v>
      </c>
      <c r="R190" s="5">
        <v>0</v>
      </c>
      <c r="S190">
        <f>VLOOKUP(K190,'MIS COMPROBANTES'!E:Q,13,FALSE)</f>
        <v>9592056.3599999994</v>
      </c>
    </row>
    <row r="191" spans="1:19" x14ac:dyDescent="0.25">
      <c r="A191" s="3">
        <v>45453</v>
      </c>
      <c r="B191" s="1" t="s">
        <v>50</v>
      </c>
      <c r="C191" s="1" t="s">
        <v>51</v>
      </c>
      <c r="D191" s="1" t="s">
        <v>18</v>
      </c>
      <c r="E191" s="1" t="s">
        <v>593</v>
      </c>
      <c r="F191" s="4">
        <v>12530</v>
      </c>
      <c r="G191" s="1" t="s">
        <v>19</v>
      </c>
      <c r="H191" s="1" t="s">
        <v>269</v>
      </c>
      <c r="I191" s="6">
        <v>2009</v>
      </c>
      <c r="J191" s="6">
        <v>38502</v>
      </c>
      <c r="K191" s="1" t="str">
        <f t="shared" si="2"/>
        <v>30700869918200938502</v>
      </c>
      <c r="L191" s="5">
        <v>21</v>
      </c>
      <c r="M191" s="12">
        <v>0</v>
      </c>
      <c r="N191" s="12">
        <v>6156000</v>
      </c>
      <c r="O191" s="12">
        <v>1292760</v>
      </c>
      <c r="P191" s="12">
        <v>7910460</v>
      </c>
      <c r="Q191" s="1" t="s">
        <v>15</v>
      </c>
      <c r="R191" s="5">
        <v>277020</v>
      </c>
      <c r="S191">
        <f>VLOOKUP(K191,'MIS COMPROBANTES'!E:Q,13,FALSE)</f>
        <v>7910460</v>
      </c>
    </row>
    <row r="192" spans="1:19" x14ac:dyDescent="0.25">
      <c r="A192" s="3">
        <v>45453</v>
      </c>
      <c r="B192" s="1" t="s">
        <v>50</v>
      </c>
      <c r="C192" s="1" t="s">
        <v>51</v>
      </c>
      <c r="D192" s="1" t="s">
        <v>18</v>
      </c>
      <c r="E192" s="1" t="s">
        <v>593</v>
      </c>
      <c r="F192" s="4">
        <v>12530</v>
      </c>
      <c r="G192" s="1" t="s">
        <v>19</v>
      </c>
      <c r="H192" s="1" t="s">
        <v>269</v>
      </c>
      <c r="I192" s="6">
        <v>2009</v>
      </c>
      <c r="J192" s="6">
        <v>38502</v>
      </c>
      <c r="K192" s="1" t="str">
        <f t="shared" si="2"/>
        <v>30700869918200938502</v>
      </c>
      <c r="L192" s="5">
        <v>3</v>
      </c>
      <c r="M192" s="12">
        <v>0</v>
      </c>
      <c r="N192" s="12">
        <v>0</v>
      </c>
      <c r="O192" s="12">
        <v>184680</v>
      </c>
      <c r="P192" s="12">
        <v>0</v>
      </c>
      <c r="Q192" s="1" t="s">
        <v>15</v>
      </c>
      <c r="R192" s="5">
        <v>0</v>
      </c>
      <c r="S192">
        <f>VLOOKUP(K192,'MIS COMPROBANTES'!E:Q,13,FALSE)</f>
        <v>7910460</v>
      </c>
    </row>
    <row r="193" spans="1:19" x14ac:dyDescent="0.25">
      <c r="A193" s="3">
        <v>45453</v>
      </c>
      <c r="B193" s="1" t="s">
        <v>50</v>
      </c>
      <c r="C193" s="1" t="s">
        <v>51</v>
      </c>
      <c r="D193" s="1" t="s">
        <v>18</v>
      </c>
      <c r="E193" s="1" t="s">
        <v>593</v>
      </c>
      <c r="F193" s="4">
        <v>12531</v>
      </c>
      <c r="G193" s="1" t="s">
        <v>19</v>
      </c>
      <c r="H193" s="1" t="s">
        <v>270</v>
      </c>
      <c r="I193" s="6">
        <v>2009</v>
      </c>
      <c r="J193" s="6">
        <v>38503</v>
      </c>
      <c r="K193" s="1" t="str">
        <f t="shared" ref="K193:K256" si="3">CONCATENATE(E193,I193,J193)</f>
        <v>30700869918200938503</v>
      </c>
      <c r="L193" s="5">
        <v>21</v>
      </c>
      <c r="M193" s="12">
        <v>0</v>
      </c>
      <c r="N193" s="12">
        <v>6156000</v>
      </c>
      <c r="O193" s="12">
        <v>1292760</v>
      </c>
      <c r="P193" s="12">
        <v>7910460</v>
      </c>
      <c r="Q193" s="1" t="s">
        <v>15</v>
      </c>
      <c r="R193" s="5">
        <v>277020</v>
      </c>
      <c r="S193">
        <f>VLOOKUP(K193,'MIS COMPROBANTES'!E:Q,13,FALSE)</f>
        <v>7910460</v>
      </c>
    </row>
    <row r="194" spans="1:19" x14ac:dyDescent="0.25">
      <c r="A194" s="3">
        <v>45453</v>
      </c>
      <c r="B194" s="1" t="s">
        <v>50</v>
      </c>
      <c r="C194" s="1" t="s">
        <v>51</v>
      </c>
      <c r="D194" s="1" t="s">
        <v>18</v>
      </c>
      <c r="E194" s="1" t="s">
        <v>593</v>
      </c>
      <c r="F194" s="4">
        <v>12531</v>
      </c>
      <c r="G194" s="1" t="s">
        <v>19</v>
      </c>
      <c r="H194" s="1" t="s">
        <v>270</v>
      </c>
      <c r="I194" s="6">
        <v>2009</v>
      </c>
      <c r="J194" s="6">
        <v>38503</v>
      </c>
      <c r="K194" s="1" t="str">
        <f t="shared" si="3"/>
        <v>30700869918200938503</v>
      </c>
      <c r="L194" s="5">
        <v>3</v>
      </c>
      <c r="M194" s="12">
        <v>0</v>
      </c>
      <c r="N194" s="12">
        <v>0</v>
      </c>
      <c r="O194" s="12">
        <v>184680</v>
      </c>
      <c r="P194" s="12">
        <v>0</v>
      </c>
      <c r="Q194" s="1" t="s">
        <v>15</v>
      </c>
      <c r="R194" s="5">
        <v>0</v>
      </c>
      <c r="S194">
        <f>VLOOKUP(K194,'MIS COMPROBANTES'!E:Q,13,FALSE)</f>
        <v>7910460</v>
      </c>
    </row>
    <row r="195" spans="1:19" x14ac:dyDescent="0.25">
      <c r="A195" s="3">
        <v>45453</v>
      </c>
      <c r="B195" s="1" t="s">
        <v>50</v>
      </c>
      <c r="C195" s="1" t="s">
        <v>51</v>
      </c>
      <c r="D195" s="1" t="s">
        <v>18</v>
      </c>
      <c r="E195" s="1" t="s">
        <v>593</v>
      </c>
      <c r="F195" s="4">
        <v>12532</v>
      </c>
      <c r="G195" s="1" t="s">
        <v>19</v>
      </c>
      <c r="H195" s="1" t="s">
        <v>271</v>
      </c>
      <c r="I195" s="6">
        <v>2009</v>
      </c>
      <c r="J195" s="6">
        <v>38504</v>
      </c>
      <c r="K195" s="1" t="str">
        <f t="shared" si="3"/>
        <v>30700869918200938504</v>
      </c>
      <c r="L195" s="5">
        <v>21</v>
      </c>
      <c r="M195" s="12">
        <v>0</v>
      </c>
      <c r="N195" s="12">
        <v>4532000</v>
      </c>
      <c r="O195" s="12">
        <v>951720</v>
      </c>
      <c r="P195" s="12">
        <v>5823620</v>
      </c>
      <c r="Q195" s="1" t="s">
        <v>15</v>
      </c>
      <c r="R195" s="5">
        <v>203940</v>
      </c>
      <c r="S195">
        <f>VLOOKUP(K195,'MIS COMPROBANTES'!E:Q,13,FALSE)</f>
        <v>5823620</v>
      </c>
    </row>
    <row r="196" spans="1:19" x14ac:dyDescent="0.25">
      <c r="A196" s="3">
        <v>45453</v>
      </c>
      <c r="B196" s="1" t="s">
        <v>50</v>
      </c>
      <c r="C196" s="1" t="s">
        <v>51</v>
      </c>
      <c r="D196" s="1" t="s">
        <v>18</v>
      </c>
      <c r="E196" s="1" t="s">
        <v>593</v>
      </c>
      <c r="F196" s="4">
        <v>12532</v>
      </c>
      <c r="G196" s="1" t="s">
        <v>19</v>
      </c>
      <c r="H196" s="1" t="s">
        <v>271</v>
      </c>
      <c r="I196" s="6">
        <v>2009</v>
      </c>
      <c r="J196" s="6">
        <v>38504</v>
      </c>
      <c r="K196" s="1" t="str">
        <f t="shared" si="3"/>
        <v>30700869918200938504</v>
      </c>
      <c r="L196" s="5">
        <v>3</v>
      </c>
      <c r="M196" s="12">
        <v>0</v>
      </c>
      <c r="N196" s="12">
        <v>0</v>
      </c>
      <c r="O196" s="12">
        <v>135960</v>
      </c>
      <c r="P196" s="12">
        <v>0</v>
      </c>
      <c r="Q196" s="1" t="s">
        <v>15</v>
      </c>
      <c r="R196" s="5">
        <v>0</v>
      </c>
      <c r="S196">
        <f>VLOOKUP(K196,'MIS COMPROBANTES'!E:Q,13,FALSE)</f>
        <v>5823620</v>
      </c>
    </row>
    <row r="197" spans="1:19" x14ac:dyDescent="0.25">
      <c r="A197" s="3">
        <v>45453</v>
      </c>
      <c r="B197" s="1" t="s">
        <v>50</v>
      </c>
      <c r="C197" s="1" t="s">
        <v>51</v>
      </c>
      <c r="D197" s="1" t="s">
        <v>18</v>
      </c>
      <c r="E197" s="1" t="s">
        <v>593</v>
      </c>
      <c r="F197" s="4">
        <v>12533</v>
      </c>
      <c r="G197" s="1" t="s">
        <v>19</v>
      </c>
      <c r="H197" s="1" t="s">
        <v>272</v>
      </c>
      <c r="I197" s="6">
        <v>2009</v>
      </c>
      <c r="J197" s="6">
        <v>38505</v>
      </c>
      <c r="K197" s="1" t="str">
        <f t="shared" si="3"/>
        <v>30700869918200938505</v>
      </c>
      <c r="L197" s="5">
        <v>21</v>
      </c>
      <c r="M197" s="12">
        <v>0</v>
      </c>
      <c r="N197" s="12">
        <v>5665000</v>
      </c>
      <c r="O197" s="12">
        <v>1189650</v>
      </c>
      <c r="P197" s="12">
        <v>7477800</v>
      </c>
      <c r="Q197" s="1" t="s">
        <v>15</v>
      </c>
      <c r="R197" s="5">
        <v>453200</v>
      </c>
      <c r="S197">
        <f>VLOOKUP(K197,'MIS COMPROBANTES'!E:Q,13,FALSE)</f>
        <v>7477800</v>
      </c>
    </row>
    <row r="198" spans="1:19" x14ac:dyDescent="0.25">
      <c r="A198" s="3">
        <v>45453</v>
      </c>
      <c r="B198" s="1" t="s">
        <v>50</v>
      </c>
      <c r="C198" s="1" t="s">
        <v>51</v>
      </c>
      <c r="D198" s="1" t="s">
        <v>18</v>
      </c>
      <c r="E198" s="1" t="s">
        <v>593</v>
      </c>
      <c r="F198" s="4">
        <v>12533</v>
      </c>
      <c r="G198" s="1" t="s">
        <v>19</v>
      </c>
      <c r="H198" s="1" t="s">
        <v>272</v>
      </c>
      <c r="I198" s="6">
        <v>2009</v>
      </c>
      <c r="J198" s="6">
        <v>38505</v>
      </c>
      <c r="K198" s="1" t="str">
        <f t="shared" si="3"/>
        <v>30700869918200938505</v>
      </c>
      <c r="L198" s="5">
        <v>3</v>
      </c>
      <c r="M198" s="12">
        <v>0</v>
      </c>
      <c r="N198" s="12">
        <v>0</v>
      </c>
      <c r="O198" s="12">
        <v>169950</v>
      </c>
      <c r="P198" s="12">
        <v>0</v>
      </c>
      <c r="Q198" s="1" t="s">
        <v>15</v>
      </c>
      <c r="R198" s="5">
        <v>0</v>
      </c>
      <c r="S198">
        <f>VLOOKUP(K198,'MIS COMPROBANTES'!E:Q,13,FALSE)</f>
        <v>7477800</v>
      </c>
    </row>
    <row r="199" spans="1:19" x14ac:dyDescent="0.25">
      <c r="A199" s="3">
        <v>45453</v>
      </c>
      <c r="B199" s="1" t="s">
        <v>202</v>
      </c>
      <c r="C199" s="1" t="s">
        <v>203</v>
      </c>
      <c r="D199" s="1" t="s">
        <v>18</v>
      </c>
      <c r="E199" s="1" t="s">
        <v>633</v>
      </c>
      <c r="F199" s="4">
        <v>12364</v>
      </c>
      <c r="G199" s="1" t="s">
        <v>19</v>
      </c>
      <c r="H199" s="1" t="s">
        <v>273</v>
      </c>
      <c r="I199" s="6">
        <v>6938</v>
      </c>
      <c r="J199" s="6">
        <v>21418</v>
      </c>
      <c r="K199" s="1" t="str">
        <f t="shared" si="3"/>
        <v>30678774495693821418</v>
      </c>
      <c r="L199" s="5">
        <v>21</v>
      </c>
      <c r="M199" s="12">
        <v>4464.28</v>
      </c>
      <c r="N199" s="12">
        <v>45897.25</v>
      </c>
      <c r="O199" s="12">
        <v>9638.42</v>
      </c>
      <c r="P199" s="12">
        <v>59999.95</v>
      </c>
      <c r="Q199" s="1" t="s">
        <v>15</v>
      </c>
      <c r="R199" s="5">
        <v>0</v>
      </c>
      <c r="S199">
        <f>VLOOKUP(K199,'MIS COMPROBANTES'!E:Q,13,FALSE)</f>
        <v>59999.94</v>
      </c>
    </row>
    <row r="200" spans="1:19" x14ac:dyDescent="0.25">
      <c r="A200" s="3">
        <v>45453</v>
      </c>
      <c r="B200" s="1" t="s">
        <v>97</v>
      </c>
      <c r="C200" s="1" t="s">
        <v>98</v>
      </c>
      <c r="D200" s="1" t="s">
        <v>18</v>
      </c>
      <c r="E200" s="1" t="s">
        <v>607</v>
      </c>
      <c r="F200" s="4">
        <v>12574</v>
      </c>
      <c r="G200" s="1" t="s">
        <v>31</v>
      </c>
      <c r="H200" s="1" t="s">
        <v>274</v>
      </c>
      <c r="I200" s="6">
        <v>2020</v>
      </c>
      <c r="J200" s="6">
        <v>4460</v>
      </c>
      <c r="K200" s="1" t="str">
        <f t="shared" si="3"/>
        <v>3050076826220204460</v>
      </c>
      <c r="L200" s="5">
        <v>21</v>
      </c>
      <c r="M200" s="12">
        <v>0</v>
      </c>
      <c r="N200" s="12">
        <v>-1199000</v>
      </c>
      <c r="O200" s="12">
        <v>-251790</v>
      </c>
      <c r="P200" s="12">
        <v>-1486760</v>
      </c>
      <c r="Q200" s="1" t="s">
        <v>15</v>
      </c>
      <c r="R200" s="5">
        <v>0</v>
      </c>
      <c r="S200">
        <f>VLOOKUP(K200,'MIS COMPROBANTES'!E:Q,13,FALSE)</f>
        <v>1486760</v>
      </c>
    </row>
    <row r="201" spans="1:19" x14ac:dyDescent="0.25">
      <c r="A201" s="3">
        <v>45453</v>
      </c>
      <c r="B201" s="1" t="s">
        <v>97</v>
      </c>
      <c r="C201" s="1" t="s">
        <v>98</v>
      </c>
      <c r="D201" s="1" t="s">
        <v>18</v>
      </c>
      <c r="E201" s="1" t="s">
        <v>607</v>
      </c>
      <c r="F201" s="4">
        <v>12574</v>
      </c>
      <c r="G201" s="1" t="s">
        <v>31</v>
      </c>
      <c r="H201" s="1" t="s">
        <v>274</v>
      </c>
      <c r="I201" s="6">
        <v>2020</v>
      </c>
      <c r="J201" s="6">
        <v>4460</v>
      </c>
      <c r="K201" s="1" t="str">
        <f t="shared" si="3"/>
        <v>3050076826220204460</v>
      </c>
      <c r="L201" s="5">
        <v>3</v>
      </c>
      <c r="M201" s="12">
        <v>0</v>
      </c>
      <c r="N201" s="12">
        <v>0</v>
      </c>
      <c r="O201" s="12">
        <v>-35970</v>
      </c>
      <c r="P201" s="12">
        <v>0</v>
      </c>
      <c r="Q201" s="1" t="s">
        <v>15</v>
      </c>
      <c r="R201" s="5">
        <v>0</v>
      </c>
      <c r="S201">
        <f>VLOOKUP(K201,'MIS COMPROBANTES'!E:Q,13,FALSE)</f>
        <v>1486760</v>
      </c>
    </row>
    <row r="202" spans="1:19" x14ac:dyDescent="0.25">
      <c r="A202" s="3">
        <v>45454</v>
      </c>
      <c r="B202" s="1" t="s">
        <v>16</v>
      </c>
      <c r="C202" s="1" t="s">
        <v>17</v>
      </c>
      <c r="D202" s="1" t="s">
        <v>18</v>
      </c>
      <c r="E202" s="1" t="s">
        <v>584</v>
      </c>
      <c r="F202" s="4">
        <v>12369</v>
      </c>
      <c r="G202" s="1" t="s">
        <v>19</v>
      </c>
      <c r="H202" s="1" t="s">
        <v>275</v>
      </c>
      <c r="I202" s="6">
        <v>2024</v>
      </c>
      <c r="J202" s="6">
        <v>9000440</v>
      </c>
      <c r="K202" s="1" t="str">
        <f t="shared" si="3"/>
        <v>3050000845420249000440</v>
      </c>
      <c r="L202" s="5">
        <v>10.5</v>
      </c>
      <c r="M202" s="12">
        <v>7939.72</v>
      </c>
      <c r="N202" s="12">
        <v>175335.61</v>
      </c>
      <c r="O202" s="12">
        <v>18410.240000000002</v>
      </c>
      <c r="P202" s="12">
        <v>207822.32</v>
      </c>
      <c r="Q202" s="1" t="s">
        <v>15</v>
      </c>
      <c r="R202" s="5">
        <v>3506.72</v>
      </c>
      <c r="S202" t="e">
        <f>VLOOKUP(K202,'MIS COMPROBANTES'!E:Q,13,FALSE)</f>
        <v>#N/A</v>
      </c>
    </row>
    <row r="203" spans="1:19" x14ac:dyDescent="0.25">
      <c r="A203" s="3">
        <v>45454</v>
      </c>
      <c r="B203" s="1" t="s">
        <v>16</v>
      </c>
      <c r="C203" s="1" t="s">
        <v>17</v>
      </c>
      <c r="D203" s="1" t="s">
        <v>18</v>
      </c>
      <c r="E203" s="1" t="s">
        <v>584</v>
      </c>
      <c r="F203" s="4">
        <v>12369</v>
      </c>
      <c r="G203" s="1" t="s">
        <v>19</v>
      </c>
      <c r="H203" s="1" t="s">
        <v>275</v>
      </c>
      <c r="I203" s="6">
        <v>2024</v>
      </c>
      <c r="J203" s="6">
        <v>9000440</v>
      </c>
      <c r="K203" s="1" t="str">
        <f t="shared" si="3"/>
        <v>3050000845420249000440</v>
      </c>
      <c r="L203" s="5">
        <v>1.5</v>
      </c>
      <c r="M203" s="12">
        <v>0</v>
      </c>
      <c r="N203" s="12">
        <v>0</v>
      </c>
      <c r="O203" s="12">
        <v>2630.03</v>
      </c>
      <c r="P203" s="12">
        <v>0</v>
      </c>
      <c r="Q203" s="1" t="s">
        <v>15</v>
      </c>
      <c r="R203" s="5">
        <v>0</v>
      </c>
      <c r="S203" t="e">
        <f>VLOOKUP(K203,'MIS COMPROBANTES'!E:Q,13,FALSE)</f>
        <v>#N/A</v>
      </c>
    </row>
    <row r="204" spans="1:19" x14ac:dyDescent="0.25">
      <c r="A204" s="3">
        <v>45454</v>
      </c>
      <c r="B204" s="1" t="s">
        <v>276</v>
      </c>
      <c r="C204" s="1" t="s">
        <v>277</v>
      </c>
      <c r="D204" s="1" t="s">
        <v>18</v>
      </c>
      <c r="E204" s="1" t="s">
        <v>649</v>
      </c>
      <c r="F204" s="4">
        <v>12379</v>
      </c>
      <c r="G204" s="1" t="s">
        <v>19</v>
      </c>
      <c r="H204" s="1" t="s">
        <v>278</v>
      </c>
      <c r="I204" s="6">
        <v>2024</v>
      </c>
      <c r="J204" s="6">
        <v>11062024</v>
      </c>
      <c r="K204" s="1" t="str">
        <f t="shared" si="3"/>
        <v>30500001735202411062024</v>
      </c>
      <c r="L204" s="5">
        <v>10.5</v>
      </c>
      <c r="M204" s="12">
        <v>46769.1</v>
      </c>
      <c r="N204" s="12">
        <v>1588079.75</v>
      </c>
      <c r="O204" s="12">
        <v>166748.38</v>
      </c>
      <c r="P204" s="12">
        <v>1857180.02</v>
      </c>
      <c r="Q204" s="1" t="s">
        <v>15</v>
      </c>
      <c r="R204" s="5">
        <v>31761.59</v>
      </c>
      <c r="S204" t="e">
        <f>VLOOKUP(K204,'MIS COMPROBANTES'!E:Q,13,FALSE)</f>
        <v>#N/A</v>
      </c>
    </row>
    <row r="205" spans="1:19" x14ac:dyDescent="0.25">
      <c r="A205" s="3">
        <v>45454</v>
      </c>
      <c r="B205" s="1" t="s">
        <v>276</v>
      </c>
      <c r="C205" s="1" t="s">
        <v>277</v>
      </c>
      <c r="D205" s="1" t="s">
        <v>18</v>
      </c>
      <c r="E205" s="1" t="s">
        <v>649</v>
      </c>
      <c r="F205" s="4">
        <v>12379</v>
      </c>
      <c r="G205" s="1" t="s">
        <v>19</v>
      </c>
      <c r="H205" s="1" t="s">
        <v>278</v>
      </c>
      <c r="I205" s="6">
        <v>2024</v>
      </c>
      <c r="J205" s="6">
        <v>11062024</v>
      </c>
      <c r="K205" s="1" t="str">
        <f t="shared" si="3"/>
        <v>30500001735202411062024</v>
      </c>
      <c r="L205" s="5">
        <v>1.5</v>
      </c>
      <c r="M205" s="12">
        <v>0</v>
      </c>
      <c r="N205" s="12">
        <v>0</v>
      </c>
      <c r="O205" s="12">
        <v>23821.200000000001</v>
      </c>
      <c r="P205" s="12">
        <v>0</v>
      </c>
      <c r="Q205" s="1" t="s">
        <v>15</v>
      </c>
      <c r="R205" s="5">
        <v>0</v>
      </c>
      <c r="S205" t="e">
        <f>VLOOKUP(K205,'MIS COMPROBANTES'!E:Q,13,FALSE)</f>
        <v>#N/A</v>
      </c>
    </row>
    <row r="206" spans="1:19" x14ac:dyDescent="0.25">
      <c r="A206" s="3">
        <v>45454</v>
      </c>
      <c r="B206" s="1" t="s">
        <v>802</v>
      </c>
      <c r="C206" s="1" t="s">
        <v>756</v>
      </c>
      <c r="D206" s="1" t="s">
        <v>18</v>
      </c>
      <c r="E206" s="1" t="s">
        <v>815</v>
      </c>
      <c r="F206" s="4">
        <v>12930</v>
      </c>
      <c r="G206" s="1" t="s">
        <v>19</v>
      </c>
      <c r="H206" s="1" t="s">
        <v>803</v>
      </c>
      <c r="I206" s="6">
        <v>5</v>
      </c>
      <c r="J206" s="6">
        <v>6235</v>
      </c>
      <c r="K206" s="1" t="str">
        <f t="shared" si="3"/>
        <v>2024491940656235</v>
      </c>
      <c r="L206" s="5">
        <v>21</v>
      </c>
      <c r="M206" s="12">
        <v>0</v>
      </c>
      <c r="N206" s="12">
        <v>60165.29</v>
      </c>
      <c r="O206" s="12">
        <v>12634.71</v>
      </c>
      <c r="P206" s="12">
        <v>72800</v>
      </c>
      <c r="Q206" s="1" t="s">
        <v>15</v>
      </c>
      <c r="R206" s="5">
        <v>0</v>
      </c>
      <c r="S206">
        <f>VLOOKUP(K206,'MIS COMPROBANTES'!E:Q,13,FALSE)</f>
        <v>72800</v>
      </c>
    </row>
    <row r="207" spans="1:19" x14ac:dyDescent="0.25">
      <c r="A207" s="3">
        <v>45454</v>
      </c>
      <c r="B207" s="1" t="s">
        <v>802</v>
      </c>
      <c r="C207" s="1" t="s">
        <v>756</v>
      </c>
      <c r="D207" s="1" t="s">
        <v>18</v>
      </c>
      <c r="E207" s="1" t="s">
        <v>815</v>
      </c>
      <c r="F207" s="4">
        <v>12929</v>
      </c>
      <c r="G207" s="1" t="s">
        <v>19</v>
      </c>
      <c r="H207" s="1" t="s">
        <v>804</v>
      </c>
      <c r="I207" s="6">
        <v>5</v>
      </c>
      <c r="J207" s="6">
        <v>6236</v>
      </c>
      <c r="K207" s="1" t="str">
        <f t="shared" si="3"/>
        <v>2024491940656236</v>
      </c>
      <c r="L207" s="5">
        <v>21</v>
      </c>
      <c r="M207" s="12">
        <v>0</v>
      </c>
      <c r="N207" s="12">
        <v>60165.29</v>
      </c>
      <c r="O207" s="12">
        <v>12634.71</v>
      </c>
      <c r="P207" s="12">
        <v>72800</v>
      </c>
      <c r="Q207" s="1" t="s">
        <v>15</v>
      </c>
      <c r="R207" s="5">
        <v>0</v>
      </c>
      <c r="S207">
        <f>VLOOKUP(K207,'MIS COMPROBANTES'!E:Q,13,FALSE)</f>
        <v>72800</v>
      </c>
    </row>
    <row r="208" spans="1:19" x14ac:dyDescent="0.25">
      <c r="A208" s="3">
        <v>45454</v>
      </c>
      <c r="B208" s="1" t="s">
        <v>802</v>
      </c>
      <c r="C208" s="1" t="s">
        <v>756</v>
      </c>
      <c r="D208" s="1" t="s">
        <v>18</v>
      </c>
      <c r="E208" s="1" t="s">
        <v>815</v>
      </c>
      <c r="F208" s="4">
        <v>12931</v>
      </c>
      <c r="G208" s="1" t="s">
        <v>19</v>
      </c>
      <c r="H208" s="1" t="s">
        <v>805</v>
      </c>
      <c r="I208" s="6">
        <v>5</v>
      </c>
      <c r="J208" s="6">
        <v>6237</v>
      </c>
      <c r="K208" s="1" t="str">
        <f t="shared" si="3"/>
        <v>2024491940656237</v>
      </c>
      <c r="L208" s="5">
        <v>21</v>
      </c>
      <c r="M208" s="12">
        <v>0</v>
      </c>
      <c r="N208" s="12">
        <v>60165.29</v>
      </c>
      <c r="O208" s="12">
        <v>12634.71</v>
      </c>
      <c r="P208" s="12">
        <v>72800</v>
      </c>
      <c r="Q208" s="1" t="s">
        <v>15</v>
      </c>
      <c r="R208" s="5">
        <v>0</v>
      </c>
      <c r="S208">
        <f>VLOOKUP(K208,'MIS COMPROBANTES'!E:Q,13,FALSE)</f>
        <v>72800</v>
      </c>
    </row>
    <row r="209" spans="1:19" x14ac:dyDescent="0.25">
      <c r="A209" s="3">
        <v>45454</v>
      </c>
      <c r="B209" s="1" t="s">
        <v>279</v>
      </c>
      <c r="C209" s="1" t="s">
        <v>280</v>
      </c>
      <c r="D209" s="1" t="s">
        <v>18</v>
      </c>
      <c r="E209" s="1" t="s">
        <v>650</v>
      </c>
      <c r="F209" s="4">
        <v>12528</v>
      </c>
      <c r="G209" s="1" t="s">
        <v>19</v>
      </c>
      <c r="H209" s="1" t="s">
        <v>281</v>
      </c>
      <c r="I209" s="6">
        <v>5</v>
      </c>
      <c r="J209" s="6">
        <v>6287</v>
      </c>
      <c r="K209" s="1" t="str">
        <f t="shared" si="3"/>
        <v>3069628267256287</v>
      </c>
      <c r="L209" s="5">
        <v>21</v>
      </c>
      <c r="M209" s="12">
        <v>0</v>
      </c>
      <c r="N209" s="12">
        <v>125388</v>
      </c>
      <c r="O209" s="12">
        <v>26331.48</v>
      </c>
      <c r="P209" s="12">
        <v>151719.48000000001</v>
      </c>
      <c r="Q209" s="1" t="s">
        <v>282</v>
      </c>
      <c r="R209" s="5">
        <v>0</v>
      </c>
      <c r="S209">
        <f>VLOOKUP(K209,'MIS COMPROBANTES'!E:Q,13,FALSE)</f>
        <v>151719.48000000001</v>
      </c>
    </row>
    <row r="210" spans="1:19" x14ac:dyDescent="0.25">
      <c r="A210" s="3">
        <v>45454</v>
      </c>
      <c r="B210" s="1" t="s">
        <v>283</v>
      </c>
      <c r="C210" s="1" t="s">
        <v>284</v>
      </c>
      <c r="D210" s="1" t="s">
        <v>18</v>
      </c>
      <c r="E210" s="1" t="s">
        <v>651</v>
      </c>
      <c r="F210" s="4">
        <v>12543</v>
      </c>
      <c r="G210" s="1" t="s">
        <v>19</v>
      </c>
      <c r="H210" s="1" t="s">
        <v>285</v>
      </c>
      <c r="I210" s="6">
        <v>9</v>
      </c>
      <c r="J210" s="6">
        <v>17114</v>
      </c>
      <c r="K210" s="1" t="str">
        <f t="shared" si="3"/>
        <v>30525346389917114</v>
      </c>
      <c r="L210" s="5">
        <v>10.5</v>
      </c>
      <c r="M210" s="12">
        <v>0</v>
      </c>
      <c r="N210" s="12">
        <v>2263675.44</v>
      </c>
      <c r="O210" s="12">
        <v>237685.92</v>
      </c>
      <c r="P210" s="12">
        <v>2637181.89</v>
      </c>
      <c r="Q210" s="1" t="s">
        <v>15</v>
      </c>
      <c r="R210" s="5">
        <v>101865.4</v>
      </c>
      <c r="S210">
        <f>VLOOKUP(K210,'MIS COMPROBANTES'!E:Q,13,FALSE)</f>
        <v>2637181.89</v>
      </c>
    </row>
    <row r="211" spans="1:19" x14ac:dyDescent="0.25">
      <c r="A211" s="3">
        <v>45454</v>
      </c>
      <c r="B211" s="1" t="s">
        <v>283</v>
      </c>
      <c r="C211" s="1" t="s">
        <v>284</v>
      </c>
      <c r="D211" s="1" t="s">
        <v>18</v>
      </c>
      <c r="E211" s="1" t="s">
        <v>651</v>
      </c>
      <c r="F211" s="4">
        <v>12543</v>
      </c>
      <c r="G211" s="1" t="s">
        <v>19</v>
      </c>
      <c r="H211" s="1" t="s">
        <v>285</v>
      </c>
      <c r="I211" s="6">
        <v>9</v>
      </c>
      <c r="J211" s="6">
        <v>17114</v>
      </c>
      <c r="K211" s="1" t="str">
        <f t="shared" si="3"/>
        <v>30525346389917114</v>
      </c>
      <c r="L211" s="5">
        <v>1.5</v>
      </c>
      <c r="M211" s="12">
        <v>0</v>
      </c>
      <c r="N211" s="12">
        <v>0</v>
      </c>
      <c r="O211" s="12">
        <v>33955.129999999997</v>
      </c>
      <c r="P211" s="12">
        <v>0</v>
      </c>
      <c r="Q211" s="1" t="s">
        <v>15</v>
      </c>
      <c r="R211" s="5">
        <v>0</v>
      </c>
      <c r="S211">
        <f>VLOOKUP(K211,'MIS COMPROBANTES'!E:Q,13,FALSE)</f>
        <v>2637181.89</v>
      </c>
    </row>
    <row r="212" spans="1:19" x14ac:dyDescent="0.25">
      <c r="A212" s="3">
        <v>45454</v>
      </c>
      <c r="B212" s="1" t="s">
        <v>286</v>
      </c>
      <c r="C212" s="1" t="s">
        <v>287</v>
      </c>
      <c r="D212" s="1" t="s">
        <v>18</v>
      </c>
      <c r="E212" s="1" t="s">
        <v>652</v>
      </c>
      <c r="F212" s="4">
        <v>12390</v>
      </c>
      <c r="G212" s="1" t="s">
        <v>19</v>
      </c>
      <c r="H212" s="1" t="s">
        <v>288</v>
      </c>
      <c r="I212" s="6">
        <v>17</v>
      </c>
      <c r="J212" s="6">
        <v>8475</v>
      </c>
      <c r="K212" s="1" t="str">
        <f t="shared" si="3"/>
        <v>30645722937178475</v>
      </c>
      <c r="L212" s="5">
        <v>21</v>
      </c>
      <c r="M212" s="12">
        <v>1523.21</v>
      </c>
      <c r="N212" s="12">
        <v>50816.53</v>
      </c>
      <c r="O212" s="12">
        <v>10671.47</v>
      </c>
      <c r="P212" s="12">
        <v>63011.21</v>
      </c>
      <c r="Q212" s="1" t="s">
        <v>15</v>
      </c>
      <c r="R212" s="5">
        <v>0</v>
      </c>
      <c r="S212" t="e">
        <f>VLOOKUP(K212,'MIS COMPROBANTES'!E:Q,13,FALSE)</f>
        <v>#N/A</v>
      </c>
    </row>
    <row r="213" spans="1:19" x14ac:dyDescent="0.25">
      <c r="A213" s="3">
        <v>45454</v>
      </c>
      <c r="B213" s="1" t="s">
        <v>289</v>
      </c>
      <c r="C213" s="1" t="s">
        <v>290</v>
      </c>
      <c r="D213" s="1" t="s">
        <v>18</v>
      </c>
      <c r="E213" s="1" t="s">
        <v>653</v>
      </c>
      <c r="F213" s="4">
        <v>12750</v>
      </c>
      <c r="G213" s="1" t="s">
        <v>19</v>
      </c>
      <c r="H213" s="1" t="s">
        <v>291</v>
      </c>
      <c r="I213" s="6">
        <v>29</v>
      </c>
      <c r="J213" s="6">
        <v>37</v>
      </c>
      <c r="K213" s="1" t="str">
        <f t="shared" si="3"/>
        <v>307110225932937</v>
      </c>
      <c r="L213" s="5">
        <v>21</v>
      </c>
      <c r="M213" s="12">
        <v>0</v>
      </c>
      <c r="N213" s="12">
        <v>12054640</v>
      </c>
      <c r="O213" s="12">
        <v>2531474.4</v>
      </c>
      <c r="P213" s="12">
        <v>14586114.4</v>
      </c>
      <c r="Q213" s="1" t="s">
        <v>15</v>
      </c>
      <c r="R213" s="5">
        <v>0</v>
      </c>
      <c r="S213">
        <f>VLOOKUP(K213,'MIS COMPROBANTES'!E:Q,13,FALSE)</f>
        <v>14586114.4</v>
      </c>
    </row>
    <row r="214" spans="1:19" x14ac:dyDescent="0.25">
      <c r="A214" s="3">
        <v>45454</v>
      </c>
      <c r="B214" s="1" t="s">
        <v>229</v>
      </c>
      <c r="C214" s="1" t="s">
        <v>230</v>
      </c>
      <c r="D214" s="1" t="s">
        <v>18</v>
      </c>
      <c r="E214" s="1" t="s">
        <v>640</v>
      </c>
      <c r="F214" s="4">
        <v>12421</v>
      </c>
      <c r="G214" s="1" t="s">
        <v>19</v>
      </c>
      <c r="H214" s="1" t="s">
        <v>292</v>
      </c>
      <c r="I214" s="6">
        <v>46</v>
      </c>
      <c r="J214" s="6">
        <v>402737</v>
      </c>
      <c r="K214" s="1" t="str">
        <f t="shared" si="3"/>
        <v>3053214979346402737</v>
      </c>
      <c r="L214" s="5">
        <v>21</v>
      </c>
      <c r="M214" s="12">
        <v>0</v>
      </c>
      <c r="N214" s="12">
        <v>1293000</v>
      </c>
      <c r="O214" s="12">
        <v>271530</v>
      </c>
      <c r="P214" s="12">
        <v>1629180</v>
      </c>
      <c r="Q214" s="1" t="s">
        <v>15</v>
      </c>
      <c r="R214" s="5">
        <v>25860</v>
      </c>
      <c r="S214">
        <f>VLOOKUP(K214,'MIS COMPROBANTES'!E:Q,13,FALSE)</f>
        <v>1629180</v>
      </c>
    </row>
    <row r="215" spans="1:19" x14ac:dyDescent="0.25">
      <c r="A215" s="3">
        <v>45454</v>
      </c>
      <c r="B215" s="1" t="s">
        <v>229</v>
      </c>
      <c r="C215" s="1" t="s">
        <v>230</v>
      </c>
      <c r="D215" s="1" t="s">
        <v>18</v>
      </c>
      <c r="E215" s="1" t="s">
        <v>640</v>
      </c>
      <c r="F215" s="4">
        <v>12421</v>
      </c>
      <c r="G215" s="1" t="s">
        <v>19</v>
      </c>
      <c r="H215" s="1" t="s">
        <v>292</v>
      </c>
      <c r="I215" s="6">
        <v>46</v>
      </c>
      <c r="J215" s="6">
        <v>402737</v>
      </c>
      <c r="K215" s="1" t="str">
        <f t="shared" si="3"/>
        <v>3053214979346402737</v>
      </c>
      <c r="L215" s="5">
        <v>3</v>
      </c>
      <c r="M215" s="12">
        <v>0</v>
      </c>
      <c r="N215" s="12">
        <v>0</v>
      </c>
      <c r="O215" s="12">
        <v>38790</v>
      </c>
      <c r="P215" s="12">
        <v>0</v>
      </c>
      <c r="Q215" s="1" t="s">
        <v>15</v>
      </c>
      <c r="R215" s="5">
        <v>0</v>
      </c>
      <c r="S215">
        <f>VLOOKUP(K215,'MIS COMPROBANTES'!E:Q,13,FALSE)</f>
        <v>1629180</v>
      </c>
    </row>
    <row r="216" spans="1:19" x14ac:dyDescent="0.25">
      <c r="A216" s="3">
        <v>45454</v>
      </c>
      <c r="B216" s="1" t="s">
        <v>229</v>
      </c>
      <c r="C216" s="1" t="s">
        <v>230</v>
      </c>
      <c r="D216" s="1" t="s">
        <v>18</v>
      </c>
      <c r="E216" s="1" t="s">
        <v>640</v>
      </c>
      <c r="F216" s="4">
        <v>12422</v>
      </c>
      <c r="G216" s="1" t="s">
        <v>19</v>
      </c>
      <c r="H216" s="1" t="s">
        <v>293</v>
      </c>
      <c r="I216" s="6">
        <v>46</v>
      </c>
      <c r="J216" s="6">
        <v>402738</v>
      </c>
      <c r="K216" s="1" t="str">
        <f t="shared" si="3"/>
        <v>3053214979346402738</v>
      </c>
      <c r="L216" s="5">
        <v>21</v>
      </c>
      <c r="M216" s="12">
        <v>0</v>
      </c>
      <c r="N216" s="12">
        <v>405000</v>
      </c>
      <c r="O216" s="12">
        <v>85050</v>
      </c>
      <c r="P216" s="12">
        <v>510300</v>
      </c>
      <c r="Q216" s="1" t="s">
        <v>15</v>
      </c>
      <c r="R216" s="5">
        <v>8100</v>
      </c>
      <c r="S216">
        <f>VLOOKUP(K216,'MIS COMPROBANTES'!E:Q,13,FALSE)</f>
        <v>510300</v>
      </c>
    </row>
    <row r="217" spans="1:19" x14ac:dyDescent="0.25">
      <c r="A217" s="3">
        <v>45454</v>
      </c>
      <c r="B217" s="1" t="s">
        <v>229</v>
      </c>
      <c r="C217" s="1" t="s">
        <v>230</v>
      </c>
      <c r="D217" s="1" t="s">
        <v>18</v>
      </c>
      <c r="E217" s="1" t="s">
        <v>640</v>
      </c>
      <c r="F217" s="4">
        <v>12422</v>
      </c>
      <c r="G217" s="1" t="s">
        <v>19</v>
      </c>
      <c r="H217" s="1" t="s">
        <v>293</v>
      </c>
      <c r="I217" s="6">
        <v>46</v>
      </c>
      <c r="J217" s="6">
        <v>402738</v>
      </c>
      <c r="K217" s="1" t="str">
        <f t="shared" si="3"/>
        <v>3053214979346402738</v>
      </c>
      <c r="L217" s="5">
        <v>3</v>
      </c>
      <c r="M217" s="12">
        <v>0</v>
      </c>
      <c r="N217" s="12">
        <v>0</v>
      </c>
      <c r="O217" s="12">
        <v>12150</v>
      </c>
      <c r="P217" s="12">
        <v>0</v>
      </c>
      <c r="Q217" s="1" t="s">
        <v>15</v>
      </c>
      <c r="R217" s="5">
        <v>0</v>
      </c>
      <c r="S217">
        <f>VLOOKUP(K217,'MIS COMPROBANTES'!E:Q,13,FALSE)</f>
        <v>510300</v>
      </c>
    </row>
    <row r="218" spans="1:19" x14ac:dyDescent="0.25">
      <c r="A218" s="3">
        <v>45454</v>
      </c>
      <c r="B218" s="1" t="s">
        <v>93</v>
      </c>
      <c r="C218" s="1" t="s">
        <v>94</v>
      </c>
      <c r="D218" s="1" t="s">
        <v>18</v>
      </c>
      <c r="E218" s="1" t="s">
        <v>606</v>
      </c>
      <c r="F218" s="4">
        <v>12509</v>
      </c>
      <c r="G218" s="1" t="s">
        <v>19</v>
      </c>
      <c r="H218" s="1" t="s">
        <v>294</v>
      </c>
      <c r="I218" s="6">
        <v>218</v>
      </c>
      <c r="J218" s="6">
        <v>161739</v>
      </c>
      <c r="K218" s="1" t="str">
        <f t="shared" si="3"/>
        <v>30501290323218161739</v>
      </c>
      <c r="L218" s="5">
        <v>21</v>
      </c>
      <c r="M218" s="12">
        <v>0</v>
      </c>
      <c r="N218" s="12">
        <v>268355.21000000002</v>
      </c>
      <c r="O218" s="12">
        <v>56354.59</v>
      </c>
      <c r="P218" s="12">
        <v>344836.44</v>
      </c>
      <c r="Q218" s="1" t="s">
        <v>15</v>
      </c>
      <c r="R218" s="5">
        <v>12075.98</v>
      </c>
      <c r="S218">
        <f>VLOOKUP(K218,'MIS COMPROBANTES'!E:Q,13,FALSE)</f>
        <v>344836.44</v>
      </c>
    </row>
    <row r="219" spans="1:19" x14ac:dyDescent="0.25">
      <c r="A219" s="3">
        <v>45454</v>
      </c>
      <c r="B219" s="1" t="s">
        <v>93</v>
      </c>
      <c r="C219" s="1" t="s">
        <v>94</v>
      </c>
      <c r="D219" s="1" t="s">
        <v>18</v>
      </c>
      <c r="E219" s="1" t="s">
        <v>606</v>
      </c>
      <c r="F219" s="4">
        <v>12509</v>
      </c>
      <c r="G219" s="1" t="s">
        <v>19</v>
      </c>
      <c r="H219" s="1" t="s">
        <v>294</v>
      </c>
      <c r="I219" s="6">
        <v>218</v>
      </c>
      <c r="J219" s="6">
        <v>161739</v>
      </c>
      <c r="K219" s="1" t="str">
        <f t="shared" si="3"/>
        <v>30501290323218161739</v>
      </c>
      <c r="L219" s="5">
        <v>3</v>
      </c>
      <c r="M219" s="12">
        <v>0</v>
      </c>
      <c r="N219" s="12">
        <v>0</v>
      </c>
      <c r="O219" s="12">
        <v>8050.66</v>
      </c>
      <c r="P219" s="12">
        <v>0</v>
      </c>
      <c r="Q219" s="1" t="s">
        <v>15</v>
      </c>
      <c r="R219" s="5">
        <v>0</v>
      </c>
      <c r="S219">
        <f>VLOOKUP(K219,'MIS COMPROBANTES'!E:Q,13,FALSE)</f>
        <v>344836.44</v>
      </c>
    </row>
    <row r="220" spans="1:19" x14ac:dyDescent="0.25">
      <c r="A220" s="3">
        <v>45454</v>
      </c>
      <c r="B220" s="1" t="s">
        <v>93</v>
      </c>
      <c r="C220" s="1" t="s">
        <v>94</v>
      </c>
      <c r="D220" s="1" t="s">
        <v>18</v>
      </c>
      <c r="E220" s="1" t="s">
        <v>606</v>
      </c>
      <c r="F220" s="4">
        <v>12482</v>
      </c>
      <c r="G220" s="1" t="s">
        <v>19</v>
      </c>
      <c r="H220" s="1" t="s">
        <v>295</v>
      </c>
      <c r="I220" s="6">
        <v>218</v>
      </c>
      <c r="J220" s="6">
        <v>161740</v>
      </c>
      <c r="K220" s="1" t="str">
        <f t="shared" si="3"/>
        <v>30501290323218161740</v>
      </c>
      <c r="L220" s="5">
        <v>21</v>
      </c>
      <c r="M220" s="12">
        <v>0</v>
      </c>
      <c r="N220" s="12">
        <v>1146768.19</v>
      </c>
      <c r="O220" s="12">
        <v>240821.32</v>
      </c>
      <c r="P220" s="12">
        <v>1473597.12</v>
      </c>
      <c r="Q220" s="1" t="s">
        <v>15</v>
      </c>
      <c r="R220" s="5">
        <v>51604.56</v>
      </c>
      <c r="S220">
        <f>VLOOKUP(K220,'MIS COMPROBANTES'!E:Q,13,FALSE)</f>
        <v>1473597.12</v>
      </c>
    </row>
    <row r="221" spans="1:19" x14ac:dyDescent="0.25">
      <c r="A221" s="3">
        <v>45454</v>
      </c>
      <c r="B221" s="1" t="s">
        <v>93</v>
      </c>
      <c r="C221" s="1" t="s">
        <v>94</v>
      </c>
      <c r="D221" s="1" t="s">
        <v>18</v>
      </c>
      <c r="E221" s="1" t="s">
        <v>606</v>
      </c>
      <c r="F221" s="4">
        <v>12482</v>
      </c>
      <c r="G221" s="1" t="s">
        <v>19</v>
      </c>
      <c r="H221" s="1" t="s">
        <v>295</v>
      </c>
      <c r="I221" s="6">
        <v>218</v>
      </c>
      <c r="J221" s="6">
        <v>161740</v>
      </c>
      <c r="K221" s="1" t="str">
        <f t="shared" si="3"/>
        <v>30501290323218161740</v>
      </c>
      <c r="L221" s="5">
        <v>3</v>
      </c>
      <c r="M221" s="12">
        <v>0</v>
      </c>
      <c r="N221" s="12">
        <v>0</v>
      </c>
      <c r="O221" s="12">
        <v>34403.050000000003</v>
      </c>
      <c r="P221" s="12">
        <v>0</v>
      </c>
      <c r="Q221" s="1" t="s">
        <v>15</v>
      </c>
      <c r="R221" s="5">
        <v>0</v>
      </c>
      <c r="S221">
        <f>VLOOKUP(K221,'MIS COMPROBANTES'!E:Q,13,FALSE)</f>
        <v>1473597.12</v>
      </c>
    </row>
    <row r="222" spans="1:19" x14ac:dyDescent="0.25">
      <c r="A222" s="3">
        <v>45454</v>
      </c>
      <c r="B222" s="1" t="s">
        <v>126</v>
      </c>
      <c r="C222" s="1" t="s">
        <v>127</v>
      </c>
      <c r="D222" s="1" t="s">
        <v>18</v>
      </c>
      <c r="E222" s="1" t="s">
        <v>614</v>
      </c>
      <c r="F222" s="4">
        <v>12484</v>
      </c>
      <c r="G222" s="1" t="s">
        <v>19</v>
      </c>
      <c r="H222" s="1" t="s">
        <v>296</v>
      </c>
      <c r="I222" s="6">
        <v>1001</v>
      </c>
      <c r="J222" s="6">
        <v>237257</v>
      </c>
      <c r="K222" s="1" t="str">
        <f t="shared" si="3"/>
        <v>305866115221001237257</v>
      </c>
      <c r="L222" s="5">
        <v>21</v>
      </c>
      <c r="M222" s="12">
        <v>0</v>
      </c>
      <c r="N222" s="12">
        <v>256674</v>
      </c>
      <c r="O222" s="12">
        <v>53901.54</v>
      </c>
      <c r="P222" s="12">
        <v>329826.09000000003</v>
      </c>
      <c r="Q222" s="1" t="s">
        <v>15</v>
      </c>
      <c r="R222" s="5">
        <v>11550.33</v>
      </c>
      <c r="S222">
        <f>VLOOKUP(K222,'MIS COMPROBANTES'!E:Q,13,FALSE)</f>
        <v>329826.09000000003</v>
      </c>
    </row>
    <row r="223" spans="1:19" x14ac:dyDescent="0.25">
      <c r="A223" s="3">
        <v>45454</v>
      </c>
      <c r="B223" s="1" t="s">
        <v>126</v>
      </c>
      <c r="C223" s="1" t="s">
        <v>127</v>
      </c>
      <c r="D223" s="1" t="s">
        <v>18</v>
      </c>
      <c r="E223" s="1" t="s">
        <v>614</v>
      </c>
      <c r="F223" s="4">
        <v>12484</v>
      </c>
      <c r="G223" s="1" t="s">
        <v>19</v>
      </c>
      <c r="H223" s="1" t="s">
        <v>296</v>
      </c>
      <c r="I223" s="6">
        <v>1001</v>
      </c>
      <c r="J223" s="6">
        <v>237257</v>
      </c>
      <c r="K223" s="1" t="str">
        <f t="shared" si="3"/>
        <v>305866115221001237257</v>
      </c>
      <c r="L223" s="5">
        <v>3</v>
      </c>
      <c r="M223" s="12">
        <v>0</v>
      </c>
      <c r="N223" s="12">
        <v>0</v>
      </c>
      <c r="O223" s="12">
        <v>7700.22</v>
      </c>
      <c r="P223" s="12">
        <v>0</v>
      </c>
      <c r="Q223" s="1" t="s">
        <v>15</v>
      </c>
      <c r="R223" s="5">
        <v>0</v>
      </c>
      <c r="S223">
        <f>VLOOKUP(K223,'MIS COMPROBANTES'!E:Q,13,FALSE)</f>
        <v>329826.09000000003</v>
      </c>
    </row>
    <row r="224" spans="1:19" x14ac:dyDescent="0.25">
      <c r="A224" s="3">
        <v>45454</v>
      </c>
      <c r="B224" s="1" t="s">
        <v>126</v>
      </c>
      <c r="C224" s="1" t="s">
        <v>127</v>
      </c>
      <c r="D224" s="1" t="s">
        <v>18</v>
      </c>
      <c r="E224" s="1" t="s">
        <v>614</v>
      </c>
      <c r="F224" s="4">
        <v>12485</v>
      </c>
      <c r="G224" s="1" t="s">
        <v>19</v>
      </c>
      <c r="H224" s="1" t="s">
        <v>297</v>
      </c>
      <c r="I224" s="6">
        <v>1001</v>
      </c>
      <c r="J224" s="6">
        <v>237258</v>
      </c>
      <c r="K224" s="1" t="str">
        <f t="shared" si="3"/>
        <v>305866115221001237258</v>
      </c>
      <c r="L224" s="5">
        <v>21</v>
      </c>
      <c r="M224" s="12">
        <v>0</v>
      </c>
      <c r="N224" s="12">
        <v>2606280.7999999998</v>
      </c>
      <c r="O224" s="12">
        <v>547318.97</v>
      </c>
      <c r="P224" s="12">
        <v>3349070.83</v>
      </c>
      <c r="Q224" s="1" t="s">
        <v>15</v>
      </c>
      <c r="R224" s="5">
        <v>117282.64</v>
      </c>
      <c r="S224">
        <f>VLOOKUP(K224,'MIS COMPROBANTES'!E:Q,13,FALSE)</f>
        <v>3349070.83</v>
      </c>
    </row>
    <row r="225" spans="1:19" x14ac:dyDescent="0.25">
      <c r="A225" s="3">
        <v>45454</v>
      </c>
      <c r="B225" s="1" t="s">
        <v>126</v>
      </c>
      <c r="C225" s="1" t="s">
        <v>127</v>
      </c>
      <c r="D225" s="1" t="s">
        <v>18</v>
      </c>
      <c r="E225" s="1" t="s">
        <v>614</v>
      </c>
      <c r="F225" s="4">
        <v>12485</v>
      </c>
      <c r="G225" s="1" t="s">
        <v>19</v>
      </c>
      <c r="H225" s="1" t="s">
        <v>297</v>
      </c>
      <c r="I225" s="6">
        <v>1001</v>
      </c>
      <c r="J225" s="6">
        <v>237258</v>
      </c>
      <c r="K225" s="1" t="str">
        <f t="shared" si="3"/>
        <v>305866115221001237258</v>
      </c>
      <c r="L225" s="5">
        <v>3</v>
      </c>
      <c r="M225" s="12">
        <v>0</v>
      </c>
      <c r="N225" s="12">
        <v>0</v>
      </c>
      <c r="O225" s="12">
        <v>78188.42</v>
      </c>
      <c r="P225" s="12">
        <v>0</v>
      </c>
      <c r="Q225" s="1" t="s">
        <v>15</v>
      </c>
      <c r="R225" s="5">
        <v>0</v>
      </c>
      <c r="S225">
        <f>VLOOKUP(K225,'MIS COMPROBANTES'!E:Q,13,FALSE)</f>
        <v>3349070.83</v>
      </c>
    </row>
    <row r="226" spans="1:19" x14ac:dyDescent="0.25">
      <c r="A226" s="3">
        <v>45454</v>
      </c>
      <c r="B226" s="1" t="s">
        <v>298</v>
      </c>
      <c r="C226" s="1" t="s">
        <v>299</v>
      </c>
      <c r="D226" s="1" t="s">
        <v>18</v>
      </c>
      <c r="E226" s="1" t="s">
        <v>654</v>
      </c>
      <c r="F226" s="4">
        <v>12480</v>
      </c>
      <c r="G226" s="1" t="s">
        <v>19</v>
      </c>
      <c r="H226" s="1" t="s">
        <v>300</v>
      </c>
      <c r="I226" s="6">
        <v>1102</v>
      </c>
      <c r="J226" s="6">
        <v>25072</v>
      </c>
      <c r="K226" s="1" t="str">
        <f t="shared" si="3"/>
        <v>30640382097110225072</v>
      </c>
      <c r="L226" s="5">
        <v>21</v>
      </c>
      <c r="M226" s="12">
        <v>0</v>
      </c>
      <c r="N226" s="12">
        <v>3141621.28</v>
      </c>
      <c r="O226" s="12">
        <v>659740.47</v>
      </c>
      <c r="P226" s="12">
        <v>4036983.35</v>
      </c>
      <c r="Q226" s="1" t="s">
        <v>301</v>
      </c>
      <c r="R226" s="5">
        <v>141372.96</v>
      </c>
      <c r="S226">
        <f>VLOOKUP(K226,'MIS COMPROBANTES'!E:Q,13,FALSE)</f>
        <v>4036983.35</v>
      </c>
    </row>
    <row r="227" spans="1:19" x14ac:dyDescent="0.25">
      <c r="A227" s="3">
        <v>45454</v>
      </c>
      <c r="B227" s="1" t="s">
        <v>298</v>
      </c>
      <c r="C227" s="1" t="s">
        <v>299</v>
      </c>
      <c r="D227" s="1" t="s">
        <v>18</v>
      </c>
      <c r="E227" s="1" t="s">
        <v>654</v>
      </c>
      <c r="F227" s="4">
        <v>12480</v>
      </c>
      <c r="G227" s="1" t="s">
        <v>19</v>
      </c>
      <c r="H227" s="1" t="s">
        <v>300</v>
      </c>
      <c r="I227" s="6">
        <v>1102</v>
      </c>
      <c r="J227" s="6">
        <v>25072</v>
      </c>
      <c r="K227" s="1" t="str">
        <f t="shared" si="3"/>
        <v>30640382097110225072</v>
      </c>
      <c r="L227" s="5">
        <v>3</v>
      </c>
      <c r="M227" s="12">
        <v>0</v>
      </c>
      <c r="N227" s="12">
        <v>0</v>
      </c>
      <c r="O227" s="12">
        <v>94248.639999999999</v>
      </c>
      <c r="P227" s="12">
        <v>0</v>
      </c>
      <c r="Q227" s="1" t="s">
        <v>301</v>
      </c>
      <c r="R227" s="5">
        <v>0</v>
      </c>
      <c r="S227">
        <f>VLOOKUP(K227,'MIS COMPROBANTES'!E:Q,13,FALSE)</f>
        <v>4036983.35</v>
      </c>
    </row>
    <row r="228" spans="1:19" x14ac:dyDescent="0.25">
      <c r="A228" s="3">
        <v>45454</v>
      </c>
      <c r="B228" s="1" t="s">
        <v>97</v>
      </c>
      <c r="C228" s="1" t="s">
        <v>98</v>
      </c>
      <c r="D228" s="1" t="s">
        <v>18</v>
      </c>
      <c r="E228" s="1" t="s">
        <v>607</v>
      </c>
      <c r="F228" s="4">
        <v>12526</v>
      </c>
      <c r="G228" s="1" t="s">
        <v>19</v>
      </c>
      <c r="H228" s="1" t="s">
        <v>302</v>
      </c>
      <c r="I228" s="6">
        <v>2002</v>
      </c>
      <c r="J228" s="6">
        <v>290737</v>
      </c>
      <c r="K228" s="1" t="str">
        <f t="shared" si="3"/>
        <v>305007682622002290737</v>
      </c>
      <c r="L228" s="5">
        <v>21</v>
      </c>
      <c r="M228" s="12">
        <v>0</v>
      </c>
      <c r="N228" s="12">
        <v>9092502.2400000002</v>
      </c>
      <c r="O228" s="12">
        <v>1909425.47</v>
      </c>
      <c r="P228" s="12">
        <v>11683865.390000001</v>
      </c>
      <c r="Q228" s="1" t="s">
        <v>15</v>
      </c>
      <c r="R228" s="5">
        <v>409162.61</v>
      </c>
      <c r="S228">
        <f>VLOOKUP(K228,'MIS COMPROBANTES'!E:Q,13,FALSE)</f>
        <v>11683865.390000001</v>
      </c>
    </row>
    <row r="229" spans="1:19" x14ac:dyDescent="0.25">
      <c r="A229" s="3">
        <v>45454</v>
      </c>
      <c r="B229" s="1" t="s">
        <v>97</v>
      </c>
      <c r="C229" s="1" t="s">
        <v>98</v>
      </c>
      <c r="D229" s="1" t="s">
        <v>18</v>
      </c>
      <c r="E229" s="1" t="s">
        <v>607</v>
      </c>
      <c r="F229" s="4">
        <v>12526</v>
      </c>
      <c r="G229" s="1" t="s">
        <v>19</v>
      </c>
      <c r="H229" s="1" t="s">
        <v>302</v>
      </c>
      <c r="I229" s="6">
        <v>2002</v>
      </c>
      <c r="J229" s="6">
        <v>290737</v>
      </c>
      <c r="K229" s="1" t="str">
        <f t="shared" si="3"/>
        <v>305007682622002290737</v>
      </c>
      <c r="L229" s="5">
        <v>3</v>
      </c>
      <c r="M229" s="12">
        <v>0</v>
      </c>
      <c r="N229" s="12">
        <v>0</v>
      </c>
      <c r="O229" s="12">
        <v>272775.07</v>
      </c>
      <c r="P229" s="12">
        <v>0</v>
      </c>
      <c r="Q229" s="1" t="s">
        <v>15</v>
      </c>
      <c r="R229" s="5">
        <v>0</v>
      </c>
      <c r="S229">
        <f>VLOOKUP(K229,'MIS COMPROBANTES'!E:Q,13,FALSE)</f>
        <v>11683865.390000001</v>
      </c>
    </row>
    <row r="230" spans="1:19" x14ac:dyDescent="0.25">
      <c r="A230" s="3">
        <v>45454</v>
      </c>
      <c r="B230" s="1" t="s">
        <v>303</v>
      </c>
      <c r="C230" s="1" t="s">
        <v>304</v>
      </c>
      <c r="D230" s="1" t="s">
        <v>18</v>
      </c>
      <c r="E230" s="1" t="s">
        <v>655</v>
      </c>
      <c r="F230" s="4">
        <v>12380</v>
      </c>
      <c r="G230" s="1" t="s">
        <v>19</v>
      </c>
      <c r="H230" s="1" t="s">
        <v>305</v>
      </c>
      <c r="I230" s="6">
        <v>5178</v>
      </c>
      <c r="J230" s="6">
        <v>15964</v>
      </c>
      <c r="K230" s="1" t="str">
        <f t="shared" si="3"/>
        <v>30695542476517815964</v>
      </c>
      <c r="L230" s="5">
        <v>21</v>
      </c>
      <c r="M230" s="12">
        <v>10785.14</v>
      </c>
      <c r="N230" s="12">
        <v>116467.7</v>
      </c>
      <c r="O230" s="12">
        <v>24458.22</v>
      </c>
      <c r="P230" s="12">
        <v>155205.09</v>
      </c>
      <c r="Q230" s="1" t="s">
        <v>15</v>
      </c>
      <c r="R230" s="5">
        <v>0</v>
      </c>
      <c r="S230" t="e">
        <f>VLOOKUP(K230,'MIS COMPROBANTES'!E:Q,13,FALSE)</f>
        <v>#N/A</v>
      </c>
    </row>
    <row r="231" spans="1:19" x14ac:dyDescent="0.25">
      <c r="A231" s="3">
        <v>45454</v>
      </c>
      <c r="B231" s="1" t="s">
        <v>303</v>
      </c>
      <c r="C231" s="1" t="s">
        <v>304</v>
      </c>
      <c r="D231" s="1" t="s">
        <v>18</v>
      </c>
      <c r="E231" s="1" t="s">
        <v>655</v>
      </c>
      <c r="F231" s="4">
        <v>12380</v>
      </c>
      <c r="G231" s="1" t="s">
        <v>19</v>
      </c>
      <c r="H231" s="1" t="s">
        <v>305</v>
      </c>
      <c r="I231" s="6">
        <v>5178</v>
      </c>
      <c r="J231" s="6">
        <v>15964</v>
      </c>
      <c r="K231" s="1" t="str">
        <f t="shared" si="3"/>
        <v>30695542476517815964</v>
      </c>
      <c r="L231" s="5">
        <v>3</v>
      </c>
      <c r="M231" s="12">
        <v>0</v>
      </c>
      <c r="N231" s="12">
        <v>0</v>
      </c>
      <c r="O231" s="12">
        <v>3494.03</v>
      </c>
      <c r="P231" s="12">
        <v>0</v>
      </c>
      <c r="Q231" s="1" t="s">
        <v>15</v>
      </c>
      <c r="R231" s="5">
        <v>0</v>
      </c>
      <c r="S231" t="e">
        <f>VLOOKUP(K231,'MIS COMPROBANTES'!E:Q,13,FALSE)</f>
        <v>#N/A</v>
      </c>
    </row>
    <row r="232" spans="1:19" x14ac:dyDescent="0.25">
      <c r="A232" s="3">
        <v>45454</v>
      </c>
      <c r="B232" s="1" t="s">
        <v>129</v>
      </c>
      <c r="C232" s="1" t="s">
        <v>130</v>
      </c>
      <c r="D232" s="1" t="s">
        <v>18</v>
      </c>
      <c r="E232" s="1" t="s">
        <v>615</v>
      </c>
      <c r="F232" s="4">
        <v>12419</v>
      </c>
      <c r="G232" s="1" t="s">
        <v>19</v>
      </c>
      <c r="H232" s="1" t="s">
        <v>306</v>
      </c>
      <c r="I232" s="6">
        <v>6004</v>
      </c>
      <c r="J232" s="6">
        <v>3652135</v>
      </c>
      <c r="K232" s="1" t="str">
        <f t="shared" si="3"/>
        <v>3050111624260043652135</v>
      </c>
      <c r="L232" s="5">
        <v>21</v>
      </c>
      <c r="M232" s="12">
        <v>0</v>
      </c>
      <c r="N232" s="12">
        <v>409458.07</v>
      </c>
      <c r="O232" s="12">
        <v>85986.19</v>
      </c>
      <c r="P232" s="12">
        <v>515917.16</v>
      </c>
      <c r="Q232" s="1" t="s">
        <v>15</v>
      </c>
      <c r="R232" s="5">
        <v>8189.16</v>
      </c>
      <c r="S232">
        <f>VLOOKUP(K232,'MIS COMPROBANTES'!E:Q,13,FALSE)</f>
        <v>515917.16</v>
      </c>
    </row>
    <row r="233" spans="1:19" x14ac:dyDescent="0.25">
      <c r="A233" s="3">
        <v>45454</v>
      </c>
      <c r="B233" s="1" t="s">
        <v>129</v>
      </c>
      <c r="C233" s="1" t="s">
        <v>130</v>
      </c>
      <c r="D233" s="1" t="s">
        <v>18</v>
      </c>
      <c r="E233" s="1" t="s">
        <v>615</v>
      </c>
      <c r="F233" s="4">
        <v>12419</v>
      </c>
      <c r="G233" s="1" t="s">
        <v>19</v>
      </c>
      <c r="H233" s="1" t="s">
        <v>306</v>
      </c>
      <c r="I233" s="6">
        <v>6004</v>
      </c>
      <c r="J233" s="6">
        <v>3652135</v>
      </c>
      <c r="K233" s="1" t="str">
        <f t="shared" si="3"/>
        <v>3050111624260043652135</v>
      </c>
      <c r="L233" s="5">
        <v>3</v>
      </c>
      <c r="M233" s="12">
        <v>0</v>
      </c>
      <c r="N233" s="12">
        <v>0</v>
      </c>
      <c r="O233" s="12">
        <v>12283.74</v>
      </c>
      <c r="P233" s="12">
        <v>0</v>
      </c>
      <c r="Q233" s="1" t="s">
        <v>15</v>
      </c>
      <c r="R233" s="5">
        <v>0</v>
      </c>
      <c r="S233">
        <f>VLOOKUP(K233,'MIS COMPROBANTES'!E:Q,13,FALSE)</f>
        <v>515917.16</v>
      </c>
    </row>
    <row r="234" spans="1:19" x14ac:dyDescent="0.25">
      <c r="A234" s="3">
        <v>45454</v>
      </c>
      <c r="B234" s="1" t="s">
        <v>53</v>
      </c>
      <c r="C234" s="1" t="s">
        <v>54</v>
      </c>
      <c r="D234" s="1" t="s">
        <v>18</v>
      </c>
      <c r="E234" s="1" t="s">
        <v>594</v>
      </c>
      <c r="F234" s="4">
        <v>12523</v>
      </c>
      <c r="G234" s="1" t="s">
        <v>19</v>
      </c>
      <c r="H234" s="1" t="s">
        <v>307</v>
      </c>
      <c r="I234" s="6">
        <v>6156</v>
      </c>
      <c r="J234" s="6">
        <v>6811099</v>
      </c>
      <c r="K234" s="1" t="str">
        <f t="shared" si="3"/>
        <v>3054724233161566811099</v>
      </c>
      <c r="L234" s="5">
        <v>21</v>
      </c>
      <c r="M234" s="12">
        <v>0</v>
      </c>
      <c r="N234" s="12">
        <v>103322.99</v>
      </c>
      <c r="O234" s="12">
        <v>21697.83</v>
      </c>
      <c r="P234" s="12">
        <v>129429.97</v>
      </c>
      <c r="Q234" s="1" t="s">
        <v>15</v>
      </c>
      <c r="R234" s="5">
        <v>2066.46</v>
      </c>
      <c r="S234">
        <f>VLOOKUP(K234,'MIS COMPROBANTES'!E:Q,13,FALSE)</f>
        <v>129429.97</v>
      </c>
    </row>
    <row r="235" spans="1:19" x14ac:dyDescent="0.25">
      <c r="A235" s="3">
        <v>45454</v>
      </c>
      <c r="B235" s="1" t="s">
        <v>53</v>
      </c>
      <c r="C235" s="1" t="s">
        <v>54</v>
      </c>
      <c r="D235" s="1" t="s">
        <v>18</v>
      </c>
      <c r="E235" s="1" t="s">
        <v>594</v>
      </c>
      <c r="F235" s="4">
        <v>12523</v>
      </c>
      <c r="G235" s="1" t="s">
        <v>19</v>
      </c>
      <c r="H235" s="1" t="s">
        <v>307</v>
      </c>
      <c r="I235" s="6">
        <v>6156</v>
      </c>
      <c r="J235" s="6">
        <v>6811099</v>
      </c>
      <c r="K235" s="1" t="str">
        <f t="shared" si="3"/>
        <v>3054724233161566811099</v>
      </c>
      <c r="L235" s="5">
        <v>3</v>
      </c>
      <c r="M235" s="12">
        <v>0</v>
      </c>
      <c r="N235" s="12">
        <v>0</v>
      </c>
      <c r="O235" s="12">
        <v>2342.69</v>
      </c>
      <c r="P235" s="12">
        <v>0</v>
      </c>
      <c r="Q235" s="1" t="s">
        <v>15</v>
      </c>
      <c r="R235" s="5">
        <v>0</v>
      </c>
      <c r="S235">
        <f>VLOOKUP(K235,'MIS COMPROBANTES'!E:Q,13,FALSE)</f>
        <v>129429.97</v>
      </c>
    </row>
    <row r="236" spans="1:19" x14ac:dyDescent="0.25">
      <c r="A236" s="3">
        <v>45454</v>
      </c>
      <c r="B236" s="1" t="s">
        <v>223</v>
      </c>
      <c r="C236" s="1" t="s">
        <v>224</v>
      </c>
      <c r="D236" s="1" t="s">
        <v>18</v>
      </c>
      <c r="E236" s="1" t="s">
        <v>638</v>
      </c>
      <c r="F236" s="4">
        <v>12575</v>
      </c>
      <c r="G236" s="1" t="s">
        <v>31</v>
      </c>
      <c r="H236" s="1" t="s">
        <v>308</v>
      </c>
      <c r="I236" s="6">
        <v>12</v>
      </c>
      <c r="J236" s="6">
        <v>13512</v>
      </c>
      <c r="K236" s="1" t="str">
        <f t="shared" si="3"/>
        <v>306976466271213512</v>
      </c>
      <c r="L236" s="5">
        <v>21</v>
      </c>
      <c r="M236" s="12">
        <v>0</v>
      </c>
      <c r="N236" s="12">
        <v>-496273.91999999998</v>
      </c>
      <c r="O236" s="12">
        <v>-104217.52</v>
      </c>
      <c r="P236" s="12">
        <v>-615379.66</v>
      </c>
      <c r="Q236" s="1" t="s">
        <v>15</v>
      </c>
      <c r="R236" s="5">
        <v>0</v>
      </c>
      <c r="S236">
        <f>VLOOKUP(K236,'MIS COMPROBANTES'!E:Q,13,FALSE)</f>
        <v>615379.66</v>
      </c>
    </row>
    <row r="237" spans="1:19" x14ac:dyDescent="0.25">
      <c r="A237" s="3">
        <v>45454</v>
      </c>
      <c r="B237" s="1" t="s">
        <v>223</v>
      </c>
      <c r="C237" s="1" t="s">
        <v>224</v>
      </c>
      <c r="D237" s="1" t="s">
        <v>18</v>
      </c>
      <c r="E237" s="1" t="s">
        <v>638</v>
      </c>
      <c r="F237" s="4">
        <v>12575</v>
      </c>
      <c r="G237" s="1" t="s">
        <v>31</v>
      </c>
      <c r="H237" s="1" t="s">
        <v>308</v>
      </c>
      <c r="I237" s="6">
        <v>12</v>
      </c>
      <c r="J237" s="6">
        <v>13512</v>
      </c>
      <c r="K237" s="1" t="str">
        <f t="shared" si="3"/>
        <v>306976466271213512</v>
      </c>
      <c r="L237" s="5">
        <v>3</v>
      </c>
      <c r="M237" s="12">
        <v>0</v>
      </c>
      <c r="N237" s="12">
        <v>0</v>
      </c>
      <c r="O237" s="12">
        <v>-14888.22</v>
      </c>
      <c r="P237" s="12">
        <v>0</v>
      </c>
      <c r="Q237" s="1" t="s">
        <v>15</v>
      </c>
      <c r="R237" s="5">
        <v>0</v>
      </c>
      <c r="S237">
        <f>VLOOKUP(K237,'MIS COMPROBANTES'!E:Q,13,FALSE)</f>
        <v>615379.66</v>
      </c>
    </row>
    <row r="238" spans="1:19" x14ac:dyDescent="0.25">
      <c r="A238" s="3">
        <v>45454</v>
      </c>
      <c r="B238" s="1" t="s">
        <v>155</v>
      </c>
      <c r="C238" s="1" t="s">
        <v>156</v>
      </c>
      <c r="D238" s="1" t="s">
        <v>18</v>
      </c>
      <c r="E238" s="1" t="s">
        <v>622</v>
      </c>
      <c r="F238" s="4">
        <v>12357</v>
      </c>
      <c r="G238" s="1" t="s">
        <v>31</v>
      </c>
      <c r="H238" s="1" t="s">
        <v>309</v>
      </c>
      <c r="I238" s="6">
        <v>539</v>
      </c>
      <c r="J238" s="6">
        <v>11958</v>
      </c>
      <c r="K238" s="1" t="str">
        <f t="shared" si="3"/>
        <v>3066319759953911958</v>
      </c>
      <c r="L238" s="5">
        <v>21</v>
      </c>
      <c r="M238" s="12">
        <v>0</v>
      </c>
      <c r="N238" s="12">
        <v>-103713.44</v>
      </c>
      <c r="O238" s="12">
        <v>-21779.82</v>
      </c>
      <c r="P238" s="12">
        <v>-125493.26</v>
      </c>
      <c r="Q238" s="1" t="s">
        <v>15</v>
      </c>
      <c r="R238" s="5">
        <v>0</v>
      </c>
      <c r="S238">
        <f>VLOOKUP(K238,'MIS COMPROBANTES'!E:Q,13,FALSE)</f>
        <v>125493.25</v>
      </c>
    </row>
    <row r="239" spans="1:19" x14ac:dyDescent="0.25">
      <c r="A239" s="3">
        <v>45455</v>
      </c>
      <c r="B239" s="1" t="s">
        <v>310</v>
      </c>
      <c r="C239" s="1" t="s">
        <v>311</v>
      </c>
      <c r="D239" s="1" t="s">
        <v>18</v>
      </c>
      <c r="E239" s="1" t="s">
        <v>656</v>
      </c>
      <c r="F239" s="4">
        <v>12569</v>
      </c>
      <c r="G239" s="1" t="s">
        <v>19</v>
      </c>
      <c r="H239" s="1" t="s">
        <v>312</v>
      </c>
      <c r="I239" s="6">
        <v>1</v>
      </c>
      <c r="J239" s="6">
        <v>103</v>
      </c>
      <c r="K239" s="1" t="str">
        <f t="shared" si="3"/>
        <v>203019714791103</v>
      </c>
      <c r="L239" s="5">
        <v>21</v>
      </c>
      <c r="M239" s="12">
        <v>0</v>
      </c>
      <c r="N239" s="12">
        <v>320000</v>
      </c>
      <c r="O239" s="12">
        <v>67200</v>
      </c>
      <c r="P239" s="12">
        <v>387200</v>
      </c>
      <c r="Q239" s="1" t="s">
        <v>15</v>
      </c>
      <c r="R239" s="5">
        <v>0</v>
      </c>
      <c r="S239">
        <f>VLOOKUP(K239,'MIS COMPROBANTES'!E:Q,13,FALSE)</f>
        <v>387200</v>
      </c>
    </row>
    <row r="240" spans="1:19" x14ac:dyDescent="0.25">
      <c r="A240" s="3">
        <v>45455</v>
      </c>
      <c r="B240" s="1" t="s">
        <v>185</v>
      </c>
      <c r="C240" s="1" t="s">
        <v>186</v>
      </c>
      <c r="D240" s="1" t="s">
        <v>18</v>
      </c>
      <c r="E240" s="1" t="s">
        <v>630</v>
      </c>
      <c r="F240" s="4">
        <v>12872</v>
      </c>
      <c r="G240" s="1" t="s">
        <v>19</v>
      </c>
      <c r="H240" s="1" t="s">
        <v>313</v>
      </c>
      <c r="I240" s="6">
        <v>2</v>
      </c>
      <c r="J240" s="6">
        <v>21775</v>
      </c>
      <c r="K240" s="1" t="str">
        <f t="shared" si="3"/>
        <v>30714786667221775</v>
      </c>
      <c r="L240" s="5">
        <v>21</v>
      </c>
      <c r="M240" s="12">
        <v>0</v>
      </c>
      <c r="N240" s="12">
        <v>8649450</v>
      </c>
      <c r="O240" s="12">
        <v>1816384.5</v>
      </c>
      <c r="P240" s="12">
        <v>10638823.5</v>
      </c>
      <c r="Q240" s="1" t="s">
        <v>15</v>
      </c>
      <c r="R240" s="5">
        <v>172989</v>
      </c>
      <c r="S240">
        <f>VLOOKUP(K240,'MIS COMPROBANTES'!E:Q,13,FALSE)</f>
        <v>10638823.5</v>
      </c>
    </row>
    <row r="241" spans="1:19" x14ac:dyDescent="0.25">
      <c r="A241" s="3">
        <v>45455</v>
      </c>
      <c r="B241" s="1" t="s">
        <v>70</v>
      </c>
      <c r="C241" s="1" t="s">
        <v>71</v>
      </c>
      <c r="D241" s="1" t="s">
        <v>18</v>
      </c>
      <c r="E241" s="1" t="s">
        <v>599</v>
      </c>
      <c r="F241" s="4">
        <v>12427</v>
      </c>
      <c r="G241" s="1" t="s">
        <v>19</v>
      </c>
      <c r="H241" s="1" t="s">
        <v>314</v>
      </c>
      <c r="I241" s="6">
        <v>3</v>
      </c>
      <c r="J241" s="6">
        <v>101337</v>
      </c>
      <c r="K241" s="1" t="str">
        <f t="shared" si="3"/>
        <v>307039574783101337</v>
      </c>
      <c r="L241" s="5">
        <v>21</v>
      </c>
      <c r="M241" s="12">
        <v>0</v>
      </c>
      <c r="N241" s="12">
        <v>1265795.04</v>
      </c>
      <c r="O241" s="12">
        <v>265816.96000000002</v>
      </c>
      <c r="P241" s="12">
        <v>1556927.9</v>
      </c>
      <c r="Q241" s="1" t="s">
        <v>15</v>
      </c>
      <c r="R241" s="5">
        <v>25315.9</v>
      </c>
      <c r="S241">
        <f>VLOOKUP(K241,'MIS COMPROBANTES'!E:Q,13,FALSE)</f>
        <v>1556927.9</v>
      </c>
    </row>
    <row r="242" spans="1:19" x14ac:dyDescent="0.25">
      <c r="A242" s="3">
        <v>45455</v>
      </c>
      <c r="B242" s="1" t="s">
        <v>315</v>
      </c>
      <c r="C242" s="1" t="s">
        <v>316</v>
      </c>
      <c r="D242" s="1" t="s">
        <v>18</v>
      </c>
      <c r="E242" s="1" t="s">
        <v>657</v>
      </c>
      <c r="F242" s="4">
        <v>12479</v>
      </c>
      <c r="G242" s="1" t="s">
        <v>19</v>
      </c>
      <c r="H242" s="1" t="s">
        <v>317</v>
      </c>
      <c r="I242" s="6">
        <v>4</v>
      </c>
      <c r="J242" s="6">
        <v>29569</v>
      </c>
      <c r="K242" s="1" t="str">
        <f t="shared" si="3"/>
        <v>30645830446429569</v>
      </c>
      <c r="L242" s="5">
        <v>21</v>
      </c>
      <c r="M242" s="12">
        <v>0</v>
      </c>
      <c r="N242" s="12">
        <v>1918662</v>
      </c>
      <c r="O242" s="12">
        <v>402919.02</v>
      </c>
      <c r="P242" s="12">
        <v>2407920.81</v>
      </c>
      <c r="Q242" s="1" t="s">
        <v>15</v>
      </c>
      <c r="R242" s="5">
        <v>86339.79</v>
      </c>
      <c r="S242">
        <f>VLOOKUP(K242,'MIS COMPROBANTES'!E:Q,13,FALSE)</f>
        <v>2407920.81</v>
      </c>
    </row>
    <row r="243" spans="1:19" x14ac:dyDescent="0.25">
      <c r="A243" s="3">
        <v>45455</v>
      </c>
      <c r="B243" s="1" t="s">
        <v>318</v>
      </c>
      <c r="C243" s="1" t="s">
        <v>319</v>
      </c>
      <c r="D243" s="1" t="s">
        <v>18</v>
      </c>
      <c r="E243" s="1" t="s">
        <v>658</v>
      </c>
      <c r="F243" s="4">
        <v>12399</v>
      </c>
      <c r="G243" s="1" t="s">
        <v>19</v>
      </c>
      <c r="H243" s="1" t="s">
        <v>320</v>
      </c>
      <c r="I243" s="6">
        <v>12</v>
      </c>
      <c r="J243" s="6">
        <v>48134</v>
      </c>
      <c r="K243" s="1" t="str">
        <f t="shared" si="3"/>
        <v>307091141031248134</v>
      </c>
      <c r="L243" s="5">
        <v>21</v>
      </c>
      <c r="M243" s="12">
        <v>9868.75</v>
      </c>
      <c r="N243" s="12">
        <v>57959.71</v>
      </c>
      <c r="O243" s="12">
        <v>12171.54</v>
      </c>
      <c r="P243" s="12">
        <v>80000</v>
      </c>
      <c r="Q243" s="1" t="s">
        <v>15</v>
      </c>
      <c r="R243" s="5">
        <v>0</v>
      </c>
      <c r="S243" t="e">
        <f>VLOOKUP(K243,'MIS COMPROBANTES'!E:Q,13,FALSE)</f>
        <v>#N/A</v>
      </c>
    </row>
    <row r="244" spans="1:19" x14ac:dyDescent="0.25">
      <c r="A244" s="3">
        <v>45455</v>
      </c>
      <c r="B244" s="1" t="s">
        <v>321</v>
      </c>
      <c r="C244" s="1" t="s">
        <v>322</v>
      </c>
      <c r="D244" s="1" t="s">
        <v>18</v>
      </c>
      <c r="E244" s="1" t="s">
        <v>659</v>
      </c>
      <c r="F244" s="4">
        <v>12423</v>
      </c>
      <c r="G244" s="1" t="s">
        <v>19</v>
      </c>
      <c r="H244" s="1" t="s">
        <v>323</v>
      </c>
      <c r="I244" s="6">
        <v>32</v>
      </c>
      <c r="J244" s="6">
        <v>82792</v>
      </c>
      <c r="K244" s="1" t="str">
        <f t="shared" si="3"/>
        <v>305012142793282792</v>
      </c>
      <c r="L244" s="5">
        <v>21</v>
      </c>
      <c r="M244" s="12">
        <v>0.01</v>
      </c>
      <c r="N244" s="12">
        <v>3914034.18</v>
      </c>
      <c r="O244" s="12">
        <v>821947.18</v>
      </c>
      <c r="P244" s="12">
        <v>5029533.93</v>
      </c>
      <c r="Q244" s="1" t="s">
        <v>15</v>
      </c>
      <c r="R244" s="5">
        <v>176131.53</v>
      </c>
      <c r="S244">
        <f>VLOOKUP(K244,'MIS COMPROBANTES'!E:Q,13,FALSE)</f>
        <v>5029533.93</v>
      </c>
    </row>
    <row r="245" spans="1:19" x14ac:dyDescent="0.25">
      <c r="A245" s="3">
        <v>45455</v>
      </c>
      <c r="B245" s="1" t="s">
        <v>321</v>
      </c>
      <c r="C245" s="1" t="s">
        <v>322</v>
      </c>
      <c r="D245" s="1" t="s">
        <v>18</v>
      </c>
      <c r="E245" s="1" t="s">
        <v>659</v>
      </c>
      <c r="F245" s="4">
        <v>12423</v>
      </c>
      <c r="G245" s="1" t="s">
        <v>19</v>
      </c>
      <c r="H245" s="1" t="s">
        <v>323</v>
      </c>
      <c r="I245" s="6">
        <v>32</v>
      </c>
      <c r="J245" s="6">
        <v>82792</v>
      </c>
      <c r="K245" s="1" t="str">
        <f t="shared" si="3"/>
        <v>305012142793282792</v>
      </c>
      <c r="L245" s="5">
        <v>3</v>
      </c>
      <c r="M245" s="12">
        <v>0</v>
      </c>
      <c r="N245" s="12">
        <v>0</v>
      </c>
      <c r="O245" s="12">
        <v>117421.03</v>
      </c>
      <c r="P245" s="12">
        <v>0</v>
      </c>
      <c r="Q245" s="1" t="s">
        <v>15</v>
      </c>
      <c r="R245" s="5">
        <v>0</v>
      </c>
      <c r="S245">
        <f>VLOOKUP(K245,'MIS COMPROBANTES'!E:Q,13,FALSE)</f>
        <v>5029533.93</v>
      </c>
    </row>
    <row r="246" spans="1:19" x14ac:dyDescent="0.25">
      <c r="A246" s="3">
        <v>45455</v>
      </c>
      <c r="B246" s="1" t="s">
        <v>193</v>
      </c>
      <c r="C246" s="1" t="s">
        <v>194</v>
      </c>
      <c r="D246" s="1" t="s">
        <v>18</v>
      </c>
      <c r="E246" s="1" t="s">
        <v>632</v>
      </c>
      <c r="F246" s="4">
        <v>12579</v>
      </c>
      <c r="G246" s="1" t="s">
        <v>19</v>
      </c>
      <c r="H246" s="1" t="s">
        <v>324</v>
      </c>
      <c r="I246" s="6">
        <v>115</v>
      </c>
      <c r="J246" s="6">
        <v>143823</v>
      </c>
      <c r="K246" s="1" t="str">
        <f t="shared" si="3"/>
        <v>30629646708115143823</v>
      </c>
      <c r="L246" s="5">
        <v>10.5</v>
      </c>
      <c r="M246" s="12">
        <v>0</v>
      </c>
      <c r="N246" s="12">
        <v>169217.12</v>
      </c>
      <c r="O246" s="12">
        <v>17767.8</v>
      </c>
      <c r="P246" s="12">
        <v>191215.35</v>
      </c>
      <c r="Q246" s="1" t="s">
        <v>15</v>
      </c>
      <c r="R246" s="5">
        <v>4230.43</v>
      </c>
      <c r="S246">
        <f>VLOOKUP(K246,'MIS COMPROBANTES'!E:Q,13,FALSE)</f>
        <v>191215.35</v>
      </c>
    </row>
    <row r="247" spans="1:19" x14ac:dyDescent="0.25">
      <c r="A247" s="3">
        <v>45455</v>
      </c>
      <c r="B247" s="1" t="s">
        <v>193</v>
      </c>
      <c r="C247" s="1" t="s">
        <v>194</v>
      </c>
      <c r="D247" s="1" t="s">
        <v>18</v>
      </c>
      <c r="E247" s="1" t="s">
        <v>632</v>
      </c>
      <c r="F247" s="4">
        <v>12580</v>
      </c>
      <c r="G247" s="1" t="s">
        <v>19</v>
      </c>
      <c r="H247" s="1" t="s">
        <v>325</v>
      </c>
      <c r="I247" s="6">
        <v>115</v>
      </c>
      <c r="J247" s="6">
        <v>143824</v>
      </c>
      <c r="K247" s="1" t="str">
        <f t="shared" si="3"/>
        <v>30629646708115143824</v>
      </c>
      <c r="L247" s="5">
        <v>21</v>
      </c>
      <c r="M247" s="12">
        <v>0</v>
      </c>
      <c r="N247" s="12">
        <v>1051988.2</v>
      </c>
      <c r="O247" s="12">
        <v>220917.52</v>
      </c>
      <c r="P247" s="12">
        <v>1351804.83</v>
      </c>
      <c r="Q247" s="1" t="s">
        <v>15</v>
      </c>
      <c r="R247" s="5">
        <v>47339.46</v>
      </c>
      <c r="S247">
        <f>VLOOKUP(K247,'MIS COMPROBANTES'!E:Q,13,FALSE)</f>
        <v>1351804.82</v>
      </c>
    </row>
    <row r="248" spans="1:19" x14ac:dyDescent="0.25">
      <c r="A248" s="3">
        <v>45455</v>
      </c>
      <c r="B248" s="1" t="s">
        <v>193</v>
      </c>
      <c r="C248" s="1" t="s">
        <v>194</v>
      </c>
      <c r="D248" s="1" t="s">
        <v>18</v>
      </c>
      <c r="E248" s="1" t="s">
        <v>632</v>
      </c>
      <c r="F248" s="4">
        <v>12580</v>
      </c>
      <c r="G248" s="1" t="s">
        <v>19</v>
      </c>
      <c r="H248" s="1" t="s">
        <v>325</v>
      </c>
      <c r="I248" s="6">
        <v>115</v>
      </c>
      <c r="J248" s="6">
        <v>143824</v>
      </c>
      <c r="K248" s="1" t="str">
        <f t="shared" si="3"/>
        <v>30629646708115143824</v>
      </c>
      <c r="L248" s="5">
        <v>3</v>
      </c>
      <c r="M248" s="12">
        <v>0</v>
      </c>
      <c r="N248" s="12">
        <v>0</v>
      </c>
      <c r="O248" s="12">
        <v>31559.65</v>
      </c>
      <c r="P248" s="12">
        <v>0</v>
      </c>
      <c r="Q248" s="1" t="s">
        <v>15</v>
      </c>
      <c r="R248" s="5">
        <v>0</v>
      </c>
      <c r="S248">
        <f>VLOOKUP(K248,'MIS COMPROBANTES'!E:Q,13,FALSE)</f>
        <v>1351804.82</v>
      </c>
    </row>
    <row r="249" spans="1:19" x14ac:dyDescent="0.25">
      <c r="A249" s="3">
        <v>45455</v>
      </c>
      <c r="B249" s="1" t="s">
        <v>155</v>
      </c>
      <c r="C249" s="1" t="s">
        <v>156</v>
      </c>
      <c r="D249" s="1" t="s">
        <v>18</v>
      </c>
      <c r="E249" s="1" t="s">
        <v>622</v>
      </c>
      <c r="F249" s="4">
        <v>12471</v>
      </c>
      <c r="G249" s="1" t="s">
        <v>19</v>
      </c>
      <c r="H249" s="1" t="s">
        <v>326</v>
      </c>
      <c r="I249" s="6">
        <v>539</v>
      </c>
      <c r="J249" s="6">
        <v>41282</v>
      </c>
      <c r="K249" s="1" t="str">
        <f t="shared" si="3"/>
        <v>3066319759953941282</v>
      </c>
      <c r="L249" s="5">
        <v>21</v>
      </c>
      <c r="M249" s="12">
        <v>0</v>
      </c>
      <c r="N249" s="12">
        <v>833129.58</v>
      </c>
      <c r="O249" s="12">
        <v>174957.22</v>
      </c>
      <c r="P249" s="12">
        <v>1024749.39</v>
      </c>
      <c r="Q249" s="1" t="s">
        <v>15</v>
      </c>
      <c r="R249" s="5">
        <v>16662.59</v>
      </c>
      <c r="S249">
        <f>VLOOKUP(K249,'MIS COMPROBANTES'!E:Q,13,FALSE)</f>
        <v>1024749.38</v>
      </c>
    </row>
    <row r="250" spans="1:19" x14ac:dyDescent="0.25">
      <c r="A250" s="3">
        <v>45455</v>
      </c>
      <c r="B250" s="1" t="s">
        <v>796</v>
      </c>
      <c r="C250" s="1" t="s">
        <v>742</v>
      </c>
      <c r="D250" s="1" t="s">
        <v>18</v>
      </c>
      <c r="E250" s="1" t="s">
        <v>813</v>
      </c>
      <c r="F250" s="4">
        <v>12922</v>
      </c>
      <c r="G250" s="1" t="s">
        <v>19</v>
      </c>
      <c r="H250" s="1" t="s">
        <v>806</v>
      </c>
      <c r="I250" s="6">
        <v>601</v>
      </c>
      <c r="J250" s="6">
        <v>265055</v>
      </c>
      <c r="K250" s="1" t="str">
        <f t="shared" si="3"/>
        <v>30525390086601265055</v>
      </c>
      <c r="L250" s="5">
        <v>21</v>
      </c>
      <c r="M250" s="12">
        <v>145390.51999999999</v>
      </c>
      <c r="N250" s="12">
        <v>1744125.82</v>
      </c>
      <c r="O250" s="12">
        <v>366266.42</v>
      </c>
      <c r="P250" s="12">
        <v>2345896.86</v>
      </c>
      <c r="Q250" s="1" t="s">
        <v>15</v>
      </c>
      <c r="R250" s="5">
        <v>37790.32</v>
      </c>
      <c r="S250">
        <f>VLOOKUP(K250,'MIS COMPROBANTES'!E:Q,13,FALSE)</f>
        <v>2345896.86</v>
      </c>
    </row>
    <row r="251" spans="1:19" x14ac:dyDescent="0.25">
      <c r="A251" s="3">
        <v>45455</v>
      </c>
      <c r="B251" s="1" t="s">
        <v>796</v>
      </c>
      <c r="C251" s="1" t="s">
        <v>742</v>
      </c>
      <c r="D251" s="1" t="s">
        <v>18</v>
      </c>
      <c r="E251" s="1" t="s">
        <v>813</v>
      </c>
      <c r="F251" s="4">
        <v>12922</v>
      </c>
      <c r="G251" s="1" t="s">
        <v>19</v>
      </c>
      <c r="H251" s="1" t="s">
        <v>806</v>
      </c>
      <c r="I251" s="6">
        <v>601</v>
      </c>
      <c r="J251" s="6">
        <v>265055</v>
      </c>
      <c r="K251" s="1" t="str">
        <f t="shared" si="3"/>
        <v>30525390086601265055</v>
      </c>
      <c r="L251" s="5">
        <v>3</v>
      </c>
      <c r="M251" s="12">
        <v>0</v>
      </c>
      <c r="N251" s="12">
        <v>0</v>
      </c>
      <c r="O251" s="12">
        <v>52323.78</v>
      </c>
      <c r="P251" s="12">
        <v>0</v>
      </c>
      <c r="Q251" s="1" t="s">
        <v>15</v>
      </c>
      <c r="R251" s="5">
        <v>0</v>
      </c>
      <c r="S251">
        <f>VLOOKUP(K251,'MIS COMPROBANTES'!E:Q,13,FALSE)</f>
        <v>2345896.86</v>
      </c>
    </row>
    <row r="252" spans="1:19" x14ac:dyDescent="0.25">
      <c r="A252" s="3">
        <v>45455</v>
      </c>
      <c r="B252" s="1" t="s">
        <v>796</v>
      </c>
      <c r="C252" s="1" t="s">
        <v>742</v>
      </c>
      <c r="D252" s="1" t="s">
        <v>18</v>
      </c>
      <c r="E252" s="1" t="s">
        <v>813</v>
      </c>
      <c r="F252" s="4">
        <v>12924</v>
      </c>
      <c r="G252" s="1" t="s">
        <v>19</v>
      </c>
      <c r="H252" s="1" t="s">
        <v>807</v>
      </c>
      <c r="I252" s="6">
        <v>601</v>
      </c>
      <c r="J252" s="6">
        <v>265062</v>
      </c>
      <c r="K252" s="1" t="str">
        <f t="shared" si="3"/>
        <v>30525390086601265062</v>
      </c>
      <c r="L252" s="5">
        <v>21</v>
      </c>
      <c r="M252" s="12">
        <v>139613.71</v>
      </c>
      <c r="N252" s="12">
        <v>1605493.5</v>
      </c>
      <c r="O252" s="12">
        <v>337153.63</v>
      </c>
      <c r="P252" s="12">
        <v>2165327.79</v>
      </c>
      <c r="Q252" s="1" t="s">
        <v>15</v>
      </c>
      <c r="R252" s="5">
        <v>34902.14</v>
      </c>
      <c r="S252">
        <f>VLOOKUP(K252,'MIS COMPROBANTES'!E:Q,13,FALSE)</f>
        <v>2165327.79</v>
      </c>
    </row>
    <row r="253" spans="1:19" x14ac:dyDescent="0.25">
      <c r="A253" s="3">
        <v>45455</v>
      </c>
      <c r="B253" s="1" t="s">
        <v>796</v>
      </c>
      <c r="C253" s="1" t="s">
        <v>742</v>
      </c>
      <c r="D253" s="1" t="s">
        <v>18</v>
      </c>
      <c r="E253" s="1" t="s">
        <v>813</v>
      </c>
      <c r="F253" s="4">
        <v>12924</v>
      </c>
      <c r="G253" s="1" t="s">
        <v>19</v>
      </c>
      <c r="H253" s="1" t="s">
        <v>807</v>
      </c>
      <c r="I253" s="6">
        <v>601</v>
      </c>
      <c r="J253" s="6">
        <v>265062</v>
      </c>
      <c r="K253" s="1" t="str">
        <f t="shared" si="3"/>
        <v>30525390086601265062</v>
      </c>
      <c r="L253" s="5">
        <v>3</v>
      </c>
      <c r="M253" s="12">
        <v>0</v>
      </c>
      <c r="N253" s="12">
        <v>0</v>
      </c>
      <c r="O253" s="12">
        <v>48164.81</v>
      </c>
      <c r="P253" s="12">
        <v>0</v>
      </c>
      <c r="Q253" s="1" t="s">
        <v>15</v>
      </c>
      <c r="R253" s="5">
        <v>0</v>
      </c>
      <c r="S253">
        <f>VLOOKUP(K253,'MIS COMPROBANTES'!E:Q,13,FALSE)</f>
        <v>2165327.79</v>
      </c>
    </row>
    <row r="254" spans="1:19" x14ac:dyDescent="0.25">
      <c r="A254" s="3">
        <v>45455</v>
      </c>
      <c r="B254" s="1" t="s">
        <v>202</v>
      </c>
      <c r="C254" s="1" t="s">
        <v>203</v>
      </c>
      <c r="D254" s="1" t="s">
        <v>18</v>
      </c>
      <c r="E254" s="1" t="s">
        <v>633</v>
      </c>
      <c r="F254" s="4">
        <v>12397</v>
      </c>
      <c r="G254" s="1" t="s">
        <v>19</v>
      </c>
      <c r="H254" s="1" t="s">
        <v>327</v>
      </c>
      <c r="I254" s="6">
        <v>7882</v>
      </c>
      <c r="J254" s="6">
        <v>27528</v>
      </c>
      <c r="K254" s="1" t="str">
        <f t="shared" si="3"/>
        <v>30678774495788227528</v>
      </c>
      <c r="L254" s="5">
        <v>21</v>
      </c>
      <c r="M254" s="12">
        <v>5994.01</v>
      </c>
      <c r="N254" s="12">
        <v>68596.649999999994</v>
      </c>
      <c r="O254" s="12">
        <v>14405.3</v>
      </c>
      <c r="P254" s="12">
        <v>90487.77</v>
      </c>
      <c r="Q254" s="1" t="s">
        <v>15</v>
      </c>
      <c r="R254" s="5">
        <v>1491.81</v>
      </c>
      <c r="S254">
        <f>VLOOKUP(K254,'MIS COMPROBANTES'!E:Q,13,FALSE)</f>
        <v>90487.77</v>
      </c>
    </row>
    <row r="255" spans="1:19" x14ac:dyDescent="0.25">
      <c r="A255" s="3">
        <v>45455</v>
      </c>
      <c r="B255" s="1" t="s">
        <v>796</v>
      </c>
      <c r="C255" s="1" t="s">
        <v>742</v>
      </c>
      <c r="D255" s="1" t="s">
        <v>18</v>
      </c>
      <c r="E255" s="1" t="s">
        <v>813</v>
      </c>
      <c r="F255" s="4">
        <v>12925</v>
      </c>
      <c r="G255" s="1" t="s">
        <v>31</v>
      </c>
      <c r="H255" s="1" t="s">
        <v>808</v>
      </c>
      <c r="I255" s="6">
        <v>603</v>
      </c>
      <c r="J255" s="6">
        <v>57111</v>
      </c>
      <c r="K255" s="1" t="str">
        <f t="shared" si="3"/>
        <v>3052539008660357111</v>
      </c>
      <c r="L255" s="5">
        <v>21</v>
      </c>
      <c r="M255" s="12">
        <v>-16753.650000000001</v>
      </c>
      <c r="N255" s="12">
        <v>-192659.22</v>
      </c>
      <c r="O255" s="12">
        <v>-40458.44</v>
      </c>
      <c r="P255" s="12">
        <v>-255651.08</v>
      </c>
      <c r="Q255" s="1" t="s">
        <v>15</v>
      </c>
      <c r="R255" s="5">
        <v>0</v>
      </c>
      <c r="S255">
        <f>VLOOKUP(K255,'MIS COMPROBANTES'!E:Q,13,FALSE)</f>
        <v>255651.08</v>
      </c>
    </row>
    <row r="256" spans="1:19" x14ac:dyDescent="0.25">
      <c r="A256" s="3">
        <v>45455</v>
      </c>
      <c r="B256" s="1" t="s">
        <v>796</v>
      </c>
      <c r="C256" s="1" t="s">
        <v>742</v>
      </c>
      <c r="D256" s="1" t="s">
        <v>18</v>
      </c>
      <c r="E256" s="1" t="s">
        <v>813</v>
      </c>
      <c r="F256" s="4">
        <v>12925</v>
      </c>
      <c r="G256" s="1" t="s">
        <v>31</v>
      </c>
      <c r="H256" s="1" t="s">
        <v>808</v>
      </c>
      <c r="I256" s="6">
        <v>603</v>
      </c>
      <c r="J256" s="6">
        <v>57111</v>
      </c>
      <c r="K256" s="1" t="str">
        <f t="shared" si="3"/>
        <v>3052539008660357111</v>
      </c>
      <c r="L256" s="5">
        <v>3</v>
      </c>
      <c r="M256" s="12">
        <v>0</v>
      </c>
      <c r="N256" s="12">
        <v>0</v>
      </c>
      <c r="O256" s="12">
        <v>-5779.77</v>
      </c>
      <c r="P256" s="12">
        <v>0</v>
      </c>
      <c r="Q256" s="1" t="s">
        <v>15</v>
      </c>
      <c r="R256" s="5">
        <v>0</v>
      </c>
      <c r="S256">
        <f>VLOOKUP(K256,'MIS COMPROBANTES'!E:Q,13,FALSE)</f>
        <v>255651.08</v>
      </c>
    </row>
    <row r="257" spans="1:19" x14ac:dyDescent="0.25">
      <c r="A257" s="3">
        <v>45456</v>
      </c>
      <c r="B257" s="1" t="s">
        <v>16</v>
      </c>
      <c r="C257" s="1" t="s">
        <v>17</v>
      </c>
      <c r="D257" s="1" t="s">
        <v>18</v>
      </c>
      <c r="E257" s="1" t="s">
        <v>584</v>
      </c>
      <c r="F257" s="4">
        <v>12624</v>
      </c>
      <c r="G257" s="1" t="s">
        <v>19</v>
      </c>
      <c r="H257" s="1" t="s">
        <v>328</v>
      </c>
      <c r="I257" s="6">
        <v>2024</v>
      </c>
      <c r="J257" s="6">
        <v>10315491</v>
      </c>
      <c r="K257" s="1" t="str">
        <f t="shared" ref="K257:K318" si="4">CONCATENATE(E257,I257,J257)</f>
        <v>30500008454202410315491</v>
      </c>
      <c r="L257" s="5">
        <v>10.5</v>
      </c>
      <c r="M257" s="12">
        <v>2618609.33</v>
      </c>
      <c r="N257" s="12">
        <v>1305821.92</v>
      </c>
      <c r="O257" s="12">
        <v>137111.29999999999</v>
      </c>
      <c r="P257" s="12">
        <v>4107246.32</v>
      </c>
      <c r="Q257" s="1" t="s">
        <v>15</v>
      </c>
      <c r="R257" s="5">
        <v>26116.44</v>
      </c>
      <c r="S257" t="e">
        <f>VLOOKUP(K257,'MIS COMPROBANTES'!E:Q,13,FALSE)</f>
        <v>#N/A</v>
      </c>
    </row>
    <row r="258" spans="1:19" x14ac:dyDescent="0.25">
      <c r="A258" s="3">
        <v>45456</v>
      </c>
      <c r="B258" s="1" t="s">
        <v>16</v>
      </c>
      <c r="C258" s="1" t="s">
        <v>17</v>
      </c>
      <c r="D258" s="1" t="s">
        <v>18</v>
      </c>
      <c r="E258" s="1" t="s">
        <v>584</v>
      </c>
      <c r="F258" s="4">
        <v>12624</v>
      </c>
      <c r="G258" s="1" t="s">
        <v>19</v>
      </c>
      <c r="H258" s="1" t="s">
        <v>328</v>
      </c>
      <c r="I258" s="6">
        <v>2024</v>
      </c>
      <c r="J258" s="6">
        <v>10315491</v>
      </c>
      <c r="K258" s="1" t="str">
        <f t="shared" si="4"/>
        <v>30500008454202410315491</v>
      </c>
      <c r="L258" s="5">
        <v>1.5</v>
      </c>
      <c r="M258" s="12">
        <v>0</v>
      </c>
      <c r="N258" s="12">
        <v>0</v>
      </c>
      <c r="O258" s="12">
        <v>19587.330000000002</v>
      </c>
      <c r="P258" s="12">
        <v>0</v>
      </c>
      <c r="Q258" s="1" t="s">
        <v>15</v>
      </c>
      <c r="R258" s="5">
        <v>0</v>
      </c>
      <c r="S258" t="e">
        <f>VLOOKUP(K258,'MIS COMPROBANTES'!E:Q,13,FALSE)</f>
        <v>#N/A</v>
      </c>
    </row>
    <row r="259" spans="1:19" x14ac:dyDescent="0.25">
      <c r="A259" s="3">
        <v>45456</v>
      </c>
      <c r="B259" s="1" t="s">
        <v>16</v>
      </c>
      <c r="C259" s="1" t="s">
        <v>17</v>
      </c>
      <c r="D259" s="1" t="s">
        <v>18</v>
      </c>
      <c r="E259" s="1" t="s">
        <v>584</v>
      </c>
      <c r="F259" s="4">
        <v>12486</v>
      </c>
      <c r="G259" s="1" t="s">
        <v>19</v>
      </c>
      <c r="H259" s="1" t="s">
        <v>329</v>
      </c>
      <c r="I259" s="6">
        <v>2024</v>
      </c>
      <c r="J259" s="6">
        <v>90006101</v>
      </c>
      <c r="K259" s="1" t="str">
        <f t="shared" si="4"/>
        <v>30500008454202490006101</v>
      </c>
      <c r="L259" s="5">
        <v>10.5</v>
      </c>
      <c r="M259" s="12">
        <v>9866.2099999999991</v>
      </c>
      <c r="N259" s="12">
        <v>217878.76</v>
      </c>
      <c r="O259" s="12">
        <v>22877.27</v>
      </c>
      <c r="P259" s="12">
        <v>257989.14</v>
      </c>
      <c r="Q259" s="1" t="s">
        <v>15</v>
      </c>
      <c r="R259" s="5">
        <v>4209.66</v>
      </c>
      <c r="S259" t="e">
        <f>VLOOKUP(K259,'MIS COMPROBANTES'!E:Q,13,FALSE)</f>
        <v>#N/A</v>
      </c>
    </row>
    <row r="260" spans="1:19" x14ac:dyDescent="0.25">
      <c r="A260" s="3">
        <v>45456</v>
      </c>
      <c r="B260" s="1" t="s">
        <v>16</v>
      </c>
      <c r="C260" s="1" t="s">
        <v>17</v>
      </c>
      <c r="D260" s="1" t="s">
        <v>18</v>
      </c>
      <c r="E260" s="1" t="s">
        <v>584</v>
      </c>
      <c r="F260" s="4">
        <v>12486</v>
      </c>
      <c r="G260" s="1" t="s">
        <v>19</v>
      </c>
      <c r="H260" s="1" t="s">
        <v>329</v>
      </c>
      <c r="I260" s="6">
        <v>2024</v>
      </c>
      <c r="J260" s="6">
        <v>90006101</v>
      </c>
      <c r="K260" s="1" t="str">
        <f t="shared" si="4"/>
        <v>30500008454202490006101</v>
      </c>
      <c r="L260" s="5">
        <v>1.5</v>
      </c>
      <c r="M260" s="12">
        <v>0</v>
      </c>
      <c r="N260" s="12">
        <v>0</v>
      </c>
      <c r="O260" s="12">
        <v>3157.24</v>
      </c>
      <c r="P260" s="12">
        <v>0</v>
      </c>
      <c r="Q260" s="1" t="s">
        <v>15</v>
      </c>
      <c r="R260" s="5">
        <v>0</v>
      </c>
      <c r="S260" t="e">
        <f>VLOOKUP(K260,'MIS COMPROBANTES'!E:Q,13,FALSE)</f>
        <v>#N/A</v>
      </c>
    </row>
    <row r="261" spans="1:19" x14ac:dyDescent="0.25">
      <c r="A261" s="3">
        <v>45456</v>
      </c>
      <c r="B261" s="1" t="s">
        <v>16</v>
      </c>
      <c r="C261" s="1" t="s">
        <v>17</v>
      </c>
      <c r="D261" s="1" t="s">
        <v>18</v>
      </c>
      <c r="E261" s="1" t="s">
        <v>584</v>
      </c>
      <c r="F261" s="4">
        <v>12487</v>
      </c>
      <c r="G261" s="1" t="s">
        <v>19</v>
      </c>
      <c r="H261" s="1" t="s">
        <v>330</v>
      </c>
      <c r="I261" s="6">
        <v>2024</v>
      </c>
      <c r="J261" s="6">
        <v>90014301</v>
      </c>
      <c r="K261" s="1" t="str">
        <f t="shared" si="4"/>
        <v>30500008454202490014301</v>
      </c>
      <c r="L261" s="5">
        <v>10.5</v>
      </c>
      <c r="M261" s="12">
        <v>9748.83</v>
      </c>
      <c r="N261" s="12">
        <v>215286.22</v>
      </c>
      <c r="O261" s="12">
        <v>22605.07</v>
      </c>
      <c r="P261" s="12">
        <v>254807.88</v>
      </c>
      <c r="Q261" s="1" t="s">
        <v>15</v>
      </c>
      <c r="R261" s="5">
        <v>4095.86</v>
      </c>
      <c r="S261" t="e">
        <f>VLOOKUP(K261,'MIS COMPROBANTES'!E:Q,13,FALSE)</f>
        <v>#N/A</v>
      </c>
    </row>
    <row r="262" spans="1:19" x14ac:dyDescent="0.25">
      <c r="A262" s="3">
        <v>45456</v>
      </c>
      <c r="B262" s="1" t="s">
        <v>16</v>
      </c>
      <c r="C262" s="1" t="s">
        <v>17</v>
      </c>
      <c r="D262" s="1" t="s">
        <v>18</v>
      </c>
      <c r="E262" s="1" t="s">
        <v>584</v>
      </c>
      <c r="F262" s="4">
        <v>12487</v>
      </c>
      <c r="G262" s="1" t="s">
        <v>19</v>
      </c>
      <c r="H262" s="1" t="s">
        <v>330</v>
      </c>
      <c r="I262" s="6">
        <v>2024</v>
      </c>
      <c r="J262" s="6">
        <v>90014301</v>
      </c>
      <c r="K262" s="1" t="str">
        <f t="shared" si="4"/>
        <v>30500008454202490014301</v>
      </c>
      <c r="L262" s="5">
        <v>1.5</v>
      </c>
      <c r="M262" s="12">
        <v>0</v>
      </c>
      <c r="N262" s="12">
        <v>0</v>
      </c>
      <c r="O262" s="12">
        <v>3071.9</v>
      </c>
      <c r="P262" s="12">
        <v>0</v>
      </c>
      <c r="Q262" s="1" t="s">
        <v>15</v>
      </c>
      <c r="R262" s="5">
        <v>0</v>
      </c>
      <c r="S262" t="e">
        <f>VLOOKUP(K262,'MIS COMPROBANTES'!E:Q,13,FALSE)</f>
        <v>#N/A</v>
      </c>
    </row>
    <row r="263" spans="1:19" x14ac:dyDescent="0.25">
      <c r="A263" s="3">
        <v>45456</v>
      </c>
      <c r="B263" s="1" t="s">
        <v>331</v>
      </c>
      <c r="C263" s="1" t="s">
        <v>332</v>
      </c>
      <c r="D263" s="1" t="s">
        <v>18</v>
      </c>
      <c r="E263" s="1" t="s">
        <v>660</v>
      </c>
      <c r="F263" s="4">
        <v>12669</v>
      </c>
      <c r="G263" s="1" t="s">
        <v>19</v>
      </c>
      <c r="H263" s="1" t="s">
        <v>333</v>
      </c>
      <c r="I263" s="6">
        <v>4</v>
      </c>
      <c r="J263" s="6">
        <v>21439</v>
      </c>
      <c r="K263" s="1" t="str">
        <f t="shared" si="4"/>
        <v>30707225609421439</v>
      </c>
      <c r="L263" s="5">
        <v>21</v>
      </c>
      <c r="M263" s="12">
        <v>0</v>
      </c>
      <c r="N263" s="12">
        <v>702000</v>
      </c>
      <c r="O263" s="12">
        <v>147420</v>
      </c>
      <c r="P263" s="12">
        <v>884520</v>
      </c>
      <c r="Q263" s="1" t="s">
        <v>15</v>
      </c>
      <c r="R263" s="5">
        <v>35100</v>
      </c>
      <c r="S263">
        <f>VLOOKUP(K263,'MIS COMPROBANTES'!E:Q,13,FALSE)</f>
        <v>884520</v>
      </c>
    </row>
    <row r="264" spans="1:19" x14ac:dyDescent="0.25">
      <c r="A264" s="3">
        <v>45456</v>
      </c>
      <c r="B264" s="1" t="s">
        <v>334</v>
      </c>
      <c r="C264" s="1" t="s">
        <v>335</v>
      </c>
      <c r="D264" s="1" t="s">
        <v>18</v>
      </c>
      <c r="E264" s="1" t="s">
        <v>661</v>
      </c>
      <c r="F264" s="4">
        <v>12529</v>
      </c>
      <c r="G264" s="1" t="s">
        <v>19</v>
      </c>
      <c r="H264" s="1" t="s">
        <v>337</v>
      </c>
      <c r="I264" s="6">
        <v>6</v>
      </c>
      <c r="J264" s="6">
        <v>1251</v>
      </c>
      <c r="K264" s="1" t="str">
        <f t="shared" si="4"/>
        <v>3071414473861251</v>
      </c>
      <c r="L264" s="5">
        <v>21</v>
      </c>
      <c r="M264" s="12">
        <v>0</v>
      </c>
      <c r="N264" s="12">
        <v>3176448</v>
      </c>
      <c r="O264" s="12">
        <v>667054.07999999996</v>
      </c>
      <c r="P264" s="12">
        <v>3907031.04</v>
      </c>
      <c r="Q264" s="1" t="s">
        <v>336</v>
      </c>
      <c r="R264" s="5">
        <v>63528.959999999999</v>
      </c>
      <c r="S264">
        <f>VLOOKUP(K264,'MIS COMPROBANTES'!E:Q,13,FALSE)</f>
        <v>3907031.04</v>
      </c>
    </row>
    <row r="265" spans="1:19" x14ac:dyDescent="0.25">
      <c r="A265" s="3">
        <v>45456</v>
      </c>
      <c r="B265" s="1" t="s">
        <v>338</v>
      </c>
      <c r="C265" s="1" t="s">
        <v>339</v>
      </c>
      <c r="D265" s="1" t="s">
        <v>18</v>
      </c>
      <c r="E265" s="1" t="s">
        <v>662</v>
      </c>
      <c r="F265" s="4">
        <v>12493</v>
      </c>
      <c r="G265" s="1" t="s">
        <v>19</v>
      </c>
      <c r="H265" s="1" t="s">
        <v>340</v>
      </c>
      <c r="I265" s="6">
        <v>20</v>
      </c>
      <c r="J265" s="6">
        <v>1747</v>
      </c>
      <c r="K265" s="1" t="str">
        <f t="shared" si="4"/>
        <v>30594465497201747</v>
      </c>
      <c r="L265" s="5">
        <v>21</v>
      </c>
      <c r="M265" s="12">
        <v>0</v>
      </c>
      <c r="N265" s="12">
        <v>497578.08</v>
      </c>
      <c r="O265" s="12">
        <v>104491.4</v>
      </c>
      <c r="P265" s="12">
        <v>602069.48</v>
      </c>
      <c r="Q265" s="1" t="s">
        <v>15</v>
      </c>
      <c r="R265" s="5">
        <v>0</v>
      </c>
      <c r="S265">
        <f>VLOOKUP(K265,'MIS COMPROBANTES'!E:Q,13,FALSE)</f>
        <v>602069.48</v>
      </c>
    </row>
    <row r="266" spans="1:19" x14ac:dyDescent="0.25">
      <c r="A266" s="3">
        <v>45456</v>
      </c>
      <c r="B266" s="1" t="s">
        <v>29</v>
      </c>
      <c r="C266" s="1" t="s">
        <v>30</v>
      </c>
      <c r="D266" s="1" t="s">
        <v>18</v>
      </c>
      <c r="E266" s="1" t="s">
        <v>587</v>
      </c>
      <c r="F266" s="4">
        <v>12513</v>
      </c>
      <c r="G266" s="1" t="s">
        <v>19</v>
      </c>
      <c r="H266" s="1" t="s">
        <v>341</v>
      </c>
      <c r="I266" s="6">
        <v>161</v>
      </c>
      <c r="J266" s="6">
        <v>199929</v>
      </c>
      <c r="K266" s="1" t="str">
        <f t="shared" si="4"/>
        <v>30566108352161199929</v>
      </c>
      <c r="L266" s="5">
        <v>21</v>
      </c>
      <c r="M266" s="12">
        <v>0</v>
      </c>
      <c r="N266" s="12">
        <v>3179812.35</v>
      </c>
      <c r="O266" s="12">
        <v>667760.59</v>
      </c>
      <c r="P266" s="12">
        <v>3990664.5</v>
      </c>
      <c r="Q266" s="1" t="s">
        <v>15</v>
      </c>
      <c r="R266" s="5">
        <v>143091.56</v>
      </c>
      <c r="S266">
        <f>VLOOKUP(K266,'MIS COMPROBANTES'!E:Q,13,FALSE)</f>
        <v>3990664.5</v>
      </c>
    </row>
    <row r="267" spans="1:19" x14ac:dyDescent="0.25">
      <c r="A267" s="3">
        <v>45456</v>
      </c>
      <c r="B267" s="1" t="s">
        <v>44</v>
      </c>
      <c r="C267" s="1" t="s">
        <v>45</v>
      </c>
      <c r="D267" s="1" t="s">
        <v>18</v>
      </c>
      <c r="E267" s="1" t="s">
        <v>591</v>
      </c>
      <c r="F267" s="4">
        <v>12472</v>
      </c>
      <c r="G267" s="1" t="s">
        <v>19</v>
      </c>
      <c r="H267" s="1" t="s">
        <v>342</v>
      </c>
      <c r="I267" s="6">
        <v>622</v>
      </c>
      <c r="J267" s="6">
        <v>287179</v>
      </c>
      <c r="K267" s="1" t="str">
        <f t="shared" si="4"/>
        <v>30682032630622287179</v>
      </c>
      <c r="L267" s="5">
        <v>21</v>
      </c>
      <c r="M267" s="12">
        <v>0</v>
      </c>
      <c r="N267" s="12">
        <v>693876.17</v>
      </c>
      <c r="O267" s="12">
        <v>145714</v>
      </c>
      <c r="P267" s="12">
        <v>891630.88</v>
      </c>
      <c r="Q267" s="1" t="s">
        <v>15</v>
      </c>
      <c r="R267" s="5">
        <v>31224.42</v>
      </c>
      <c r="S267">
        <f>VLOOKUP(K267,'MIS COMPROBANTES'!E:Q,13,FALSE)</f>
        <v>891630.88</v>
      </c>
    </row>
    <row r="268" spans="1:19" x14ac:dyDescent="0.25">
      <c r="A268" s="3">
        <v>45456</v>
      </c>
      <c r="B268" s="1" t="s">
        <v>44</v>
      </c>
      <c r="C268" s="1" t="s">
        <v>45</v>
      </c>
      <c r="D268" s="1" t="s">
        <v>18</v>
      </c>
      <c r="E268" s="1" t="s">
        <v>591</v>
      </c>
      <c r="F268" s="4">
        <v>12472</v>
      </c>
      <c r="G268" s="1" t="s">
        <v>19</v>
      </c>
      <c r="H268" s="1" t="s">
        <v>342</v>
      </c>
      <c r="I268" s="6">
        <v>622</v>
      </c>
      <c r="J268" s="6">
        <v>287179</v>
      </c>
      <c r="K268" s="1" t="str">
        <f t="shared" si="4"/>
        <v>30682032630622287179</v>
      </c>
      <c r="L268" s="5">
        <v>3</v>
      </c>
      <c r="M268" s="12">
        <v>0</v>
      </c>
      <c r="N268" s="12">
        <v>0</v>
      </c>
      <c r="O268" s="12">
        <v>20816.29</v>
      </c>
      <c r="P268" s="12">
        <v>0</v>
      </c>
      <c r="Q268" s="1" t="s">
        <v>15</v>
      </c>
      <c r="R268" s="5">
        <v>0</v>
      </c>
      <c r="S268">
        <f>VLOOKUP(K268,'MIS COMPROBANTES'!E:Q,13,FALSE)</f>
        <v>891630.88</v>
      </c>
    </row>
    <row r="269" spans="1:19" x14ac:dyDescent="0.25">
      <c r="A269" s="3">
        <v>45456</v>
      </c>
      <c r="B269" s="1" t="s">
        <v>97</v>
      </c>
      <c r="C269" s="1" t="s">
        <v>98</v>
      </c>
      <c r="D269" s="1" t="s">
        <v>18</v>
      </c>
      <c r="E269" s="1" t="s">
        <v>607</v>
      </c>
      <c r="F269" s="4">
        <v>12716</v>
      </c>
      <c r="G269" s="1" t="s">
        <v>19</v>
      </c>
      <c r="H269" s="1" t="s">
        <v>343</v>
      </c>
      <c r="I269" s="6">
        <v>2002</v>
      </c>
      <c r="J269" s="6">
        <v>290944</v>
      </c>
      <c r="K269" s="1" t="str">
        <f t="shared" si="4"/>
        <v>305007682622002290944</v>
      </c>
      <c r="L269" s="5">
        <v>21</v>
      </c>
      <c r="M269" s="12">
        <v>0</v>
      </c>
      <c r="N269" s="12">
        <v>13158640.1</v>
      </c>
      <c r="O269" s="12">
        <v>2763314.43</v>
      </c>
      <c r="P269" s="12">
        <v>16908852.539999999</v>
      </c>
      <c r="Q269" s="1" t="s">
        <v>15</v>
      </c>
      <c r="R269" s="5">
        <v>592138.81000000006</v>
      </c>
      <c r="S269">
        <f>VLOOKUP(K269,'MIS COMPROBANTES'!E:Q,13,FALSE)</f>
        <v>16908852.539999999</v>
      </c>
    </row>
    <row r="270" spans="1:19" x14ac:dyDescent="0.25">
      <c r="A270" s="3">
        <v>45456</v>
      </c>
      <c r="B270" s="1" t="s">
        <v>97</v>
      </c>
      <c r="C270" s="1" t="s">
        <v>98</v>
      </c>
      <c r="D270" s="1" t="s">
        <v>18</v>
      </c>
      <c r="E270" s="1" t="s">
        <v>607</v>
      </c>
      <c r="F270" s="4">
        <v>12716</v>
      </c>
      <c r="G270" s="1" t="s">
        <v>19</v>
      </c>
      <c r="H270" s="1" t="s">
        <v>343</v>
      </c>
      <c r="I270" s="6">
        <v>2002</v>
      </c>
      <c r="J270" s="6">
        <v>290944</v>
      </c>
      <c r="K270" s="1" t="str">
        <f t="shared" si="4"/>
        <v>305007682622002290944</v>
      </c>
      <c r="L270" s="5">
        <v>3</v>
      </c>
      <c r="M270" s="12">
        <v>0</v>
      </c>
      <c r="N270" s="12">
        <v>0</v>
      </c>
      <c r="O270" s="12">
        <v>394759.2</v>
      </c>
      <c r="P270" s="12">
        <v>0</v>
      </c>
      <c r="Q270" s="1" t="s">
        <v>15</v>
      </c>
      <c r="R270" s="5">
        <v>0</v>
      </c>
      <c r="S270">
        <f>VLOOKUP(K270,'MIS COMPROBANTES'!E:Q,13,FALSE)</f>
        <v>16908852.539999999</v>
      </c>
    </row>
    <row r="271" spans="1:19" x14ac:dyDescent="0.25">
      <c r="A271" s="3">
        <v>45456</v>
      </c>
      <c r="B271" s="1" t="s">
        <v>50</v>
      </c>
      <c r="C271" s="1" t="s">
        <v>51</v>
      </c>
      <c r="D271" s="1" t="s">
        <v>18</v>
      </c>
      <c r="E271" s="1" t="s">
        <v>593</v>
      </c>
      <c r="F271" s="4">
        <v>12552</v>
      </c>
      <c r="G271" s="1" t="s">
        <v>19</v>
      </c>
      <c r="H271" s="1" t="s">
        <v>344</v>
      </c>
      <c r="I271" s="6">
        <v>2009</v>
      </c>
      <c r="J271" s="6">
        <v>38575</v>
      </c>
      <c r="K271" s="1" t="str">
        <f t="shared" si="4"/>
        <v>30700869918200938575</v>
      </c>
      <c r="L271" s="5">
        <v>21</v>
      </c>
      <c r="M271" s="12">
        <v>0</v>
      </c>
      <c r="N271" s="12">
        <v>10560000</v>
      </c>
      <c r="O271" s="12">
        <v>2217600</v>
      </c>
      <c r="P271" s="12">
        <v>13949760</v>
      </c>
      <c r="Q271" s="1" t="s">
        <v>15</v>
      </c>
      <c r="R271" s="5">
        <v>855360</v>
      </c>
      <c r="S271">
        <f>VLOOKUP(K271,'MIS COMPROBANTES'!E:Q,13,FALSE)</f>
        <v>13949760</v>
      </c>
    </row>
    <row r="272" spans="1:19" x14ac:dyDescent="0.25">
      <c r="A272" s="3">
        <v>45456</v>
      </c>
      <c r="B272" s="1" t="s">
        <v>50</v>
      </c>
      <c r="C272" s="1" t="s">
        <v>51</v>
      </c>
      <c r="D272" s="1" t="s">
        <v>18</v>
      </c>
      <c r="E272" s="1" t="s">
        <v>593</v>
      </c>
      <c r="F272" s="4">
        <v>12552</v>
      </c>
      <c r="G272" s="1" t="s">
        <v>19</v>
      </c>
      <c r="H272" s="1" t="s">
        <v>344</v>
      </c>
      <c r="I272" s="6">
        <v>2009</v>
      </c>
      <c r="J272" s="6">
        <v>38575</v>
      </c>
      <c r="K272" s="1" t="str">
        <f t="shared" si="4"/>
        <v>30700869918200938575</v>
      </c>
      <c r="L272" s="5">
        <v>3</v>
      </c>
      <c r="M272" s="12">
        <v>0</v>
      </c>
      <c r="N272" s="12">
        <v>0</v>
      </c>
      <c r="O272" s="12">
        <v>316800</v>
      </c>
      <c r="P272" s="12">
        <v>0</v>
      </c>
      <c r="Q272" s="1" t="s">
        <v>15</v>
      </c>
      <c r="R272" s="5">
        <v>0</v>
      </c>
      <c r="S272">
        <f>VLOOKUP(K272,'MIS COMPROBANTES'!E:Q,13,FALSE)</f>
        <v>13949760</v>
      </c>
    </row>
    <row r="273" spans="1:19" x14ac:dyDescent="0.25">
      <c r="A273" s="3">
        <v>45456</v>
      </c>
      <c r="B273" s="1" t="s">
        <v>50</v>
      </c>
      <c r="C273" s="1" t="s">
        <v>51</v>
      </c>
      <c r="D273" s="1" t="s">
        <v>18</v>
      </c>
      <c r="E273" s="1" t="s">
        <v>593</v>
      </c>
      <c r="F273" s="4">
        <v>12553</v>
      </c>
      <c r="G273" s="1" t="s">
        <v>19</v>
      </c>
      <c r="H273" s="1" t="s">
        <v>345</v>
      </c>
      <c r="I273" s="6">
        <v>2009</v>
      </c>
      <c r="J273" s="6">
        <v>38576</v>
      </c>
      <c r="K273" s="1" t="str">
        <f t="shared" si="4"/>
        <v>30700869918200938576</v>
      </c>
      <c r="L273" s="5">
        <v>21</v>
      </c>
      <c r="M273" s="12">
        <v>0</v>
      </c>
      <c r="N273" s="12">
        <v>5665000</v>
      </c>
      <c r="O273" s="12">
        <v>1189650</v>
      </c>
      <c r="P273" s="12">
        <v>7483465</v>
      </c>
      <c r="Q273" s="1" t="s">
        <v>15</v>
      </c>
      <c r="R273" s="5">
        <v>458865</v>
      </c>
      <c r="S273">
        <f>VLOOKUP(K273,'MIS COMPROBANTES'!E:Q,13,FALSE)</f>
        <v>7483465</v>
      </c>
    </row>
    <row r="274" spans="1:19" x14ac:dyDescent="0.25">
      <c r="A274" s="3">
        <v>45456</v>
      </c>
      <c r="B274" s="1" t="s">
        <v>50</v>
      </c>
      <c r="C274" s="1" t="s">
        <v>51</v>
      </c>
      <c r="D274" s="1" t="s">
        <v>18</v>
      </c>
      <c r="E274" s="1" t="s">
        <v>593</v>
      </c>
      <c r="F274" s="4">
        <v>12553</v>
      </c>
      <c r="G274" s="1" t="s">
        <v>19</v>
      </c>
      <c r="H274" s="1" t="s">
        <v>345</v>
      </c>
      <c r="I274" s="6">
        <v>2009</v>
      </c>
      <c r="J274" s="6">
        <v>38576</v>
      </c>
      <c r="K274" s="1" t="str">
        <f t="shared" si="4"/>
        <v>30700869918200938576</v>
      </c>
      <c r="L274" s="5">
        <v>3</v>
      </c>
      <c r="M274" s="12">
        <v>0</v>
      </c>
      <c r="N274" s="12">
        <v>0</v>
      </c>
      <c r="O274" s="12">
        <v>169950</v>
      </c>
      <c r="P274" s="12">
        <v>0</v>
      </c>
      <c r="Q274" s="1" t="s">
        <v>15</v>
      </c>
      <c r="R274" s="5">
        <v>0</v>
      </c>
      <c r="S274">
        <f>VLOOKUP(K274,'MIS COMPROBANTES'!E:Q,13,FALSE)</f>
        <v>7483465</v>
      </c>
    </row>
    <row r="275" spans="1:19" x14ac:dyDescent="0.25">
      <c r="A275" s="3">
        <v>45456</v>
      </c>
      <c r="B275" s="1" t="s">
        <v>129</v>
      </c>
      <c r="C275" s="1" t="s">
        <v>130</v>
      </c>
      <c r="D275" s="1" t="s">
        <v>18</v>
      </c>
      <c r="E275" s="1" t="s">
        <v>615</v>
      </c>
      <c r="F275" s="4">
        <v>12519</v>
      </c>
      <c r="G275" s="1" t="s">
        <v>19</v>
      </c>
      <c r="H275" s="1" t="s">
        <v>346</v>
      </c>
      <c r="I275" s="6">
        <v>6004</v>
      </c>
      <c r="J275" s="6">
        <v>3654977</v>
      </c>
      <c r="K275" s="1" t="str">
        <f t="shared" si="4"/>
        <v>3050111624260043654977</v>
      </c>
      <c r="L275" s="5">
        <v>21</v>
      </c>
      <c r="M275" s="12">
        <v>0</v>
      </c>
      <c r="N275" s="12">
        <v>1182428.9099999999</v>
      </c>
      <c r="O275" s="12">
        <v>248310.07</v>
      </c>
      <c r="P275" s="12">
        <v>1489860.43</v>
      </c>
      <c r="Q275" s="1" t="s">
        <v>15</v>
      </c>
      <c r="R275" s="5">
        <v>23648.58</v>
      </c>
      <c r="S275">
        <f>VLOOKUP(K275,'MIS COMPROBANTES'!E:Q,13,FALSE)</f>
        <v>1489860.43</v>
      </c>
    </row>
    <row r="276" spans="1:19" x14ac:dyDescent="0.25">
      <c r="A276" s="3">
        <v>45456</v>
      </c>
      <c r="B276" s="1" t="s">
        <v>129</v>
      </c>
      <c r="C276" s="1" t="s">
        <v>130</v>
      </c>
      <c r="D276" s="1" t="s">
        <v>18</v>
      </c>
      <c r="E276" s="1" t="s">
        <v>615</v>
      </c>
      <c r="F276" s="4">
        <v>12519</v>
      </c>
      <c r="G276" s="1" t="s">
        <v>19</v>
      </c>
      <c r="H276" s="1" t="s">
        <v>346</v>
      </c>
      <c r="I276" s="6">
        <v>6004</v>
      </c>
      <c r="J276" s="6">
        <v>3654977</v>
      </c>
      <c r="K276" s="1" t="str">
        <f t="shared" si="4"/>
        <v>3050111624260043654977</v>
      </c>
      <c r="L276" s="5">
        <v>3</v>
      </c>
      <c r="M276" s="12">
        <v>0</v>
      </c>
      <c r="N276" s="12">
        <v>0</v>
      </c>
      <c r="O276" s="12">
        <v>35472.870000000003</v>
      </c>
      <c r="P276" s="12">
        <v>0</v>
      </c>
      <c r="Q276" s="1" t="s">
        <v>15</v>
      </c>
      <c r="R276" s="5">
        <v>0</v>
      </c>
      <c r="S276">
        <f>VLOOKUP(K276,'MIS COMPROBANTES'!E:Q,13,FALSE)</f>
        <v>1489860.43</v>
      </c>
    </row>
    <row r="277" spans="1:19" x14ac:dyDescent="0.25">
      <c r="A277" s="3">
        <v>45456</v>
      </c>
      <c r="B277" s="1" t="s">
        <v>53</v>
      </c>
      <c r="C277" s="1" t="s">
        <v>54</v>
      </c>
      <c r="D277" s="1" t="s">
        <v>18</v>
      </c>
      <c r="E277" s="1" t="s">
        <v>594</v>
      </c>
      <c r="F277" s="4">
        <v>12521</v>
      </c>
      <c r="G277" s="1" t="s">
        <v>19</v>
      </c>
      <c r="H277" s="1" t="s">
        <v>347</v>
      </c>
      <c r="I277" s="6">
        <v>6156</v>
      </c>
      <c r="J277" s="6">
        <v>6815008</v>
      </c>
      <c r="K277" s="1" t="str">
        <f t="shared" si="4"/>
        <v>3054724233161566815008</v>
      </c>
      <c r="L277" s="5">
        <v>21</v>
      </c>
      <c r="M277" s="12">
        <v>0</v>
      </c>
      <c r="N277" s="12">
        <v>787674.73</v>
      </c>
      <c r="O277" s="12">
        <v>165411.69</v>
      </c>
      <c r="P277" s="12">
        <v>991024.97</v>
      </c>
      <c r="Q277" s="1" t="s">
        <v>15</v>
      </c>
      <c r="R277" s="5">
        <v>15753.49</v>
      </c>
      <c r="S277">
        <f>VLOOKUP(K277,'MIS COMPROBANTES'!E:Q,13,FALSE)</f>
        <v>991024.97</v>
      </c>
    </row>
    <row r="278" spans="1:19" x14ac:dyDescent="0.25">
      <c r="A278" s="3">
        <v>45456</v>
      </c>
      <c r="B278" s="1" t="s">
        <v>53</v>
      </c>
      <c r="C278" s="1" t="s">
        <v>54</v>
      </c>
      <c r="D278" s="1" t="s">
        <v>18</v>
      </c>
      <c r="E278" s="1" t="s">
        <v>594</v>
      </c>
      <c r="F278" s="4">
        <v>12521</v>
      </c>
      <c r="G278" s="1" t="s">
        <v>19</v>
      </c>
      <c r="H278" s="1" t="s">
        <v>347</v>
      </c>
      <c r="I278" s="6">
        <v>6156</v>
      </c>
      <c r="J278" s="6">
        <v>6815008</v>
      </c>
      <c r="K278" s="1" t="str">
        <f t="shared" si="4"/>
        <v>3054724233161566815008</v>
      </c>
      <c r="L278" s="5">
        <v>3</v>
      </c>
      <c r="M278" s="12">
        <v>0</v>
      </c>
      <c r="N278" s="12">
        <v>0</v>
      </c>
      <c r="O278" s="12">
        <v>22185.06</v>
      </c>
      <c r="P278" s="12">
        <v>0</v>
      </c>
      <c r="Q278" s="1" t="s">
        <v>15</v>
      </c>
      <c r="R278" s="5">
        <v>0</v>
      </c>
      <c r="S278">
        <f>VLOOKUP(K278,'MIS COMPROBANTES'!E:Q,13,FALSE)</f>
        <v>991024.97</v>
      </c>
    </row>
    <row r="279" spans="1:19" x14ac:dyDescent="0.25">
      <c r="A279" s="3">
        <v>45456</v>
      </c>
      <c r="B279" s="1" t="s">
        <v>53</v>
      </c>
      <c r="C279" s="1" t="s">
        <v>54</v>
      </c>
      <c r="D279" s="1" t="s">
        <v>18</v>
      </c>
      <c r="E279" s="1" t="s">
        <v>594</v>
      </c>
      <c r="F279" s="4">
        <v>12604</v>
      </c>
      <c r="G279" s="1" t="s">
        <v>19</v>
      </c>
      <c r="H279" s="1" t="s">
        <v>348</v>
      </c>
      <c r="I279" s="6">
        <v>6156</v>
      </c>
      <c r="J279" s="6">
        <v>6815009</v>
      </c>
      <c r="K279" s="1" t="str">
        <f t="shared" si="4"/>
        <v>3054724233161566815009</v>
      </c>
      <c r="L279" s="5">
        <v>21</v>
      </c>
      <c r="M279" s="12">
        <v>0</v>
      </c>
      <c r="N279" s="12">
        <v>995508</v>
      </c>
      <c r="O279" s="12">
        <v>209056.68</v>
      </c>
      <c r="P279" s="12">
        <v>1224474.8400000001</v>
      </c>
      <c r="Q279" s="1" t="s">
        <v>15</v>
      </c>
      <c r="R279" s="5">
        <v>19910.16</v>
      </c>
      <c r="S279">
        <f>VLOOKUP(K279,'MIS COMPROBANTES'!E:Q,13,FALSE)</f>
        <v>1224474.8400000001</v>
      </c>
    </row>
    <row r="280" spans="1:19" x14ac:dyDescent="0.25">
      <c r="A280" s="3">
        <v>45456</v>
      </c>
      <c r="B280" s="1" t="s">
        <v>202</v>
      </c>
      <c r="C280" s="1" t="s">
        <v>203</v>
      </c>
      <c r="D280" s="1" t="s">
        <v>18</v>
      </c>
      <c r="E280" s="1" t="s">
        <v>633</v>
      </c>
      <c r="F280" s="4">
        <v>12448</v>
      </c>
      <c r="G280" s="1" t="s">
        <v>19</v>
      </c>
      <c r="H280" s="1" t="s">
        <v>349</v>
      </c>
      <c r="I280" s="6">
        <v>7260</v>
      </c>
      <c r="J280" s="6">
        <v>16190</v>
      </c>
      <c r="K280" s="1" t="str">
        <f t="shared" si="4"/>
        <v>30678774495726016190</v>
      </c>
      <c r="L280" s="5">
        <v>21</v>
      </c>
      <c r="M280" s="12">
        <v>4371.0200000000004</v>
      </c>
      <c r="N280" s="12">
        <v>48458.66</v>
      </c>
      <c r="O280" s="12">
        <v>10176.32</v>
      </c>
      <c r="P280" s="12">
        <v>63006</v>
      </c>
      <c r="Q280" s="1" t="s">
        <v>15</v>
      </c>
      <c r="R280" s="5">
        <v>0</v>
      </c>
      <c r="S280">
        <f>VLOOKUP(K280,'MIS COMPROBANTES'!E:Q,13,FALSE)</f>
        <v>63006</v>
      </c>
    </row>
    <row r="281" spans="1:19" x14ac:dyDescent="0.25">
      <c r="A281" s="3">
        <v>45456</v>
      </c>
      <c r="B281" s="1" t="s">
        <v>90</v>
      </c>
      <c r="C281" s="1" t="s">
        <v>91</v>
      </c>
      <c r="D281" s="1" t="s">
        <v>88</v>
      </c>
      <c r="E281" s="1" t="s">
        <v>605</v>
      </c>
      <c r="F281" s="4">
        <v>12410</v>
      </c>
      <c r="G281" s="1" t="s">
        <v>19</v>
      </c>
      <c r="H281" s="1" t="s">
        <v>350</v>
      </c>
      <c r="I281" s="6">
        <v>2</v>
      </c>
      <c r="J281" s="6">
        <v>322</v>
      </c>
      <c r="K281" s="1" t="str">
        <f t="shared" si="4"/>
        <v>272069414192322</v>
      </c>
      <c r="L281" s="5">
        <v>0</v>
      </c>
      <c r="M281" s="12">
        <v>300000</v>
      </c>
      <c r="N281" s="12">
        <v>0</v>
      </c>
      <c r="O281" s="12">
        <v>0</v>
      </c>
      <c r="P281" s="12">
        <v>300000</v>
      </c>
      <c r="Q281" s="1" t="s">
        <v>15</v>
      </c>
      <c r="R281" s="5">
        <v>0</v>
      </c>
      <c r="S281">
        <f>VLOOKUP(K281,'MIS COMPROBANTES'!E:Q,13,FALSE)</f>
        <v>300000</v>
      </c>
    </row>
    <row r="282" spans="1:19" x14ac:dyDescent="0.25">
      <c r="A282" s="3">
        <v>45456</v>
      </c>
      <c r="B282" s="1" t="s">
        <v>178</v>
      </c>
      <c r="C282" s="1" t="s">
        <v>179</v>
      </c>
      <c r="D282" s="1" t="s">
        <v>18</v>
      </c>
      <c r="E282" s="1" t="s">
        <v>628</v>
      </c>
      <c r="F282" s="4">
        <v>12722</v>
      </c>
      <c r="G282" s="1" t="s">
        <v>31</v>
      </c>
      <c r="H282" s="1" t="s">
        <v>351</v>
      </c>
      <c r="I282" s="6">
        <v>5</v>
      </c>
      <c r="J282" s="6">
        <v>262</v>
      </c>
      <c r="K282" s="1" t="str">
        <f t="shared" si="4"/>
        <v>307095717175262</v>
      </c>
      <c r="L282" s="5">
        <v>21</v>
      </c>
      <c r="M282" s="12">
        <v>0</v>
      </c>
      <c r="N282" s="12">
        <v>-108234.67</v>
      </c>
      <c r="O282" s="12">
        <v>-22729.279999999999</v>
      </c>
      <c r="P282" s="12">
        <v>-130963.95</v>
      </c>
      <c r="Q282" s="1" t="s">
        <v>15</v>
      </c>
      <c r="R282" s="5">
        <v>0</v>
      </c>
      <c r="S282">
        <f>VLOOKUP(K282,'MIS COMPROBANTES'!E:Q,13,FALSE)</f>
        <v>130963.95</v>
      </c>
    </row>
    <row r="283" spans="1:19" x14ac:dyDescent="0.25">
      <c r="A283" s="3">
        <v>45456</v>
      </c>
      <c r="B283" s="1" t="s">
        <v>261</v>
      </c>
      <c r="C283" s="1" t="s">
        <v>262</v>
      </c>
      <c r="D283" s="1" t="s">
        <v>18</v>
      </c>
      <c r="E283" s="1" t="s">
        <v>648</v>
      </c>
      <c r="F283" s="4">
        <v>12765</v>
      </c>
      <c r="G283" s="1" t="s">
        <v>31</v>
      </c>
      <c r="H283" s="1" t="s">
        <v>352</v>
      </c>
      <c r="I283" s="6">
        <v>437</v>
      </c>
      <c r="J283" s="6">
        <v>298837</v>
      </c>
      <c r="K283" s="1" t="str">
        <f t="shared" si="4"/>
        <v>30501092696437298837</v>
      </c>
      <c r="L283" s="5">
        <v>21</v>
      </c>
      <c r="M283" s="12">
        <v>0</v>
      </c>
      <c r="N283" s="12">
        <v>-576097.5</v>
      </c>
      <c r="O283" s="12">
        <v>-120980.47</v>
      </c>
      <c r="P283" s="12">
        <v>-714360.9</v>
      </c>
      <c r="Q283" s="1" t="s">
        <v>15</v>
      </c>
      <c r="R283" s="5">
        <v>0</v>
      </c>
      <c r="S283">
        <f>VLOOKUP(K283,'MIS COMPROBANTES'!E:Q,13,FALSE)</f>
        <v>714360.9</v>
      </c>
    </row>
    <row r="284" spans="1:19" x14ac:dyDescent="0.25">
      <c r="A284" s="3">
        <v>45456</v>
      </c>
      <c r="B284" s="1" t="s">
        <v>261</v>
      </c>
      <c r="C284" s="1" t="s">
        <v>262</v>
      </c>
      <c r="D284" s="1" t="s">
        <v>18</v>
      </c>
      <c r="E284" s="1" t="s">
        <v>648</v>
      </c>
      <c r="F284" s="4">
        <v>12765</v>
      </c>
      <c r="G284" s="1" t="s">
        <v>31</v>
      </c>
      <c r="H284" s="1" t="s">
        <v>352</v>
      </c>
      <c r="I284" s="6">
        <v>437</v>
      </c>
      <c r="J284" s="6">
        <v>298837</v>
      </c>
      <c r="K284" s="1" t="str">
        <f t="shared" si="4"/>
        <v>30501092696437298837</v>
      </c>
      <c r="L284" s="5">
        <v>3</v>
      </c>
      <c r="M284" s="12">
        <v>0</v>
      </c>
      <c r="N284" s="12">
        <v>0</v>
      </c>
      <c r="O284" s="12">
        <v>-17282.93</v>
      </c>
      <c r="P284" s="12">
        <v>0</v>
      </c>
      <c r="Q284" s="1" t="s">
        <v>15</v>
      </c>
      <c r="R284" s="5">
        <v>0</v>
      </c>
      <c r="S284">
        <f>VLOOKUP(K284,'MIS COMPROBANTES'!E:Q,13,FALSE)</f>
        <v>714360.9</v>
      </c>
    </row>
    <row r="285" spans="1:19" x14ac:dyDescent="0.25">
      <c r="A285" s="3">
        <v>45456</v>
      </c>
      <c r="B285" s="1" t="s">
        <v>261</v>
      </c>
      <c r="C285" s="1" t="s">
        <v>262</v>
      </c>
      <c r="D285" s="1" t="s">
        <v>18</v>
      </c>
      <c r="E285" s="1" t="s">
        <v>648</v>
      </c>
      <c r="F285" s="4">
        <v>12764</v>
      </c>
      <c r="G285" s="1" t="s">
        <v>31</v>
      </c>
      <c r="H285" s="1" t="s">
        <v>353</v>
      </c>
      <c r="I285" s="6">
        <v>437</v>
      </c>
      <c r="J285" s="6">
        <v>298915</v>
      </c>
      <c r="K285" s="1" t="str">
        <f t="shared" si="4"/>
        <v>30501092696437298915</v>
      </c>
      <c r="L285" s="5">
        <v>21</v>
      </c>
      <c r="M285" s="12">
        <v>0</v>
      </c>
      <c r="N285" s="12">
        <v>-2551989.6</v>
      </c>
      <c r="O285" s="12">
        <v>-535917.81999999995</v>
      </c>
      <c r="P285" s="12">
        <v>-3164467.11</v>
      </c>
      <c r="Q285" s="1" t="s">
        <v>15</v>
      </c>
      <c r="R285" s="5">
        <v>0</v>
      </c>
      <c r="S285">
        <f>VLOOKUP(K285,'MIS COMPROBANTES'!E:Q,13,FALSE)</f>
        <v>3164467.11</v>
      </c>
    </row>
    <row r="286" spans="1:19" x14ac:dyDescent="0.25">
      <c r="A286" s="3">
        <v>45456</v>
      </c>
      <c r="B286" s="1" t="s">
        <v>261</v>
      </c>
      <c r="C286" s="1" t="s">
        <v>262</v>
      </c>
      <c r="D286" s="1" t="s">
        <v>18</v>
      </c>
      <c r="E286" s="1" t="s">
        <v>648</v>
      </c>
      <c r="F286" s="4">
        <v>12764</v>
      </c>
      <c r="G286" s="1" t="s">
        <v>31</v>
      </c>
      <c r="H286" s="1" t="s">
        <v>353</v>
      </c>
      <c r="I286" s="6">
        <v>437</v>
      </c>
      <c r="J286" s="6">
        <v>298915</v>
      </c>
      <c r="K286" s="1" t="str">
        <f t="shared" si="4"/>
        <v>30501092696437298915</v>
      </c>
      <c r="L286" s="5">
        <v>3</v>
      </c>
      <c r="M286" s="12">
        <v>0</v>
      </c>
      <c r="N286" s="12">
        <v>0</v>
      </c>
      <c r="O286" s="12">
        <v>-76559.69</v>
      </c>
      <c r="P286" s="12">
        <v>0</v>
      </c>
      <c r="Q286" s="1" t="s">
        <v>15</v>
      </c>
      <c r="R286" s="5">
        <v>0</v>
      </c>
      <c r="S286">
        <f>VLOOKUP(K286,'MIS COMPROBANTES'!E:Q,13,FALSE)</f>
        <v>3164467.11</v>
      </c>
    </row>
    <row r="287" spans="1:19" x14ac:dyDescent="0.25">
      <c r="A287" s="3">
        <v>45456</v>
      </c>
      <c r="B287" s="1" t="s">
        <v>261</v>
      </c>
      <c r="C287" s="1" t="s">
        <v>262</v>
      </c>
      <c r="D287" s="1" t="s">
        <v>18</v>
      </c>
      <c r="E287" s="1" t="s">
        <v>648</v>
      </c>
      <c r="F287" s="4">
        <v>12766</v>
      </c>
      <c r="G287" s="1" t="s">
        <v>31</v>
      </c>
      <c r="H287" s="1" t="s">
        <v>354</v>
      </c>
      <c r="I287" s="6">
        <v>437</v>
      </c>
      <c r="J287" s="6">
        <v>298918</v>
      </c>
      <c r="K287" s="1" t="str">
        <f t="shared" si="4"/>
        <v>30501092696437298918</v>
      </c>
      <c r="L287" s="5">
        <v>21</v>
      </c>
      <c r="M287" s="12">
        <v>0</v>
      </c>
      <c r="N287" s="12">
        <v>-1920310.44</v>
      </c>
      <c r="O287" s="12">
        <v>-403265.19</v>
      </c>
      <c r="P287" s="12">
        <v>-2381184.94</v>
      </c>
      <c r="Q287" s="1" t="s">
        <v>15</v>
      </c>
      <c r="R287" s="5">
        <v>0</v>
      </c>
      <c r="S287">
        <f>VLOOKUP(K287,'MIS COMPROBANTES'!E:Q,13,FALSE)</f>
        <v>2381184.94</v>
      </c>
    </row>
    <row r="288" spans="1:19" x14ac:dyDescent="0.25">
      <c r="A288" s="3">
        <v>45456</v>
      </c>
      <c r="B288" s="1" t="s">
        <v>261</v>
      </c>
      <c r="C288" s="1" t="s">
        <v>262</v>
      </c>
      <c r="D288" s="1" t="s">
        <v>18</v>
      </c>
      <c r="E288" s="1" t="s">
        <v>648</v>
      </c>
      <c r="F288" s="4">
        <v>12766</v>
      </c>
      <c r="G288" s="1" t="s">
        <v>31</v>
      </c>
      <c r="H288" s="1" t="s">
        <v>354</v>
      </c>
      <c r="I288" s="6">
        <v>437</v>
      </c>
      <c r="J288" s="6">
        <v>298918</v>
      </c>
      <c r="K288" s="1" t="str">
        <f t="shared" si="4"/>
        <v>30501092696437298918</v>
      </c>
      <c r="L288" s="5">
        <v>3</v>
      </c>
      <c r="M288" s="12">
        <v>0</v>
      </c>
      <c r="N288" s="12">
        <v>0</v>
      </c>
      <c r="O288" s="12">
        <v>-57609.31</v>
      </c>
      <c r="P288" s="12">
        <v>0</v>
      </c>
      <c r="Q288" s="1" t="s">
        <v>15</v>
      </c>
      <c r="R288" s="5">
        <v>0</v>
      </c>
      <c r="S288">
        <f>VLOOKUP(K288,'MIS COMPROBANTES'!E:Q,13,FALSE)</f>
        <v>2381184.94</v>
      </c>
    </row>
    <row r="289" spans="1:19" x14ac:dyDescent="0.25">
      <c r="A289" s="3">
        <v>45457</v>
      </c>
      <c r="B289" s="1" t="s">
        <v>21</v>
      </c>
      <c r="C289" s="1" t="s">
        <v>22</v>
      </c>
      <c r="D289" s="1" t="s">
        <v>18</v>
      </c>
      <c r="E289" s="1" t="s">
        <v>585</v>
      </c>
      <c r="F289" s="4">
        <v>12623</v>
      </c>
      <c r="G289" s="1" t="s">
        <v>19</v>
      </c>
      <c r="H289" s="1" t="s">
        <v>355</v>
      </c>
      <c r="I289" s="6">
        <v>2024</v>
      </c>
      <c r="J289" s="6">
        <v>5501704</v>
      </c>
      <c r="K289" s="1" t="str">
        <f t="shared" si="4"/>
        <v>3060473101820245501704</v>
      </c>
      <c r="L289" s="5">
        <v>21</v>
      </c>
      <c r="M289" s="12">
        <v>7379.87</v>
      </c>
      <c r="N289" s="12">
        <v>316243.63</v>
      </c>
      <c r="O289" s="12">
        <v>23940</v>
      </c>
      <c r="P289" s="12">
        <v>381577.61</v>
      </c>
      <c r="Q289" s="1" t="s">
        <v>15</v>
      </c>
      <c r="R289" s="5">
        <v>6324.87</v>
      </c>
      <c r="S289" t="e">
        <f>VLOOKUP(K289,'MIS COMPROBANTES'!E:Q,13,FALSE)</f>
        <v>#N/A</v>
      </c>
    </row>
    <row r="290" spans="1:19" x14ac:dyDescent="0.25">
      <c r="A290" s="3">
        <v>45457</v>
      </c>
      <c r="B290" s="1" t="s">
        <v>21</v>
      </c>
      <c r="C290" s="1" t="s">
        <v>22</v>
      </c>
      <c r="D290" s="1" t="s">
        <v>18</v>
      </c>
      <c r="E290" s="1" t="s">
        <v>585</v>
      </c>
      <c r="F290" s="4">
        <v>12623</v>
      </c>
      <c r="G290" s="1" t="s">
        <v>19</v>
      </c>
      <c r="H290" s="1" t="s">
        <v>355</v>
      </c>
      <c r="I290" s="6">
        <v>2024</v>
      </c>
      <c r="J290" s="6">
        <v>5501704</v>
      </c>
      <c r="K290" s="1" t="str">
        <f t="shared" si="4"/>
        <v>3060473101820245501704</v>
      </c>
      <c r="L290" s="5">
        <v>10.5</v>
      </c>
      <c r="M290" s="12">
        <v>0</v>
      </c>
      <c r="N290" s="12">
        <v>0</v>
      </c>
      <c r="O290" s="12">
        <v>21235.58</v>
      </c>
      <c r="P290" s="12">
        <v>0</v>
      </c>
      <c r="Q290" s="1" t="s">
        <v>15</v>
      </c>
      <c r="R290" s="5">
        <v>0</v>
      </c>
      <c r="S290" t="e">
        <f>VLOOKUP(K290,'MIS COMPROBANTES'!E:Q,13,FALSE)</f>
        <v>#N/A</v>
      </c>
    </row>
    <row r="291" spans="1:19" x14ac:dyDescent="0.25">
      <c r="A291" s="3">
        <v>45457</v>
      </c>
      <c r="B291" s="1" t="s">
        <v>21</v>
      </c>
      <c r="C291" s="1" t="s">
        <v>22</v>
      </c>
      <c r="D291" s="1" t="s">
        <v>18</v>
      </c>
      <c r="E291" s="1" t="s">
        <v>585</v>
      </c>
      <c r="F291" s="4">
        <v>12623</v>
      </c>
      <c r="G291" s="1" t="s">
        <v>19</v>
      </c>
      <c r="H291" s="1" t="s">
        <v>355</v>
      </c>
      <c r="I291" s="6">
        <v>2024</v>
      </c>
      <c r="J291" s="6">
        <v>5501704</v>
      </c>
      <c r="K291" s="1" t="str">
        <f t="shared" si="4"/>
        <v>3060473101820245501704</v>
      </c>
      <c r="L291" s="5">
        <v>3</v>
      </c>
      <c r="M291" s="12">
        <v>0</v>
      </c>
      <c r="N291" s="12">
        <v>0</v>
      </c>
      <c r="O291" s="12">
        <v>3420</v>
      </c>
      <c r="P291" s="12">
        <v>0</v>
      </c>
      <c r="Q291" s="1" t="s">
        <v>15</v>
      </c>
      <c r="R291" s="5">
        <v>0</v>
      </c>
      <c r="S291" t="e">
        <f>VLOOKUP(K291,'MIS COMPROBANTES'!E:Q,13,FALSE)</f>
        <v>#N/A</v>
      </c>
    </row>
    <row r="292" spans="1:19" x14ac:dyDescent="0.25">
      <c r="A292" s="3">
        <v>45457</v>
      </c>
      <c r="B292" s="1" t="s">
        <v>21</v>
      </c>
      <c r="C292" s="1" t="s">
        <v>22</v>
      </c>
      <c r="D292" s="1" t="s">
        <v>18</v>
      </c>
      <c r="E292" s="1" t="s">
        <v>585</v>
      </c>
      <c r="F292" s="4">
        <v>12623</v>
      </c>
      <c r="G292" s="1" t="s">
        <v>19</v>
      </c>
      <c r="H292" s="1" t="s">
        <v>355</v>
      </c>
      <c r="I292" s="6">
        <v>2024</v>
      </c>
      <c r="J292" s="6">
        <v>5501704</v>
      </c>
      <c r="K292" s="1" t="str">
        <f t="shared" si="4"/>
        <v>3060473101820245501704</v>
      </c>
      <c r="L292" s="5">
        <v>1.5</v>
      </c>
      <c r="M292" s="12">
        <v>0</v>
      </c>
      <c r="N292" s="12">
        <v>0</v>
      </c>
      <c r="O292" s="12">
        <v>3033.66</v>
      </c>
      <c r="P292" s="12">
        <v>0</v>
      </c>
      <c r="Q292" s="1" t="s">
        <v>15</v>
      </c>
      <c r="R292" s="5">
        <v>0</v>
      </c>
      <c r="S292" t="e">
        <f>VLOOKUP(K292,'MIS COMPROBANTES'!E:Q,13,FALSE)</f>
        <v>#N/A</v>
      </c>
    </row>
    <row r="293" spans="1:19" x14ac:dyDescent="0.25">
      <c r="A293" s="3">
        <v>45457</v>
      </c>
      <c r="B293" s="1" t="s">
        <v>21</v>
      </c>
      <c r="C293" s="1" t="s">
        <v>22</v>
      </c>
      <c r="D293" s="1" t="s">
        <v>18</v>
      </c>
      <c r="E293" s="1" t="s">
        <v>585</v>
      </c>
      <c r="F293" s="4">
        <v>12622</v>
      </c>
      <c r="G293" s="1" t="s">
        <v>19</v>
      </c>
      <c r="H293" s="1" t="s">
        <v>356</v>
      </c>
      <c r="I293" s="6">
        <v>2024</v>
      </c>
      <c r="J293" s="6">
        <v>5501705</v>
      </c>
      <c r="K293" s="1" t="str">
        <f t="shared" si="4"/>
        <v>3060473101820245501705</v>
      </c>
      <c r="L293" s="5">
        <v>10.5</v>
      </c>
      <c r="M293" s="12">
        <v>36148.17</v>
      </c>
      <c r="N293" s="12">
        <v>963833.02</v>
      </c>
      <c r="O293" s="12">
        <v>101202.46</v>
      </c>
      <c r="P293" s="12">
        <v>1134917.79</v>
      </c>
      <c r="Q293" s="1" t="s">
        <v>15</v>
      </c>
      <c r="R293" s="5">
        <v>19276.66</v>
      </c>
      <c r="S293" t="e">
        <f>VLOOKUP(K293,'MIS COMPROBANTES'!E:Q,13,FALSE)</f>
        <v>#N/A</v>
      </c>
    </row>
    <row r="294" spans="1:19" x14ac:dyDescent="0.25">
      <c r="A294" s="3">
        <v>45457</v>
      </c>
      <c r="B294" s="1" t="s">
        <v>21</v>
      </c>
      <c r="C294" s="1" t="s">
        <v>22</v>
      </c>
      <c r="D294" s="1" t="s">
        <v>18</v>
      </c>
      <c r="E294" s="1" t="s">
        <v>585</v>
      </c>
      <c r="F294" s="4">
        <v>12622</v>
      </c>
      <c r="G294" s="1" t="s">
        <v>19</v>
      </c>
      <c r="H294" s="1" t="s">
        <v>356</v>
      </c>
      <c r="I294" s="6">
        <v>2024</v>
      </c>
      <c r="J294" s="6">
        <v>5501705</v>
      </c>
      <c r="K294" s="1" t="str">
        <f t="shared" si="4"/>
        <v>3060473101820245501705</v>
      </c>
      <c r="L294" s="5">
        <v>1.5</v>
      </c>
      <c r="M294" s="12">
        <v>0</v>
      </c>
      <c r="N294" s="12">
        <v>0</v>
      </c>
      <c r="O294" s="12">
        <v>14457.48</v>
      </c>
      <c r="P294" s="12">
        <v>0</v>
      </c>
      <c r="Q294" s="1" t="s">
        <v>15</v>
      </c>
      <c r="R294" s="5">
        <v>0</v>
      </c>
      <c r="S294" t="e">
        <f>VLOOKUP(K294,'MIS COMPROBANTES'!E:Q,13,FALSE)</f>
        <v>#N/A</v>
      </c>
    </row>
    <row r="295" spans="1:19" x14ac:dyDescent="0.25">
      <c r="A295" s="3">
        <v>45457</v>
      </c>
      <c r="B295" s="1" t="s">
        <v>16</v>
      </c>
      <c r="C295" s="1" t="s">
        <v>17</v>
      </c>
      <c r="D295" s="1" t="s">
        <v>18</v>
      </c>
      <c r="E295" s="1" t="s">
        <v>584</v>
      </c>
      <c r="F295" s="4">
        <v>12488</v>
      </c>
      <c r="G295" s="1" t="s">
        <v>19</v>
      </c>
      <c r="H295" s="1" t="s">
        <v>357</v>
      </c>
      <c r="I295" s="6">
        <v>2024</v>
      </c>
      <c r="J295" s="6">
        <v>90004601</v>
      </c>
      <c r="K295" s="1" t="str">
        <f t="shared" si="4"/>
        <v>30500008454202490004601</v>
      </c>
      <c r="L295" s="5">
        <v>10.5</v>
      </c>
      <c r="M295" s="12">
        <v>13179.27</v>
      </c>
      <c r="N295" s="12">
        <v>291041.90000000002</v>
      </c>
      <c r="O295" s="12">
        <v>30559.4</v>
      </c>
      <c r="P295" s="12">
        <v>344967.03</v>
      </c>
      <c r="Q295" s="1" t="s">
        <v>15</v>
      </c>
      <c r="R295" s="5">
        <v>5820.83</v>
      </c>
      <c r="S295" t="e">
        <f>VLOOKUP(K295,'MIS COMPROBANTES'!E:Q,13,FALSE)</f>
        <v>#N/A</v>
      </c>
    </row>
    <row r="296" spans="1:19" x14ac:dyDescent="0.25">
      <c r="A296" s="3">
        <v>45457</v>
      </c>
      <c r="B296" s="1" t="s">
        <v>16</v>
      </c>
      <c r="C296" s="1" t="s">
        <v>17</v>
      </c>
      <c r="D296" s="1" t="s">
        <v>18</v>
      </c>
      <c r="E296" s="1" t="s">
        <v>584</v>
      </c>
      <c r="F296" s="4">
        <v>12488</v>
      </c>
      <c r="G296" s="1" t="s">
        <v>19</v>
      </c>
      <c r="H296" s="1" t="s">
        <v>357</v>
      </c>
      <c r="I296" s="6">
        <v>2024</v>
      </c>
      <c r="J296" s="6">
        <v>90004601</v>
      </c>
      <c r="K296" s="1" t="str">
        <f t="shared" si="4"/>
        <v>30500008454202490004601</v>
      </c>
      <c r="L296" s="5">
        <v>1.5</v>
      </c>
      <c r="M296" s="12">
        <v>0</v>
      </c>
      <c r="N296" s="12">
        <v>0</v>
      </c>
      <c r="O296" s="12">
        <v>4365.63</v>
      </c>
      <c r="P296" s="12">
        <v>0</v>
      </c>
      <c r="Q296" s="1" t="s">
        <v>15</v>
      </c>
      <c r="R296" s="5">
        <v>0</v>
      </c>
      <c r="S296" t="e">
        <f>VLOOKUP(K296,'MIS COMPROBANTES'!E:Q,13,FALSE)</f>
        <v>#N/A</v>
      </c>
    </row>
    <row r="297" spans="1:19" x14ac:dyDescent="0.25">
      <c r="A297" s="3">
        <v>45457</v>
      </c>
      <c r="B297" s="1" t="s">
        <v>358</v>
      </c>
      <c r="C297" s="1" t="s">
        <v>359</v>
      </c>
      <c r="D297" s="1" t="s">
        <v>18</v>
      </c>
      <c r="E297" s="1" t="s">
        <v>663</v>
      </c>
      <c r="F297" s="4">
        <v>12666</v>
      </c>
      <c r="G297" s="1" t="s">
        <v>19</v>
      </c>
      <c r="H297" s="1" t="s">
        <v>360</v>
      </c>
      <c r="I297" s="6">
        <v>2</v>
      </c>
      <c r="J297" s="6">
        <v>629</v>
      </c>
      <c r="K297" s="1" t="str">
        <f t="shared" si="4"/>
        <v>232302344692629</v>
      </c>
      <c r="L297" s="5">
        <v>21</v>
      </c>
      <c r="M297" s="12">
        <v>0</v>
      </c>
      <c r="N297" s="12">
        <v>180000</v>
      </c>
      <c r="O297" s="12">
        <v>37800</v>
      </c>
      <c r="P297" s="12">
        <v>217800</v>
      </c>
      <c r="Q297" s="1" t="s">
        <v>15</v>
      </c>
      <c r="R297" s="5">
        <v>0</v>
      </c>
      <c r="S297">
        <f>VLOOKUP(K297,'MIS COMPROBANTES'!E:Q,13,FALSE)</f>
        <v>217800</v>
      </c>
    </row>
    <row r="298" spans="1:19" x14ac:dyDescent="0.25">
      <c r="A298" s="3">
        <v>45457</v>
      </c>
      <c r="B298" s="1" t="s">
        <v>361</v>
      </c>
      <c r="C298" s="1" t="s">
        <v>362</v>
      </c>
      <c r="D298" s="1" t="s">
        <v>18</v>
      </c>
      <c r="E298" s="1" t="s">
        <v>664</v>
      </c>
      <c r="F298" s="4">
        <v>12512</v>
      </c>
      <c r="G298" s="1" t="s">
        <v>19</v>
      </c>
      <c r="H298" s="1" t="s">
        <v>363</v>
      </c>
      <c r="I298" s="6">
        <v>2</v>
      </c>
      <c r="J298" s="6">
        <v>5675</v>
      </c>
      <c r="K298" s="1" t="str">
        <f t="shared" si="4"/>
        <v>3050450466925675</v>
      </c>
      <c r="L298" s="5">
        <v>21</v>
      </c>
      <c r="M298" s="12">
        <v>0</v>
      </c>
      <c r="N298" s="12">
        <v>94187</v>
      </c>
      <c r="O298" s="12">
        <v>19779.27</v>
      </c>
      <c r="P298" s="12">
        <v>113966.27</v>
      </c>
      <c r="Q298" s="1" t="s">
        <v>15</v>
      </c>
      <c r="R298" s="5">
        <v>0</v>
      </c>
      <c r="S298">
        <f>VLOOKUP(K298,'MIS COMPROBANTES'!E:Q,13,FALSE)</f>
        <v>113966.27</v>
      </c>
    </row>
    <row r="299" spans="1:19" x14ac:dyDescent="0.25">
      <c r="A299" s="3">
        <v>45457</v>
      </c>
      <c r="B299" s="1" t="s">
        <v>76</v>
      </c>
      <c r="C299" s="1" t="s">
        <v>77</v>
      </c>
      <c r="D299" s="1" t="s">
        <v>18</v>
      </c>
      <c r="E299" s="1" t="s">
        <v>601</v>
      </c>
      <c r="F299" s="4">
        <v>12474</v>
      </c>
      <c r="G299" s="1" t="s">
        <v>19</v>
      </c>
      <c r="H299" s="1" t="s">
        <v>364</v>
      </c>
      <c r="I299" s="6">
        <v>10</v>
      </c>
      <c r="J299" s="6">
        <v>5798</v>
      </c>
      <c r="K299" s="1" t="str">
        <f t="shared" si="4"/>
        <v>30708784687105798</v>
      </c>
      <c r="L299" s="5">
        <v>21</v>
      </c>
      <c r="M299" s="12">
        <v>0</v>
      </c>
      <c r="N299" s="12">
        <v>336610</v>
      </c>
      <c r="O299" s="12">
        <v>70688.100000000006</v>
      </c>
      <c r="P299" s="12">
        <v>407298.1</v>
      </c>
      <c r="Q299" s="1" t="s">
        <v>15</v>
      </c>
      <c r="R299" s="5">
        <v>0</v>
      </c>
      <c r="S299">
        <f>VLOOKUP(K299,'MIS COMPROBANTES'!E:Q,13,FALSE)</f>
        <v>407298.1</v>
      </c>
    </row>
    <row r="300" spans="1:19" x14ac:dyDescent="0.25">
      <c r="A300" s="3">
        <v>45457</v>
      </c>
      <c r="B300" s="1" t="s">
        <v>23</v>
      </c>
      <c r="C300" s="1" t="s">
        <v>24</v>
      </c>
      <c r="D300" s="1" t="s">
        <v>18</v>
      </c>
      <c r="E300" s="1" t="s">
        <v>586</v>
      </c>
      <c r="F300" s="4">
        <v>12703</v>
      </c>
      <c r="G300" s="1" t="s">
        <v>19</v>
      </c>
      <c r="H300" s="1" t="s">
        <v>365</v>
      </c>
      <c r="I300" s="6">
        <v>10</v>
      </c>
      <c r="J300" s="6">
        <v>24233</v>
      </c>
      <c r="K300" s="1" t="str">
        <f t="shared" si="4"/>
        <v>307117580341024233</v>
      </c>
      <c r="L300" s="5">
        <v>21</v>
      </c>
      <c r="M300" s="12">
        <v>0</v>
      </c>
      <c r="N300" s="12">
        <v>68461.13</v>
      </c>
      <c r="O300" s="12">
        <v>5996.34</v>
      </c>
      <c r="P300" s="12">
        <v>80016.94</v>
      </c>
      <c r="Q300" s="1" t="s">
        <v>15</v>
      </c>
      <c r="R300" s="5">
        <v>1369.22</v>
      </c>
      <c r="S300" t="e">
        <f>VLOOKUP(K300,'MIS COMPROBANTES'!E:Q,13,FALSE)</f>
        <v>#N/A</v>
      </c>
    </row>
    <row r="301" spans="1:19" x14ac:dyDescent="0.25">
      <c r="A301" s="3">
        <v>45457</v>
      </c>
      <c r="B301" s="1" t="s">
        <v>23</v>
      </c>
      <c r="C301" s="1" t="s">
        <v>24</v>
      </c>
      <c r="D301" s="1" t="s">
        <v>18</v>
      </c>
      <c r="E301" s="1" t="s">
        <v>586</v>
      </c>
      <c r="F301" s="4">
        <v>12703</v>
      </c>
      <c r="G301" s="1" t="s">
        <v>19</v>
      </c>
      <c r="H301" s="1" t="s">
        <v>365</v>
      </c>
      <c r="I301" s="6">
        <v>10</v>
      </c>
      <c r="J301" s="6">
        <v>24233</v>
      </c>
      <c r="K301" s="1" t="str">
        <f t="shared" si="4"/>
        <v>307117580341024233</v>
      </c>
      <c r="L301" s="5">
        <v>10.5</v>
      </c>
      <c r="M301" s="12">
        <v>0</v>
      </c>
      <c r="N301" s="12">
        <v>0</v>
      </c>
      <c r="O301" s="12">
        <v>4190.25</v>
      </c>
      <c r="P301" s="12">
        <v>0</v>
      </c>
      <c r="Q301" s="1" t="s">
        <v>15</v>
      </c>
      <c r="R301" s="5">
        <v>0</v>
      </c>
      <c r="S301" t="e">
        <f>VLOOKUP(K301,'MIS COMPROBANTES'!E:Q,13,FALSE)</f>
        <v>#N/A</v>
      </c>
    </row>
    <row r="302" spans="1:19" x14ac:dyDescent="0.25">
      <c r="A302" s="3">
        <v>45457</v>
      </c>
      <c r="B302" s="1" t="s">
        <v>366</v>
      </c>
      <c r="C302" s="1" t="s">
        <v>367</v>
      </c>
      <c r="D302" s="1" t="s">
        <v>18</v>
      </c>
      <c r="E302" s="1" t="s">
        <v>665</v>
      </c>
      <c r="F302" s="4">
        <v>12453</v>
      </c>
      <c r="G302" s="1" t="s">
        <v>19</v>
      </c>
      <c r="H302" s="1" t="s">
        <v>368</v>
      </c>
      <c r="I302" s="6">
        <v>11</v>
      </c>
      <c r="J302" s="6">
        <v>42231</v>
      </c>
      <c r="K302" s="1" t="str">
        <f t="shared" si="4"/>
        <v>201481904891142231</v>
      </c>
      <c r="L302" s="5">
        <v>21</v>
      </c>
      <c r="M302" s="12">
        <v>10179.91</v>
      </c>
      <c r="N302" s="12">
        <v>103995.94</v>
      </c>
      <c r="O302" s="12">
        <v>21839.15</v>
      </c>
      <c r="P302" s="12">
        <v>136015</v>
      </c>
      <c r="Q302" s="1" t="s">
        <v>15</v>
      </c>
      <c r="R302" s="5">
        <v>0</v>
      </c>
      <c r="S302" t="e">
        <f>VLOOKUP(K302,'MIS COMPROBANTES'!E:Q,13,FALSE)</f>
        <v>#N/A</v>
      </c>
    </row>
    <row r="303" spans="1:19" x14ac:dyDescent="0.25">
      <c r="A303" s="3">
        <v>45457</v>
      </c>
      <c r="B303" s="1" t="s">
        <v>369</v>
      </c>
      <c r="C303" s="1" t="s">
        <v>370</v>
      </c>
      <c r="D303" s="1" t="s">
        <v>18</v>
      </c>
      <c r="E303" s="1" t="s">
        <v>666</v>
      </c>
      <c r="F303" s="4">
        <v>12508</v>
      </c>
      <c r="G303" s="1" t="s">
        <v>19</v>
      </c>
      <c r="H303" s="1" t="s">
        <v>371</v>
      </c>
      <c r="I303" s="6">
        <v>12</v>
      </c>
      <c r="J303" s="6">
        <v>1795</v>
      </c>
      <c r="K303" s="1" t="str">
        <f t="shared" si="4"/>
        <v>30709151041121795</v>
      </c>
      <c r="L303" s="5">
        <v>21</v>
      </c>
      <c r="M303" s="12">
        <v>0</v>
      </c>
      <c r="N303" s="12">
        <v>812296.8</v>
      </c>
      <c r="O303" s="12">
        <v>170582.33</v>
      </c>
      <c r="P303" s="12">
        <v>982879.13</v>
      </c>
      <c r="Q303" s="1" t="s">
        <v>15</v>
      </c>
      <c r="R303" s="5">
        <v>0</v>
      </c>
      <c r="S303">
        <f>VLOOKUP(K303,'MIS COMPROBANTES'!E:Q,13,FALSE)</f>
        <v>982879.13</v>
      </c>
    </row>
    <row r="304" spans="1:19" x14ac:dyDescent="0.25">
      <c r="A304" s="3">
        <v>45457</v>
      </c>
      <c r="B304" s="1" t="s">
        <v>372</v>
      </c>
      <c r="C304" s="1" t="s">
        <v>373</v>
      </c>
      <c r="D304" s="1" t="s">
        <v>18</v>
      </c>
      <c r="E304" s="1" t="s">
        <v>667</v>
      </c>
      <c r="F304" s="4">
        <v>12602</v>
      </c>
      <c r="G304" s="1" t="s">
        <v>19</v>
      </c>
      <c r="H304" s="1" t="s">
        <v>374</v>
      </c>
      <c r="I304" s="6">
        <v>20</v>
      </c>
      <c r="J304" s="6">
        <v>4859</v>
      </c>
      <c r="K304" s="1" t="str">
        <f t="shared" si="4"/>
        <v>30618899612204859</v>
      </c>
      <c r="L304" s="5">
        <v>21</v>
      </c>
      <c r="M304" s="12">
        <v>0</v>
      </c>
      <c r="N304" s="12">
        <v>1462500</v>
      </c>
      <c r="O304" s="12">
        <v>307125</v>
      </c>
      <c r="P304" s="12">
        <v>1769625</v>
      </c>
      <c r="Q304" s="1" t="s">
        <v>15</v>
      </c>
      <c r="R304" s="5">
        <v>0</v>
      </c>
      <c r="S304">
        <f>VLOOKUP(K304,'MIS COMPROBANTES'!E:Q,13,FALSE)</f>
        <v>1769625</v>
      </c>
    </row>
    <row r="305" spans="1:19" x14ac:dyDescent="0.25">
      <c r="A305" s="3">
        <v>45457</v>
      </c>
      <c r="B305" s="1" t="s">
        <v>117</v>
      </c>
      <c r="C305" s="1" t="s">
        <v>118</v>
      </c>
      <c r="D305" s="1" t="s">
        <v>18</v>
      </c>
      <c r="E305" s="1" t="s">
        <v>612</v>
      </c>
      <c r="F305" s="4">
        <v>12515</v>
      </c>
      <c r="G305" s="1" t="s">
        <v>19</v>
      </c>
      <c r="H305" s="1" t="s">
        <v>375</v>
      </c>
      <c r="I305" s="6">
        <v>90</v>
      </c>
      <c r="J305" s="6">
        <v>443348</v>
      </c>
      <c r="K305" s="1" t="str">
        <f t="shared" si="4"/>
        <v>3070705980690443348</v>
      </c>
      <c r="L305" s="5">
        <v>21</v>
      </c>
      <c r="M305" s="12">
        <v>0</v>
      </c>
      <c r="N305" s="12">
        <v>79488</v>
      </c>
      <c r="O305" s="12">
        <v>16692.48</v>
      </c>
      <c r="P305" s="12">
        <v>99757.440000000002</v>
      </c>
      <c r="Q305" s="1" t="s">
        <v>120</v>
      </c>
      <c r="R305" s="5">
        <v>3576.96</v>
      </c>
      <c r="S305">
        <f>VLOOKUP(K305,'MIS COMPROBANTES'!E:Q,13,FALSE)</f>
        <v>99757.440000000002</v>
      </c>
    </row>
    <row r="306" spans="1:19" x14ac:dyDescent="0.25">
      <c r="A306" s="3">
        <v>45457</v>
      </c>
      <c r="B306" s="1" t="s">
        <v>117</v>
      </c>
      <c r="C306" s="1" t="s">
        <v>118</v>
      </c>
      <c r="D306" s="1" t="s">
        <v>18</v>
      </c>
      <c r="E306" s="1" t="s">
        <v>612</v>
      </c>
      <c r="F306" s="4">
        <v>12516</v>
      </c>
      <c r="G306" s="1" t="s">
        <v>19</v>
      </c>
      <c r="H306" s="1" t="s">
        <v>376</v>
      </c>
      <c r="I306" s="6">
        <v>90</v>
      </c>
      <c r="J306" s="6">
        <v>443350</v>
      </c>
      <c r="K306" s="1" t="str">
        <f t="shared" si="4"/>
        <v>3070705980690443350</v>
      </c>
      <c r="L306" s="5">
        <v>21</v>
      </c>
      <c r="M306" s="12">
        <v>0</v>
      </c>
      <c r="N306" s="12">
        <v>92400</v>
      </c>
      <c r="O306" s="12">
        <v>19404</v>
      </c>
      <c r="P306" s="12">
        <v>115962</v>
      </c>
      <c r="Q306" s="1" t="s">
        <v>120</v>
      </c>
      <c r="R306" s="5">
        <v>4158</v>
      </c>
      <c r="S306">
        <f>VLOOKUP(K306,'MIS COMPROBANTES'!E:Q,13,FALSE)</f>
        <v>115962</v>
      </c>
    </row>
    <row r="307" spans="1:19" x14ac:dyDescent="0.25">
      <c r="A307" s="3">
        <v>45457</v>
      </c>
      <c r="B307" s="1" t="s">
        <v>117</v>
      </c>
      <c r="C307" s="1" t="s">
        <v>118</v>
      </c>
      <c r="D307" s="1" t="s">
        <v>18</v>
      </c>
      <c r="E307" s="1" t="s">
        <v>612</v>
      </c>
      <c r="F307" s="4">
        <v>12517</v>
      </c>
      <c r="G307" s="1" t="s">
        <v>19</v>
      </c>
      <c r="H307" s="1" t="s">
        <v>377</v>
      </c>
      <c r="I307" s="6">
        <v>90</v>
      </c>
      <c r="J307" s="6">
        <v>443353</v>
      </c>
      <c r="K307" s="1" t="str">
        <f t="shared" si="4"/>
        <v>3070705980690443353</v>
      </c>
      <c r="L307" s="5">
        <v>21</v>
      </c>
      <c r="M307" s="12">
        <v>0</v>
      </c>
      <c r="N307" s="12">
        <v>161700</v>
      </c>
      <c r="O307" s="12">
        <v>33957</v>
      </c>
      <c r="P307" s="12">
        <v>207784.5</v>
      </c>
      <c r="Q307" s="1" t="s">
        <v>120</v>
      </c>
      <c r="R307" s="5">
        <v>7276.5</v>
      </c>
      <c r="S307">
        <f>VLOOKUP(K307,'MIS COMPROBANTES'!E:Q,13,FALSE)</f>
        <v>207784.5</v>
      </c>
    </row>
    <row r="308" spans="1:19" x14ac:dyDescent="0.25">
      <c r="A308" s="3">
        <v>45457</v>
      </c>
      <c r="B308" s="1" t="s">
        <v>117</v>
      </c>
      <c r="C308" s="1" t="s">
        <v>118</v>
      </c>
      <c r="D308" s="1" t="s">
        <v>18</v>
      </c>
      <c r="E308" s="1" t="s">
        <v>612</v>
      </c>
      <c r="F308" s="4">
        <v>12517</v>
      </c>
      <c r="G308" s="1" t="s">
        <v>19</v>
      </c>
      <c r="H308" s="1" t="s">
        <v>377</v>
      </c>
      <c r="I308" s="6">
        <v>90</v>
      </c>
      <c r="J308" s="6">
        <v>443353</v>
      </c>
      <c r="K308" s="1" t="str">
        <f t="shared" si="4"/>
        <v>3070705980690443353</v>
      </c>
      <c r="L308" s="5">
        <v>3</v>
      </c>
      <c r="M308" s="12">
        <v>0</v>
      </c>
      <c r="N308" s="12">
        <v>0</v>
      </c>
      <c r="O308" s="12">
        <v>4851</v>
      </c>
      <c r="P308" s="12">
        <v>0</v>
      </c>
      <c r="Q308" s="1" t="s">
        <v>120</v>
      </c>
      <c r="R308" s="5">
        <v>0</v>
      </c>
      <c r="S308">
        <f>VLOOKUP(K308,'MIS COMPROBANTES'!E:Q,13,FALSE)</f>
        <v>207784.5</v>
      </c>
    </row>
    <row r="309" spans="1:19" x14ac:dyDescent="0.25">
      <c r="A309" s="3">
        <v>45457</v>
      </c>
      <c r="B309" s="1" t="s">
        <v>117</v>
      </c>
      <c r="C309" s="1" t="s">
        <v>118</v>
      </c>
      <c r="D309" s="1" t="s">
        <v>18</v>
      </c>
      <c r="E309" s="1" t="s">
        <v>612</v>
      </c>
      <c r="F309" s="4">
        <v>12478</v>
      </c>
      <c r="G309" s="1" t="s">
        <v>19</v>
      </c>
      <c r="H309" s="1" t="s">
        <v>378</v>
      </c>
      <c r="I309" s="6">
        <v>91</v>
      </c>
      <c r="J309" s="6">
        <v>246550</v>
      </c>
      <c r="K309" s="1" t="str">
        <f t="shared" si="4"/>
        <v>3070705980691246550</v>
      </c>
      <c r="L309" s="5">
        <v>21</v>
      </c>
      <c r="M309" s="12">
        <v>0</v>
      </c>
      <c r="N309" s="12">
        <v>3750000</v>
      </c>
      <c r="O309" s="12">
        <v>787500</v>
      </c>
      <c r="P309" s="12">
        <v>4818750</v>
      </c>
      <c r="Q309" s="1" t="s">
        <v>120</v>
      </c>
      <c r="R309" s="5">
        <v>168750</v>
      </c>
      <c r="S309">
        <f>VLOOKUP(K309,'MIS COMPROBANTES'!E:Q,13,FALSE)</f>
        <v>4818750</v>
      </c>
    </row>
    <row r="310" spans="1:19" x14ac:dyDescent="0.25">
      <c r="A310" s="3">
        <v>45457</v>
      </c>
      <c r="B310" s="1" t="s">
        <v>117</v>
      </c>
      <c r="C310" s="1" t="s">
        <v>118</v>
      </c>
      <c r="D310" s="1" t="s">
        <v>18</v>
      </c>
      <c r="E310" s="1" t="s">
        <v>612</v>
      </c>
      <c r="F310" s="4">
        <v>12478</v>
      </c>
      <c r="G310" s="1" t="s">
        <v>19</v>
      </c>
      <c r="H310" s="1" t="s">
        <v>378</v>
      </c>
      <c r="I310" s="6">
        <v>91</v>
      </c>
      <c r="J310" s="6">
        <v>246550</v>
      </c>
      <c r="K310" s="1" t="str">
        <f t="shared" si="4"/>
        <v>3070705980691246550</v>
      </c>
      <c r="L310" s="5">
        <v>3</v>
      </c>
      <c r="M310" s="12">
        <v>0</v>
      </c>
      <c r="N310" s="12">
        <v>0</v>
      </c>
      <c r="O310" s="12">
        <v>112500</v>
      </c>
      <c r="P310" s="12">
        <v>0</v>
      </c>
      <c r="Q310" s="1" t="s">
        <v>120</v>
      </c>
      <c r="R310" s="5">
        <v>0</v>
      </c>
      <c r="S310">
        <f>VLOOKUP(K310,'MIS COMPROBANTES'!E:Q,13,FALSE)</f>
        <v>4818750</v>
      </c>
    </row>
    <row r="311" spans="1:19" x14ac:dyDescent="0.25">
      <c r="A311" s="3">
        <v>45457</v>
      </c>
      <c r="B311" s="1" t="s">
        <v>379</v>
      </c>
      <c r="C311" s="1" t="s">
        <v>380</v>
      </c>
      <c r="D311" s="1" t="s">
        <v>18</v>
      </c>
      <c r="E311" s="1" t="s">
        <v>668</v>
      </c>
      <c r="F311" s="4">
        <v>12507</v>
      </c>
      <c r="G311" s="1" t="s">
        <v>19</v>
      </c>
      <c r="H311" s="1" t="s">
        <v>381</v>
      </c>
      <c r="I311" s="6">
        <v>101</v>
      </c>
      <c r="J311" s="6">
        <v>44411</v>
      </c>
      <c r="K311" s="1" t="str">
        <f t="shared" si="4"/>
        <v>3052225035610144411</v>
      </c>
      <c r="L311" s="5">
        <v>21</v>
      </c>
      <c r="M311" s="12">
        <v>0</v>
      </c>
      <c r="N311" s="12">
        <v>123446.86</v>
      </c>
      <c r="O311" s="12">
        <v>25923.84</v>
      </c>
      <c r="P311" s="12">
        <v>151839.64000000001</v>
      </c>
      <c r="Q311" s="1" t="s">
        <v>15</v>
      </c>
      <c r="R311" s="5">
        <v>2468.94</v>
      </c>
      <c r="S311">
        <f>VLOOKUP(K311,'MIS COMPROBANTES'!E:Q,13,FALSE)</f>
        <v>151839.64000000001</v>
      </c>
    </row>
    <row r="312" spans="1:19" x14ac:dyDescent="0.25">
      <c r="A312" s="3">
        <v>45457</v>
      </c>
      <c r="B312" s="1" t="s">
        <v>193</v>
      </c>
      <c r="C312" s="1" t="s">
        <v>194</v>
      </c>
      <c r="D312" s="1" t="s">
        <v>18</v>
      </c>
      <c r="E312" s="1" t="s">
        <v>632</v>
      </c>
      <c r="F312" s="4">
        <v>12581</v>
      </c>
      <c r="G312" s="1" t="s">
        <v>19</v>
      </c>
      <c r="H312" s="1" t="s">
        <v>382</v>
      </c>
      <c r="I312" s="6">
        <v>115</v>
      </c>
      <c r="J312" s="6">
        <v>144024</v>
      </c>
      <c r="K312" s="1" t="str">
        <f t="shared" si="4"/>
        <v>30629646708115144024</v>
      </c>
      <c r="L312" s="5">
        <v>10.5</v>
      </c>
      <c r="M312" s="12">
        <v>0</v>
      </c>
      <c r="N312" s="12">
        <v>325425.19</v>
      </c>
      <c r="O312" s="12">
        <v>34169.64</v>
      </c>
      <c r="P312" s="12">
        <v>379120.34</v>
      </c>
      <c r="Q312" s="1" t="s">
        <v>15</v>
      </c>
      <c r="R312" s="5">
        <v>14644.13</v>
      </c>
      <c r="S312">
        <f>VLOOKUP(K312,'MIS COMPROBANTES'!E:Q,13,FALSE)</f>
        <v>379120.34</v>
      </c>
    </row>
    <row r="313" spans="1:19" x14ac:dyDescent="0.25">
      <c r="A313" s="3">
        <v>45457</v>
      </c>
      <c r="B313" s="1" t="s">
        <v>193</v>
      </c>
      <c r="C313" s="1" t="s">
        <v>194</v>
      </c>
      <c r="D313" s="1" t="s">
        <v>18</v>
      </c>
      <c r="E313" s="1" t="s">
        <v>632</v>
      </c>
      <c r="F313" s="4">
        <v>12581</v>
      </c>
      <c r="G313" s="1" t="s">
        <v>19</v>
      </c>
      <c r="H313" s="1" t="s">
        <v>382</v>
      </c>
      <c r="I313" s="6">
        <v>115</v>
      </c>
      <c r="J313" s="6">
        <v>144024</v>
      </c>
      <c r="K313" s="1" t="str">
        <f t="shared" si="4"/>
        <v>30629646708115144024</v>
      </c>
      <c r="L313" s="5">
        <v>1.5</v>
      </c>
      <c r="M313" s="12">
        <v>0</v>
      </c>
      <c r="N313" s="12">
        <v>0</v>
      </c>
      <c r="O313" s="12">
        <v>4881.38</v>
      </c>
      <c r="P313" s="12">
        <v>0</v>
      </c>
      <c r="Q313" s="1" t="s">
        <v>15</v>
      </c>
      <c r="R313" s="5">
        <v>0</v>
      </c>
      <c r="S313">
        <f>VLOOKUP(K313,'MIS COMPROBANTES'!E:Q,13,FALSE)</f>
        <v>379120.34</v>
      </c>
    </row>
    <row r="314" spans="1:19" x14ac:dyDescent="0.25">
      <c r="A314" s="3">
        <v>45457</v>
      </c>
      <c r="B314" s="1" t="s">
        <v>193</v>
      </c>
      <c r="C314" s="1" t="s">
        <v>194</v>
      </c>
      <c r="D314" s="1" t="s">
        <v>18</v>
      </c>
      <c r="E314" s="1" t="s">
        <v>632</v>
      </c>
      <c r="F314" s="4">
        <v>12582</v>
      </c>
      <c r="G314" s="1" t="s">
        <v>19</v>
      </c>
      <c r="H314" s="1" t="s">
        <v>383</v>
      </c>
      <c r="I314" s="6">
        <v>115</v>
      </c>
      <c r="J314" s="6">
        <v>144025</v>
      </c>
      <c r="K314" s="1" t="str">
        <f t="shared" si="4"/>
        <v>30629646708115144025</v>
      </c>
      <c r="L314" s="5">
        <v>21</v>
      </c>
      <c r="M314" s="12">
        <v>0</v>
      </c>
      <c r="N314" s="12">
        <v>2638771.1800000002</v>
      </c>
      <c r="O314" s="12">
        <v>554141.94999999995</v>
      </c>
      <c r="P314" s="12">
        <v>3390820.97</v>
      </c>
      <c r="Q314" s="1" t="s">
        <v>15</v>
      </c>
      <c r="R314" s="5">
        <v>118744.7</v>
      </c>
      <c r="S314">
        <f>VLOOKUP(K314,'MIS COMPROBANTES'!E:Q,13,FALSE)</f>
        <v>3390820.95</v>
      </c>
    </row>
    <row r="315" spans="1:19" x14ac:dyDescent="0.25">
      <c r="A315" s="3">
        <v>45457</v>
      </c>
      <c r="B315" s="1" t="s">
        <v>193</v>
      </c>
      <c r="C315" s="1" t="s">
        <v>194</v>
      </c>
      <c r="D315" s="1" t="s">
        <v>18</v>
      </c>
      <c r="E315" s="1" t="s">
        <v>632</v>
      </c>
      <c r="F315" s="4">
        <v>12582</v>
      </c>
      <c r="G315" s="1" t="s">
        <v>19</v>
      </c>
      <c r="H315" s="1" t="s">
        <v>383</v>
      </c>
      <c r="I315" s="6">
        <v>115</v>
      </c>
      <c r="J315" s="6">
        <v>144025</v>
      </c>
      <c r="K315" s="1" t="str">
        <f t="shared" si="4"/>
        <v>30629646708115144025</v>
      </c>
      <c r="L315" s="5">
        <v>3</v>
      </c>
      <c r="M315" s="12">
        <v>0</v>
      </c>
      <c r="N315" s="12">
        <v>0</v>
      </c>
      <c r="O315" s="12">
        <v>79163.14</v>
      </c>
      <c r="P315" s="12">
        <v>0</v>
      </c>
      <c r="Q315" s="1" t="s">
        <v>15</v>
      </c>
      <c r="R315" s="5">
        <v>0</v>
      </c>
      <c r="S315">
        <f>VLOOKUP(K315,'MIS COMPROBANTES'!E:Q,13,FALSE)</f>
        <v>3390820.95</v>
      </c>
    </row>
    <row r="316" spans="1:19" x14ac:dyDescent="0.25">
      <c r="A316" s="3">
        <v>45457</v>
      </c>
      <c r="B316" s="1" t="s">
        <v>97</v>
      </c>
      <c r="C316" s="1" t="s">
        <v>98</v>
      </c>
      <c r="D316" s="1" t="s">
        <v>18</v>
      </c>
      <c r="E316" s="1" t="s">
        <v>607</v>
      </c>
      <c r="F316" s="4">
        <v>12524</v>
      </c>
      <c r="G316" s="1" t="s">
        <v>19</v>
      </c>
      <c r="H316" s="1" t="s">
        <v>384</v>
      </c>
      <c r="I316" s="6">
        <v>2002</v>
      </c>
      <c r="J316" s="6">
        <v>291209</v>
      </c>
      <c r="K316" s="1" t="str">
        <f t="shared" si="4"/>
        <v>305007682622002291209</v>
      </c>
      <c r="L316" s="5">
        <v>21</v>
      </c>
      <c r="M316" s="12">
        <v>0</v>
      </c>
      <c r="N316" s="12">
        <v>315100.48</v>
      </c>
      <c r="O316" s="12">
        <v>66171.100000000006</v>
      </c>
      <c r="P316" s="12">
        <v>404904.11</v>
      </c>
      <c r="Q316" s="1" t="s">
        <v>15</v>
      </c>
      <c r="R316" s="5">
        <v>14179.52</v>
      </c>
      <c r="S316">
        <f>VLOOKUP(K316,'MIS COMPROBANTES'!E:Q,13,FALSE)</f>
        <v>404904.11</v>
      </c>
    </row>
    <row r="317" spans="1:19" x14ac:dyDescent="0.25">
      <c r="A317" s="3">
        <v>45457</v>
      </c>
      <c r="B317" s="1" t="s">
        <v>97</v>
      </c>
      <c r="C317" s="1" t="s">
        <v>98</v>
      </c>
      <c r="D317" s="1" t="s">
        <v>18</v>
      </c>
      <c r="E317" s="1" t="s">
        <v>607</v>
      </c>
      <c r="F317" s="4">
        <v>12524</v>
      </c>
      <c r="G317" s="1" t="s">
        <v>19</v>
      </c>
      <c r="H317" s="1" t="s">
        <v>384</v>
      </c>
      <c r="I317" s="6">
        <v>2002</v>
      </c>
      <c r="J317" s="6">
        <v>291209</v>
      </c>
      <c r="K317" s="1" t="str">
        <f t="shared" si="4"/>
        <v>305007682622002291209</v>
      </c>
      <c r="L317" s="5">
        <v>3</v>
      </c>
      <c r="M317" s="12">
        <v>0</v>
      </c>
      <c r="N317" s="12">
        <v>0</v>
      </c>
      <c r="O317" s="12">
        <v>9453.01</v>
      </c>
      <c r="P317" s="12">
        <v>0</v>
      </c>
      <c r="Q317" s="1" t="s">
        <v>15</v>
      </c>
      <c r="R317" s="5">
        <v>0</v>
      </c>
      <c r="S317">
        <f>VLOOKUP(K317,'MIS COMPROBANTES'!E:Q,13,FALSE)</f>
        <v>404904.11</v>
      </c>
    </row>
    <row r="318" spans="1:19" x14ac:dyDescent="0.25">
      <c r="A318" s="3">
        <v>45457</v>
      </c>
      <c r="B318" s="1" t="s">
        <v>97</v>
      </c>
      <c r="C318" s="1" t="s">
        <v>98</v>
      </c>
      <c r="D318" s="1" t="s">
        <v>18</v>
      </c>
      <c r="E318" s="1" t="s">
        <v>607</v>
      </c>
      <c r="F318" s="4">
        <v>12718</v>
      </c>
      <c r="G318" s="1" t="s">
        <v>19</v>
      </c>
      <c r="H318" s="1" t="s">
        <v>385</v>
      </c>
      <c r="I318" s="6">
        <v>2002</v>
      </c>
      <c r="J318" s="6">
        <v>291210</v>
      </c>
      <c r="K318" s="1" t="str">
        <f t="shared" si="4"/>
        <v>305007682622002291210</v>
      </c>
      <c r="L318" s="5">
        <v>21</v>
      </c>
      <c r="M318" s="12">
        <v>0</v>
      </c>
      <c r="N318" s="12">
        <v>7068774.5599999996</v>
      </c>
      <c r="O318" s="12">
        <v>1484442.64</v>
      </c>
      <c r="P318" s="12">
        <v>9083375.3000000007</v>
      </c>
      <c r="Q318" s="1" t="s">
        <v>15</v>
      </c>
      <c r="R318" s="5">
        <v>318094.86</v>
      </c>
      <c r="S318">
        <f>VLOOKUP(K318,'MIS COMPROBANTES'!E:Q,13,FALSE)</f>
        <v>9083375.3000000007</v>
      </c>
    </row>
    <row r="319" spans="1:19" x14ac:dyDescent="0.25">
      <c r="A319" s="3">
        <v>45457</v>
      </c>
      <c r="B319" s="1" t="s">
        <v>97</v>
      </c>
      <c r="C319" s="1" t="s">
        <v>98</v>
      </c>
      <c r="D319" s="1" t="s">
        <v>18</v>
      </c>
      <c r="E319" s="1" t="s">
        <v>607</v>
      </c>
      <c r="F319" s="4">
        <v>12718</v>
      </c>
      <c r="G319" s="1" t="s">
        <v>19</v>
      </c>
      <c r="H319" s="1" t="s">
        <v>385</v>
      </c>
      <c r="I319" s="6">
        <v>2002</v>
      </c>
      <c r="J319" s="6">
        <v>291210</v>
      </c>
      <c r="K319" s="1" t="str">
        <f t="shared" ref="K319:K380" si="5">CONCATENATE(E319,I319,J319)</f>
        <v>305007682622002291210</v>
      </c>
      <c r="L319" s="5">
        <v>3</v>
      </c>
      <c r="M319" s="12">
        <v>0</v>
      </c>
      <c r="N319" s="12">
        <v>0</v>
      </c>
      <c r="O319" s="12">
        <v>212063.24</v>
      </c>
      <c r="P319" s="12">
        <v>0</v>
      </c>
      <c r="Q319" s="1" t="s">
        <v>15</v>
      </c>
      <c r="R319" s="5">
        <v>0</v>
      </c>
      <c r="S319">
        <f>VLOOKUP(K319,'MIS COMPROBANTES'!E:Q,13,FALSE)</f>
        <v>9083375.3000000007</v>
      </c>
    </row>
    <row r="320" spans="1:19" x14ac:dyDescent="0.25">
      <c r="A320" s="3">
        <v>45458</v>
      </c>
      <c r="B320" s="1" t="s">
        <v>809</v>
      </c>
      <c r="C320" s="1" t="s">
        <v>810</v>
      </c>
      <c r="D320" s="1" t="s">
        <v>18</v>
      </c>
      <c r="E320" s="1" t="s">
        <v>816</v>
      </c>
      <c r="F320" s="4">
        <v>12927</v>
      </c>
      <c r="G320" s="1" t="s">
        <v>19</v>
      </c>
      <c r="H320" s="1" t="s">
        <v>811</v>
      </c>
      <c r="I320" s="6">
        <v>13</v>
      </c>
      <c r="J320" s="6">
        <v>162530</v>
      </c>
      <c r="K320" s="1" t="str">
        <f t="shared" si="5"/>
        <v>3070854904113162530</v>
      </c>
      <c r="L320" s="5">
        <v>21</v>
      </c>
      <c r="M320" s="12">
        <v>161.36000000000001</v>
      </c>
      <c r="N320" s="12">
        <v>50245.95</v>
      </c>
      <c r="O320" s="12">
        <v>10551.65</v>
      </c>
      <c r="P320" s="12">
        <v>60958.96</v>
      </c>
      <c r="Q320" s="1" t="s">
        <v>15</v>
      </c>
      <c r="R320" s="5">
        <v>0</v>
      </c>
      <c r="S320" t="e">
        <f>VLOOKUP(K320,'MIS COMPROBANTES'!E:Q,13,FALSE)</f>
        <v>#N/A</v>
      </c>
    </row>
    <row r="321" spans="1:19" x14ac:dyDescent="0.25">
      <c r="A321" s="3">
        <v>45458</v>
      </c>
      <c r="B321" s="1" t="s">
        <v>386</v>
      </c>
      <c r="C321" s="1" t="s">
        <v>387</v>
      </c>
      <c r="D321" s="1" t="s">
        <v>18</v>
      </c>
      <c r="E321" s="1" t="s">
        <v>669</v>
      </c>
      <c r="F321" s="4">
        <v>12806</v>
      </c>
      <c r="G321" s="1" t="s">
        <v>19</v>
      </c>
      <c r="H321" s="1" t="s">
        <v>388</v>
      </c>
      <c r="I321" s="6">
        <v>113</v>
      </c>
      <c r="J321" s="6">
        <v>3657291</v>
      </c>
      <c r="K321" s="1" t="str">
        <f t="shared" si="5"/>
        <v>305772071901133657291</v>
      </c>
      <c r="L321" s="5">
        <v>21</v>
      </c>
      <c r="M321" s="12">
        <v>0</v>
      </c>
      <c r="N321" s="12">
        <v>34390.080000000002</v>
      </c>
      <c r="O321" s="12">
        <v>7221.92</v>
      </c>
      <c r="P321" s="12">
        <v>43331.5</v>
      </c>
      <c r="Q321" s="1" t="s">
        <v>15</v>
      </c>
      <c r="R321" s="5">
        <v>687.8</v>
      </c>
      <c r="S321">
        <f>VLOOKUP(K321,'MIS COMPROBANTES'!E:Q,13,FALSE)</f>
        <v>43331.5</v>
      </c>
    </row>
    <row r="322" spans="1:19" x14ac:dyDescent="0.25">
      <c r="A322" s="3">
        <v>45458</v>
      </c>
      <c r="B322" s="1" t="s">
        <v>386</v>
      </c>
      <c r="C322" s="1" t="s">
        <v>387</v>
      </c>
      <c r="D322" s="1" t="s">
        <v>18</v>
      </c>
      <c r="E322" s="1" t="s">
        <v>669</v>
      </c>
      <c r="F322" s="4">
        <v>12806</v>
      </c>
      <c r="G322" s="1" t="s">
        <v>19</v>
      </c>
      <c r="H322" s="1" t="s">
        <v>388</v>
      </c>
      <c r="I322" s="6">
        <v>113</v>
      </c>
      <c r="J322" s="6">
        <v>3657291</v>
      </c>
      <c r="K322" s="1" t="str">
        <f t="shared" si="5"/>
        <v>305772071901133657291</v>
      </c>
      <c r="L322" s="5">
        <v>3</v>
      </c>
      <c r="M322" s="12">
        <v>0</v>
      </c>
      <c r="N322" s="12">
        <v>0</v>
      </c>
      <c r="O322" s="12">
        <v>1031.7</v>
      </c>
      <c r="P322" s="12">
        <v>0</v>
      </c>
      <c r="Q322" s="1" t="s">
        <v>15</v>
      </c>
      <c r="R322" s="5">
        <v>0</v>
      </c>
      <c r="S322">
        <f>VLOOKUP(K322,'MIS COMPROBANTES'!E:Q,13,FALSE)</f>
        <v>43331.5</v>
      </c>
    </row>
    <row r="323" spans="1:19" x14ac:dyDescent="0.25">
      <c r="A323" s="3">
        <v>45458</v>
      </c>
      <c r="B323" s="1" t="s">
        <v>386</v>
      </c>
      <c r="C323" s="1" t="s">
        <v>387</v>
      </c>
      <c r="D323" s="1" t="s">
        <v>18</v>
      </c>
      <c r="E323" s="1" t="s">
        <v>669</v>
      </c>
      <c r="F323" s="4">
        <v>12807</v>
      </c>
      <c r="G323" s="1" t="s">
        <v>19</v>
      </c>
      <c r="H323" s="1" t="s">
        <v>389</v>
      </c>
      <c r="I323" s="6">
        <v>113</v>
      </c>
      <c r="J323" s="6">
        <v>3658130</v>
      </c>
      <c r="K323" s="1" t="str">
        <f t="shared" si="5"/>
        <v>305772071901133658130</v>
      </c>
      <c r="L323" s="5">
        <v>21</v>
      </c>
      <c r="M323" s="12">
        <v>0</v>
      </c>
      <c r="N323" s="12">
        <v>2148.7600000000002</v>
      </c>
      <c r="O323" s="12">
        <v>451.24</v>
      </c>
      <c r="P323" s="12">
        <v>2664.46</v>
      </c>
      <c r="Q323" s="1" t="s">
        <v>15</v>
      </c>
      <c r="R323" s="5">
        <v>0</v>
      </c>
      <c r="S323">
        <f>VLOOKUP(K323,'MIS COMPROBANTES'!E:Q,13,FALSE)</f>
        <v>2664.46</v>
      </c>
    </row>
    <row r="324" spans="1:19" x14ac:dyDescent="0.25">
      <c r="A324" s="3">
        <v>45458</v>
      </c>
      <c r="B324" s="1" t="s">
        <v>386</v>
      </c>
      <c r="C324" s="1" t="s">
        <v>387</v>
      </c>
      <c r="D324" s="1" t="s">
        <v>18</v>
      </c>
      <c r="E324" s="1" t="s">
        <v>669</v>
      </c>
      <c r="F324" s="4">
        <v>12807</v>
      </c>
      <c r="G324" s="1" t="s">
        <v>19</v>
      </c>
      <c r="H324" s="1" t="s">
        <v>389</v>
      </c>
      <c r="I324" s="6">
        <v>113</v>
      </c>
      <c r="J324" s="6">
        <v>3658130</v>
      </c>
      <c r="K324" s="1" t="str">
        <f t="shared" si="5"/>
        <v>305772071901133658130</v>
      </c>
      <c r="L324" s="5">
        <v>3</v>
      </c>
      <c r="M324" s="12">
        <v>0</v>
      </c>
      <c r="N324" s="12">
        <v>0</v>
      </c>
      <c r="O324" s="12">
        <v>64.459999999999994</v>
      </c>
      <c r="P324" s="12">
        <v>0</v>
      </c>
      <c r="Q324" s="1" t="s">
        <v>15</v>
      </c>
      <c r="R324" s="5">
        <v>0</v>
      </c>
      <c r="S324">
        <f>VLOOKUP(K324,'MIS COMPROBANTES'!E:Q,13,FALSE)</f>
        <v>2664.46</v>
      </c>
    </row>
    <row r="325" spans="1:19" x14ac:dyDescent="0.25">
      <c r="A325" s="3">
        <v>45458</v>
      </c>
      <c r="B325" s="1" t="s">
        <v>129</v>
      </c>
      <c r="C325" s="1" t="s">
        <v>130</v>
      </c>
      <c r="D325" s="1" t="s">
        <v>18</v>
      </c>
      <c r="E325" s="1" t="s">
        <v>615</v>
      </c>
      <c r="F325" s="4">
        <v>12820</v>
      </c>
      <c r="G325" s="1" t="s">
        <v>31</v>
      </c>
      <c r="H325" s="1" t="s">
        <v>390</v>
      </c>
      <c r="I325" s="6">
        <v>6010</v>
      </c>
      <c r="J325" s="6">
        <v>55694</v>
      </c>
      <c r="K325" s="1" t="str">
        <f t="shared" si="5"/>
        <v>30501116242601055694</v>
      </c>
      <c r="L325" s="5">
        <v>21</v>
      </c>
      <c r="M325" s="12">
        <v>0</v>
      </c>
      <c r="N325" s="12">
        <v>-199685.25</v>
      </c>
      <c r="O325" s="12">
        <v>-41933.9</v>
      </c>
      <c r="P325" s="12">
        <v>-241619.15</v>
      </c>
      <c r="Q325" s="1" t="s">
        <v>15</v>
      </c>
      <c r="R325" s="5">
        <v>0</v>
      </c>
      <c r="S325">
        <f>VLOOKUP(K325,'MIS COMPROBANTES'!E:Q,13,FALSE)</f>
        <v>241619.15</v>
      </c>
    </row>
    <row r="326" spans="1:19" x14ac:dyDescent="0.25">
      <c r="A326" s="3">
        <v>45460</v>
      </c>
      <c r="B326" s="1" t="s">
        <v>216</v>
      </c>
      <c r="C326" s="1" t="s">
        <v>217</v>
      </c>
      <c r="D326" s="1" t="s">
        <v>18</v>
      </c>
      <c r="E326" s="1" t="s">
        <v>636</v>
      </c>
      <c r="F326" s="4">
        <v>12476</v>
      </c>
      <c r="G326" s="1" t="s">
        <v>19</v>
      </c>
      <c r="H326" s="1" t="s">
        <v>391</v>
      </c>
      <c r="I326" s="6">
        <v>3</v>
      </c>
      <c r="J326" s="6">
        <v>51060</v>
      </c>
      <c r="K326" s="1" t="str">
        <f t="shared" si="5"/>
        <v>30711497974351060</v>
      </c>
      <c r="L326" s="5">
        <v>21</v>
      </c>
      <c r="M326" s="12">
        <v>0</v>
      </c>
      <c r="N326" s="12">
        <v>1106333.3</v>
      </c>
      <c r="O326" s="12">
        <v>232329.99</v>
      </c>
      <c r="P326" s="12">
        <v>1338663.29</v>
      </c>
      <c r="Q326" s="1" t="s">
        <v>15</v>
      </c>
      <c r="R326" s="5">
        <v>0</v>
      </c>
      <c r="S326">
        <f>VLOOKUP(K326,'MIS COMPROBANTES'!E:Q,13,FALSE)</f>
        <v>1338663.29</v>
      </c>
    </row>
    <row r="327" spans="1:19" x14ac:dyDescent="0.25">
      <c r="A327" s="3">
        <v>45460</v>
      </c>
      <c r="B327" s="1" t="s">
        <v>121</v>
      </c>
      <c r="C327" s="1" t="s">
        <v>122</v>
      </c>
      <c r="D327" s="1" t="s">
        <v>18</v>
      </c>
      <c r="E327" s="1" t="s">
        <v>613</v>
      </c>
      <c r="F327" s="4">
        <v>12799</v>
      </c>
      <c r="G327" s="1" t="s">
        <v>19</v>
      </c>
      <c r="H327" s="1" t="s">
        <v>392</v>
      </c>
      <c r="I327" s="6">
        <v>711</v>
      </c>
      <c r="J327" s="6">
        <v>5833794</v>
      </c>
      <c r="K327" s="1" t="str">
        <f t="shared" si="5"/>
        <v>306772371197115833794</v>
      </c>
      <c r="L327" s="5">
        <v>21</v>
      </c>
      <c r="M327" s="12">
        <v>0</v>
      </c>
      <c r="N327" s="12">
        <v>17190.12</v>
      </c>
      <c r="O327" s="12">
        <v>3609.88</v>
      </c>
      <c r="P327" s="12">
        <v>22089.25</v>
      </c>
      <c r="Q327" s="1" t="s">
        <v>15</v>
      </c>
      <c r="R327" s="5">
        <v>773.55</v>
      </c>
      <c r="S327">
        <f>VLOOKUP(K327,'MIS COMPROBANTES'!E:Q,13,FALSE)</f>
        <v>22089.25</v>
      </c>
    </row>
    <row r="328" spans="1:19" x14ac:dyDescent="0.25">
      <c r="A328" s="3">
        <v>45460</v>
      </c>
      <c r="B328" s="1" t="s">
        <v>121</v>
      </c>
      <c r="C328" s="1" t="s">
        <v>122</v>
      </c>
      <c r="D328" s="1" t="s">
        <v>18</v>
      </c>
      <c r="E328" s="1" t="s">
        <v>613</v>
      </c>
      <c r="F328" s="4">
        <v>12799</v>
      </c>
      <c r="G328" s="1" t="s">
        <v>19</v>
      </c>
      <c r="H328" s="1" t="s">
        <v>392</v>
      </c>
      <c r="I328" s="6">
        <v>711</v>
      </c>
      <c r="J328" s="6">
        <v>5833794</v>
      </c>
      <c r="K328" s="1" t="str">
        <f t="shared" si="5"/>
        <v>306772371197115833794</v>
      </c>
      <c r="L328" s="5">
        <v>3</v>
      </c>
      <c r="M328" s="12">
        <v>0</v>
      </c>
      <c r="N328" s="12">
        <v>0</v>
      </c>
      <c r="O328" s="12">
        <v>515.70000000000005</v>
      </c>
      <c r="P328" s="12">
        <v>0</v>
      </c>
      <c r="Q328" s="1" t="s">
        <v>15</v>
      </c>
      <c r="R328" s="5">
        <v>0</v>
      </c>
      <c r="S328">
        <f>VLOOKUP(K328,'MIS COMPROBANTES'!E:Q,13,FALSE)</f>
        <v>22089.25</v>
      </c>
    </row>
    <row r="329" spans="1:19" x14ac:dyDescent="0.25">
      <c r="A329" s="3">
        <v>45460</v>
      </c>
      <c r="B329" s="1" t="s">
        <v>121</v>
      </c>
      <c r="C329" s="1" t="s">
        <v>122</v>
      </c>
      <c r="D329" s="1" t="s">
        <v>18</v>
      </c>
      <c r="E329" s="1" t="s">
        <v>613</v>
      </c>
      <c r="F329" s="4">
        <v>12797</v>
      </c>
      <c r="G329" s="1" t="s">
        <v>19</v>
      </c>
      <c r="H329" s="1" t="s">
        <v>393</v>
      </c>
      <c r="I329" s="6">
        <v>711</v>
      </c>
      <c r="J329" s="6">
        <v>5836637</v>
      </c>
      <c r="K329" s="1" t="str">
        <f t="shared" si="5"/>
        <v>306772371197115836637</v>
      </c>
      <c r="L329" s="5">
        <v>21</v>
      </c>
      <c r="M329" s="12">
        <v>0</v>
      </c>
      <c r="N329" s="12">
        <v>56694.47</v>
      </c>
      <c r="O329" s="12">
        <v>11905.53</v>
      </c>
      <c r="P329" s="12">
        <v>72852.08</v>
      </c>
      <c r="Q329" s="1" t="s">
        <v>15</v>
      </c>
      <c r="R329" s="5">
        <v>2551.25</v>
      </c>
      <c r="S329">
        <f>VLOOKUP(K329,'MIS COMPROBANTES'!E:Q,13,FALSE)</f>
        <v>72852.08</v>
      </c>
    </row>
    <row r="330" spans="1:19" x14ac:dyDescent="0.25">
      <c r="A330" s="3">
        <v>45460</v>
      </c>
      <c r="B330" s="1" t="s">
        <v>121</v>
      </c>
      <c r="C330" s="1" t="s">
        <v>122</v>
      </c>
      <c r="D330" s="1" t="s">
        <v>18</v>
      </c>
      <c r="E330" s="1" t="s">
        <v>613</v>
      </c>
      <c r="F330" s="4">
        <v>12797</v>
      </c>
      <c r="G330" s="1" t="s">
        <v>19</v>
      </c>
      <c r="H330" s="1" t="s">
        <v>393</v>
      </c>
      <c r="I330" s="6">
        <v>711</v>
      </c>
      <c r="J330" s="6">
        <v>5836637</v>
      </c>
      <c r="K330" s="1" t="str">
        <f t="shared" si="5"/>
        <v>306772371197115836637</v>
      </c>
      <c r="L330" s="5">
        <v>3</v>
      </c>
      <c r="M330" s="12">
        <v>0</v>
      </c>
      <c r="N330" s="12">
        <v>0</v>
      </c>
      <c r="O330" s="12">
        <v>1700.83</v>
      </c>
      <c r="P330" s="12">
        <v>0</v>
      </c>
      <c r="Q330" s="1" t="s">
        <v>15</v>
      </c>
      <c r="R330" s="5">
        <v>0</v>
      </c>
      <c r="S330">
        <f>VLOOKUP(K330,'MIS COMPROBANTES'!E:Q,13,FALSE)</f>
        <v>72852.08</v>
      </c>
    </row>
    <row r="331" spans="1:19" x14ac:dyDescent="0.25">
      <c r="A331" s="3">
        <v>45460</v>
      </c>
      <c r="B331" s="1" t="s">
        <v>121</v>
      </c>
      <c r="C331" s="1" t="s">
        <v>122</v>
      </c>
      <c r="D331" s="1" t="s">
        <v>18</v>
      </c>
      <c r="E331" s="1" t="s">
        <v>613</v>
      </c>
      <c r="F331" s="4">
        <v>12798</v>
      </c>
      <c r="G331" s="1" t="s">
        <v>19</v>
      </c>
      <c r="H331" s="1" t="s">
        <v>394</v>
      </c>
      <c r="I331" s="6">
        <v>711</v>
      </c>
      <c r="J331" s="6">
        <v>5838441</v>
      </c>
      <c r="K331" s="1" t="str">
        <f t="shared" si="5"/>
        <v>306772371197115838441</v>
      </c>
      <c r="L331" s="5">
        <v>21</v>
      </c>
      <c r="M331" s="12">
        <v>0</v>
      </c>
      <c r="N331" s="12">
        <v>61653.08</v>
      </c>
      <c r="O331" s="12">
        <v>12946.92</v>
      </c>
      <c r="P331" s="12">
        <v>79223.98</v>
      </c>
      <c r="Q331" s="1" t="s">
        <v>15</v>
      </c>
      <c r="R331" s="5">
        <v>2774.39</v>
      </c>
      <c r="S331">
        <f>VLOOKUP(K331,'MIS COMPROBANTES'!E:Q,13,FALSE)</f>
        <v>79223.98</v>
      </c>
    </row>
    <row r="332" spans="1:19" x14ac:dyDescent="0.25">
      <c r="A332" s="3">
        <v>45460</v>
      </c>
      <c r="B332" s="1" t="s">
        <v>121</v>
      </c>
      <c r="C332" s="1" t="s">
        <v>122</v>
      </c>
      <c r="D332" s="1" t="s">
        <v>18</v>
      </c>
      <c r="E332" s="1" t="s">
        <v>613</v>
      </c>
      <c r="F332" s="4">
        <v>12798</v>
      </c>
      <c r="G332" s="1" t="s">
        <v>19</v>
      </c>
      <c r="H332" s="1" t="s">
        <v>394</v>
      </c>
      <c r="I332" s="6">
        <v>711</v>
      </c>
      <c r="J332" s="6">
        <v>5838441</v>
      </c>
      <c r="K332" s="1" t="str">
        <f t="shared" si="5"/>
        <v>306772371197115838441</v>
      </c>
      <c r="L332" s="5">
        <v>3</v>
      </c>
      <c r="M332" s="12">
        <v>0</v>
      </c>
      <c r="N332" s="12">
        <v>0</v>
      </c>
      <c r="O332" s="12">
        <v>1849.59</v>
      </c>
      <c r="P332" s="12">
        <v>0</v>
      </c>
      <c r="Q332" s="1" t="s">
        <v>15</v>
      </c>
      <c r="R332" s="5">
        <v>0</v>
      </c>
      <c r="S332">
        <f>VLOOKUP(K332,'MIS COMPROBANTES'!E:Q,13,FALSE)</f>
        <v>79223.98</v>
      </c>
    </row>
    <row r="333" spans="1:19" x14ac:dyDescent="0.25">
      <c r="A333" s="3">
        <v>45460</v>
      </c>
      <c r="B333" s="1" t="s">
        <v>82</v>
      </c>
      <c r="C333" s="1" t="s">
        <v>83</v>
      </c>
      <c r="D333" s="1" t="s">
        <v>18</v>
      </c>
      <c r="E333" s="1" t="s">
        <v>603</v>
      </c>
      <c r="F333" s="4">
        <v>12803</v>
      </c>
      <c r="G333" s="1" t="s">
        <v>19</v>
      </c>
      <c r="H333" s="1" t="s">
        <v>395</v>
      </c>
      <c r="I333" s="6">
        <v>5011</v>
      </c>
      <c r="J333" s="6">
        <v>638662</v>
      </c>
      <c r="K333" s="1" t="str">
        <f t="shared" si="5"/>
        <v>305748764745011638662</v>
      </c>
      <c r="L333" s="5">
        <v>21</v>
      </c>
      <c r="M333" s="12">
        <v>0.1</v>
      </c>
      <c r="N333" s="12">
        <v>26005.5</v>
      </c>
      <c r="O333" s="12">
        <v>5461.15</v>
      </c>
      <c r="P333" s="12">
        <v>34717.440000000002</v>
      </c>
      <c r="Q333" s="1" t="s">
        <v>15</v>
      </c>
      <c r="R333" s="5">
        <v>3250.69</v>
      </c>
      <c r="S333">
        <f>VLOOKUP(K333,'MIS COMPROBANTES'!E:Q,13,FALSE)</f>
        <v>34717.449999999997</v>
      </c>
    </row>
    <row r="334" spans="1:19" x14ac:dyDescent="0.25">
      <c r="A334" s="3">
        <v>45460</v>
      </c>
      <c r="B334" s="1" t="s">
        <v>82</v>
      </c>
      <c r="C334" s="1" t="s">
        <v>83</v>
      </c>
      <c r="D334" s="1" t="s">
        <v>18</v>
      </c>
      <c r="E334" s="1" t="s">
        <v>603</v>
      </c>
      <c r="F334" s="4">
        <v>12802</v>
      </c>
      <c r="G334" s="1" t="s">
        <v>19</v>
      </c>
      <c r="H334" s="1" t="s">
        <v>396</v>
      </c>
      <c r="I334" s="6">
        <v>5014</v>
      </c>
      <c r="J334" s="6">
        <v>624249</v>
      </c>
      <c r="K334" s="1" t="str">
        <f t="shared" si="5"/>
        <v>305748764745014624249</v>
      </c>
      <c r="L334" s="5">
        <v>21</v>
      </c>
      <c r="M334" s="12">
        <v>0.15</v>
      </c>
      <c r="N334" s="12">
        <v>44824.7</v>
      </c>
      <c r="O334" s="12">
        <v>9413.19</v>
      </c>
      <c r="P334" s="12">
        <v>59841.15</v>
      </c>
      <c r="Q334" s="1" t="s">
        <v>15</v>
      </c>
      <c r="R334" s="5">
        <v>5603.11</v>
      </c>
      <c r="S334">
        <f>VLOOKUP(K334,'MIS COMPROBANTES'!E:Q,13,FALSE)</f>
        <v>59841.15</v>
      </c>
    </row>
    <row r="335" spans="1:19" x14ac:dyDescent="0.25">
      <c r="A335" s="3">
        <v>45461</v>
      </c>
      <c r="B335" s="1" t="s">
        <v>397</v>
      </c>
      <c r="C335" s="1" t="s">
        <v>398</v>
      </c>
      <c r="D335" s="1" t="s">
        <v>18</v>
      </c>
      <c r="E335" s="1" t="s">
        <v>670</v>
      </c>
      <c r="F335" s="4">
        <v>12613</v>
      </c>
      <c r="G335" s="1" t="s">
        <v>19</v>
      </c>
      <c r="H335" s="1" t="s">
        <v>399</v>
      </c>
      <c r="I335" s="6">
        <v>2024</v>
      </c>
      <c r="J335" s="6">
        <v>10746316</v>
      </c>
      <c r="K335" s="1" t="str">
        <f t="shared" si="5"/>
        <v>30592717340202410746316</v>
      </c>
      <c r="L335" s="5">
        <v>21</v>
      </c>
      <c r="M335" s="12">
        <v>5127.75</v>
      </c>
      <c r="N335" s="12">
        <v>76890.36</v>
      </c>
      <c r="O335" s="12">
        <v>16146.97</v>
      </c>
      <c r="P335" s="12">
        <v>101625.15</v>
      </c>
      <c r="Q335" s="1" t="s">
        <v>15</v>
      </c>
      <c r="R335" s="5">
        <v>3460.07</v>
      </c>
      <c r="S335" t="e">
        <f>VLOOKUP(K335,'MIS COMPROBANTES'!E:Q,13,FALSE)</f>
        <v>#N/A</v>
      </c>
    </row>
    <row r="336" spans="1:19" x14ac:dyDescent="0.25">
      <c r="A336" s="3">
        <v>45461</v>
      </c>
      <c r="B336" s="1" t="s">
        <v>397</v>
      </c>
      <c r="C336" s="1" t="s">
        <v>398</v>
      </c>
      <c r="D336" s="1" t="s">
        <v>18</v>
      </c>
      <c r="E336" s="1" t="s">
        <v>670</v>
      </c>
      <c r="F336" s="4">
        <v>12612</v>
      </c>
      <c r="G336" s="1" t="s">
        <v>19</v>
      </c>
      <c r="H336" s="1" t="s">
        <v>400</v>
      </c>
      <c r="I336" s="6">
        <v>2024</v>
      </c>
      <c r="J336" s="6">
        <v>10746415</v>
      </c>
      <c r="K336" s="1" t="str">
        <f t="shared" si="5"/>
        <v>30592717340202410746415</v>
      </c>
      <c r="L336" s="5">
        <v>21</v>
      </c>
      <c r="M336" s="12">
        <v>5127.75</v>
      </c>
      <c r="N336" s="12">
        <v>76890.36</v>
      </c>
      <c r="O336" s="12">
        <v>16146.97</v>
      </c>
      <c r="P336" s="12">
        <v>101625.15</v>
      </c>
      <c r="Q336" s="1" t="s">
        <v>15</v>
      </c>
      <c r="R336" s="5">
        <v>3460.07</v>
      </c>
      <c r="S336" t="e">
        <f>VLOOKUP(K336,'MIS COMPROBANTES'!E:Q,13,FALSE)</f>
        <v>#N/A</v>
      </c>
    </row>
    <row r="337" spans="1:19" x14ac:dyDescent="0.25">
      <c r="A337" s="3">
        <v>45461</v>
      </c>
      <c r="B337" s="1" t="s">
        <v>397</v>
      </c>
      <c r="C337" s="1" t="s">
        <v>398</v>
      </c>
      <c r="D337" s="1" t="s">
        <v>18</v>
      </c>
      <c r="E337" s="1" t="s">
        <v>670</v>
      </c>
      <c r="F337" s="4">
        <v>12614</v>
      </c>
      <c r="G337" s="1" t="s">
        <v>19</v>
      </c>
      <c r="H337" s="1" t="s">
        <v>401</v>
      </c>
      <c r="I337" s="6">
        <v>2024</v>
      </c>
      <c r="J337" s="6">
        <v>10746515</v>
      </c>
      <c r="K337" s="1" t="str">
        <f t="shared" si="5"/>
        <v>30592717340202410746515</v>
      </c>
      <c r="L337" s="5">
        <v>21</v>
      </c>
      <c r="M337" s="12">
        <v>5127.75</v>
      </c>
      <c r="N337" s="12">
        <v>76890.36</v>
      </c>
      <c r="O337" s="12">
        <v>16146.97</v>
      </c>
      <c r="P337" s="12">
        <v>101625.15</v>
      </c>
      <c r="Q337" s="1" t="s">
        <v>15</v>
      </c>
      <c r="R337" s="5">
        <v>3460.07</v>
      </c>
      <c r="S337" t="e">
        <f>VLOOKUP(K337,'MIS COMPROBANTES'!E:Q,13,FALSE)</f>
        <v>#N/A</v>
      </c>
    </row>
    <row r="338" spans="1:19" x14ac:dyDescent="0.25">
      <c r="A338" s="3">
        <v>45461</v>
      </c>
      <c r="B338" s="1" t="s">
        <v>397</v>
      </c>
      <c r="C338" s="1" t="s">
        <v>398</v>
      </c>
      <c r="D338" s="1" t="s">
        <v>18</v>
      </c>
      <c r="E338" s="1" t="s">
        <v>670</v>
      </c>
      <c r="F338" s="4">
        <v>12615</v>
      </c>
      <c r="G338" s="1" t="s">
        <v>19</v>
      </c>
      <c r="H338" s="1" t="s">
        <v>402</v>
      </c>
      <c r="I338" s="6">
        <v>2024</v>
      </c>
      <c r="J338" s="6">
        <v>60044313</v>
      </c>
      <c r="K338" s="1" t="str">
        <f t="shared" si="5"/>
        <v>30592717340202460044313</v>
      </c>
      <c r="L338" s="5">
        <v>21</v>
      </c>
      <c r="M338" s="12">
        <v>4972.95</v>
      </c>
      <c r="N338" s="12">
        <v>62139.49</v>
      </c>
      <c r="O338" s="12">
        <v>13049.29</v>
      </c>
      <c r="P338" s="12">
        <v>82958.009999999995</v>
      </c>
      <c r="Q338" s="1" t="s">
        <v>15</v>
      </c>
      <c r="R338" s="5">
        <v>2796.28</v>
      </c>
      <c r="S338" t="e">
        <f>VLOOKUP(K338,'MIS COMPROBANTES'!E:Q,13,FALSE)</f>
        <v>#N/A</v>
      </c>
    </row>
    <row r="339" spans="1:19" x14ac:dyDescent="0.25">
      <c r="A339" s="3">
        <v>45461</v>
      </c>
      <c r="B339" s="1" t="s">
        <v>16</v>
      </c>
      <c r="C339" s="1" t="s">
        <v>17</v>
      </c>
      <c r="D339" s="1" t="s">
        <v>18</v>
      </c>
      <c r="E339" s="1" t="s">
        <v>584</v>
      </c>
      <c r="F339" s="4">
        <v>12490</v>
      </c>
      <c r="G339" s="1" t="s">
        <v>19</v>
      </c>
      <c r="H339" s="1" t="s">
        <v>403</v>
      </c>
      <c r="I339" s="6">
        <v>2024</v>
      </c>
      <c r="J339" s="6">
        <v>90036201</v>
      </c>
      <c r="K339" s="1" t="str">
        <f t="shared" si="5"/>
        <v>30500008454202490036201</v>
      </c>
      <c r="L339" s="5">
        <v>10.5</v>
      </c>
      <c r="M339" s="12">
        <v>9206.26</v>
      </c>
      <c r="N339" s="12">
        <v>203304.82</v>
      </c>
      <c r="O339" s="12">
        <v>21347.01</v>
      </c>
      <c r="P339" s="12">
        <v>240973.76</v>
      </c>
      <c r="Q339" s="1" t="s">
        <v>15</v>
      </c>
      <c r="R339" s="5">
        <v>4066.1</v>
      </c>
      <c r="S339" t="e">
        <f>VLOOKUP(K339,'MIS COMPROBANTES'!E:Q,13,FALSE)</f>
        <v>#N/A</v>
      </c>
    </row>
    <row r="340" spans="1:19" x14ac:dyDescent="0.25">
      <c r="A340" s="3">
        <v>45461</v>
      </c>
      <c r="B340" s="1" t="s">
        <v>16</v>
      </c>
      <c r="C340" s="1" t="s">
        <v>17</v>
      </c>
      <c r="D340" s="1" t="s">
        <v>18</v>
      </c>
      <c r="E340" s="1" t="s">
        <v>584</v>
      </c>
      <c r="F340" s="4">
        <v>12490</v>
      </c>
      <c r="G340" s="1" t="s">
        <v>19</v>
      </c>
      <c r="H340" s="1" t="s">
        <v>403</v>
      </c>
      <c r="I340" s="6">
        <v>2024</v>
      </c>
      <c r="J340" s="6">
        <v>90036201</v>
      </c>
      <c r="K340" s="1" t="str">
        <f t="shared" si="5"/>
        <v>30500008454202490036201</v>
      </c>
      <c r="L340" s="5">
        <v>1.5</v>
      </c>
      <c r="M340" s="12">
        <v>0</v>
      </c>
      <c r="N340" s="12">
        <v>0</v>
      </c>
      <c r="O340" s="12">
        <v>3049.57</v>
      </c>
      <c r="P340" s="12">
        <v>0</v>
      </c>
      <c r="Q340" s="1" t="s">
        <v>15</v>
      </c>
      <c r="R340" s="5">
        <v>0</v>
      </c>
      <c r="S340" t="e">
        <f>VLOOKUP(K340,'MIS COMPROBANTES'!E:Q,13,FALSE)</f>
        <v>#N/A</v>
      </c>
    </row>
    <row r="341" spans="1:19" x14ac:dyDescent="0.25">
      <c r="A341" s="3">
        <v>45461</v>
      </c>
      <c r="B341" s="1" t="s">
        <v>70</v>
      </c>
      <c r="C341" s="1" t="s">
        <v>71</v>
      </c>
      <c r="D341" s="1" t="s">
        <v>18</v>
      </c>
      <c r="E341" s="1" t="s">
        <v>599</v>
      </c>
      <c r="F341" s="4">
        <v>12495</v>
      </c>
      <c r="G341" s="1" t="s">
        <v>19</v>
      </c>
      <c r="H341" s="1" t="s">
        <v>404</v>
      </c>
      <c r="I341" s="6">
        <v>3</v>
      </c>
      <c r="J341" s="6">
        <v>101508</v>
      </c>
      <c r="K341" s="1" t="str">
        <f t="shared" si="5"/>
        <v>307039574783101508</v>
      </c>
      <c r="L341" s="5">
        <v>21</v>
      </c>
      <c r="M341" s="12">
        <v>0</v>
      </c>
      <c r="N341" s="12">
        <v>1755884.3</v>
      </c>
      <c r="O341" s="12">
        <v>368735.7</v>
      </c>
      <c r="P341" s="12">
        <v>2159737.69</v>
      </c>
      <c r="Q341" s="1" t="s">
        <v>15</v>
      </c>
      <c r="R341" s="5">
        <v>35117.69</v>
      </c>
      <c r="S341">
        <f>VLOOKUP(K341,'MIS COMPROBANTES'!E:Q,13,FALSE)</f>
        <v>2159737.69</v>
      </c>
    </row>
    <row r="342" spans="1:19" x14ac:dyDescent="0.25">
      <c r="A342" s="3">
        <v>45461</v>
      </c>
      <c r="B342" s="1" t="s">
        <v>315</v>
      </c>
      <c r="C342" s="1" t="s">
        <v>316</v>
      </c>
      <c r="D342" s="1" t="s">
        <v>18</v>
      </c>
      <c r="E342" s="1" t="s">
        <v>657</v>
      </c>
      <c r="F342" s="4">
        <v>12576</v>
      </c>
      <c r="G342" s="1" t="s">
        <v>19</v>
      </c>
      <c r="H342" s="1" t="s">
        <v>405</v>
      </c>
      <c r="I342" s="6">
        <v>4</v>
      </c>
      <c r="J342" s="6">
        <v>29646</v>
      </c>
      <c r="K342" s="1" t="str">
        <f t="shared" si="5"/>
        <v>30645830446429646</v>
      </c>
      <c r="L342" s="5">
        <v>21</v>
      </c>
      <c r="M342" s="12">
        <v>0</v>
      </c>
      <c r="N342" s="12">
        <v>6784414.5</v>
      </c>
      <c r="O342" s="12">
        <v>1424727.05</v>
      </c>
      <c r="P342" s="12">
        <v>8514440.1999999993</v>
      </c>
      <c r="Q342" s="1" t="s">
        <v>15</v>
      </c>
      <c r="R342" s="5">
        <v>305298.65000000002</v>
      </c>
      <c r="S342">
        <f>VLOOKUP(K342,'MIS COMPROBANTES'!E:Q,13,FALSE)</f>
        <v>8514440.1999999993</v>
      </c>
    </row>
    <row r="343" spans="1:19" x14ac:dyDescent="0.25">
      <c r="A343" s="3">
        <v>45461</v>
      </c>
      <c r="B343" s="1" t="s">
        <v>406</v>
      </c>
      <c r="C343" s="1" t="s">
        <v>407</v>
      </c>
      <c r="D343" s="1" t="s">
        <v>18</v>
      </c>
      <c r="E343" s="1" t="s">
        <v>671</v>
      </c>
      <c r="F343" s="4">
        <v>12565</v>
      </c>
      <c r="G343" s="1" t="s">
        <v>19</v>
      </c>
      <c r="H343" s="1" t="s">
        <v>408</v>
      </c>
      <c r="I343" s="6">
        <v>5</v>
      </c>
      <c r="J343" s="6">
        <v>6174</v>
      </c>
      <c r="K343" s="1" t="str">
        <f t="shared" si="5"/>
        <v>2017370978256174</v>
      </c>
      <c r="L343" s="5">
        <v>21</v>
      </c>
      <c r="M343" s="12">
        <v>0</v>
      </c>
      <c r="N343" s="12">
        <v>38538.85</v>
      </c>
      <c r="O343" s="12">
        <v>8093.16</v>
      </c>
      <c r="P343" s="12">
        <v>46632.01</v>
      </c>
      <c r="Q343" s="1" t="s">
        <v>15</v>
      </c>
      <c r="R343" s="5">
        <v>0</v>
      </c>
      <c r="S343">
        <f>VLOOKUP(K343,'MIS COMPROBANTES'!E:Q,13,FALSE)</f>
        <v>46632</v>
      </c>
    </row>
    <row r="344" spans="1:19" x14ac:dyDescent="0.25">
      <c r="A344" s="3">
        <v>45461</v>
      </c>
      <c r="B344" s="1" t="s">
        <v>23</v>
      </c>
      <c r="C344" s="1" t="s">
        <v>24</v>
      </c>
      <c r="D344" s="1" t="s">
        <v>18</v>
      </c>
      <c r="E344" s="1" t="s">
        <v>586</v>
      </c>
      <c r="F344" s="4">
        <v>12700</v>
      </c>
      <c r="G344" s="1" t="s">
        <v>19</v>
      </c>
      <c r="H344" s="1" t="s">
        <v>409</v>
      </c>
      <c r="I344" s="6">
        <v>10</v>
      </c>
      <c r="J344" s="6">
        <v>24361</v>
      </c>
      <c r="K344" s="1" t="str">
        <f t="shared" si="5"/>
        <v>307117580341024361</v>
      </c>
      <c r="L344" s="5">
        <v>21</v>
      </c>
      <c r="M344" s="12">
        <v>0</v>
      </c>
      <c r="N344" s="12">
        <v>41582.67</v>
      </c>
      <c r="O344" s="12">
        <v>1263.3</v>
      </c>
      <c r="P344" s="12">
        <v>47412.15</v>
      </c>
      <c r="Q344" s="1" t="s">
        <v>15</v>
      </c>
      <c r="R344" s="5">
        <v>831.65</v>
      </c>
      <c r="S344" t="e">
        <f>VLOOKUP(K344,'MIS COMPROBANTES'!E:Q,13,FALSE)</f>
        <v>#N/A</v>
      </c>
    </row>
    <row r="345" spans="1:19" x14ac:dyDescent="0.25">
      <c r="A345" s="3">
        <v>45461</v>
      </c>
      <c r="B345" s="1" t="s">
        <v>23</v>
      </c>
      <c r="C345" s="1" t="s">
        <v>24</v>
      </c>
      <c r="D345" s="1" t="s">
        <v>18</v>
      </c>
      <c r="E345" s="1" t="s">
        <v>586</v>
      </c>
      <c r="F345" s="4">
        <v>12700</v>
      </c>
      <c r="G345" s="1" t="s">
        <v>19</v>
      </c>
      <c r="H345" s="1" t="s">
        <v>409</v>
      </c>
      <c r="I345" s="6">
        <v>10</v>
      </c>
      <c r="J345" s="6">
        <v>24361</v>
      </c>
      <c r="K345" s="1" t="str">
        <f t="shared" si="5"/>
        <v>307117580341024361</v>
      </c>
      <c r="L345" s="5">
        <v>10.5</v>
      </c>
      <c r="M345" s="12">
        <v>0</v>
      </c>
      <c r="N345" s="12">
        <v>0</v>
      </c>
      <c r="O345" s="12">
        <v>3734.53</v>
      </c>
      <c r="P345" s="12">
        <v>0</v>
      </c>
      <c r="Q345" s="1" t="s">
        <v>15</v>
      </c>
      <c r="R345" s="5">
        <v>0</v>
      </c>
      <c r="S345" t="e">
        <f>VLOOKUP(K345,'MIS COMPROBANTES'!E:Q,13,FALSE)</f>
        <v>#N/A</v>
      </c>
    </row>
    <row r="346" spans="1:19" x14ac:dyDescent="0.25">
      <c r="A346" s="3">
        <v>45461</v>
      </c>
      <c r="B346" s="1" t="s">
        <v>255</v>
      </c>
      <c r="C346" s="1" t="s">
        <v>256</v>
      </c>
      <c r="D346" s="1" t="s">
        <v>18</v>
      </c>
      <c r="E346" s="1" t="s">
        <v>646</v>
      </c>
      <c r="F346" s="4">
        <v>12599</v>
      </c>
      <c r="G346" s="1" t="s">
        <v>19</v>
      </c>
      <c r="H346" s="1" t="s">
        <v>410</v>
      </c>
      <c r="I346" s="6">
        <v>12</v>
      </c>
      <c r="J346" s="6">
        <v>54347</v>
      </c>
      <c r="K346" s="1" t="str">
        <f t="shared" si="5"/>
        <v>307089380211254347</v>
      </c>
      <c r="L346" s="5">
        <v>21</v>
      </c>
      <c r="M346" s="12">
        <v>0</v>
      </c>
      <c r="N346" s="12">
        <v>8408235</v>
      </c>
      <c r="O346" s="12">
        <v>1765729.35</v>
      </c>
      <c r="P346" s="12">
        <v>10342129.050000001</v>
      </c>
      <c r="Q346" s="1" t="s">
        <v>15</v>
      </c>
      <c r="R346" s="5">
        <v>168164.7</v>
      </c>
      <c r="S346">
        <f>VLOOKUP(K346,'MIS COMPROBANTES'!E:Q,13,FALSE)</f>
        <v>10342129.050000001</v>
      </c>
    </row>
    <row r="347" spans="1:19" x14ac:dyDescent="0.25">
      <c r="A347" s="3">
        <v>45461</v>
      </c>
      <c r="B347" s="1" t="s">
        <v>411</v>
      </c>
      <c r="C347" s="1" t="s">
        <v>412</v>
      </c>
      <c r="D347" s="1" t="s">
        <v>18</v>
      </c>
      <c r="E347" s="1" t="s">
        <v>672</v>
      </c>
      <c r="F347" s="4">
        <v>12749</v>
      </c>
      <c r="G347" s="1" t="s">
        <v>19</v>
      </c>
      <c r="H347" s="1" t="s">
        <v>413</v>
      </c>
      <c r="I347" s="6">
        <v>60</v>
      </c>
      <c r="J347" s="6">
        <v>312278</v>
      </c>
      <c r="K347" s="1" t="str">
        <f t="shared" si="5"/>
        <v>3370725983960312278</v>
      </c>
      <c r="L347" s="5">
        <v>21</v>
      </c>
      <c r="M347" s="12">
        <v>0</v>
      </c>
      <c r="N347" s="12">
        <v>463625.62</v>
      </c>
      <c r="O347" s="12">
        <v>97361.38</v>
      </c>
      <c r="P347" s="12">
        <v>584168.28</v>
      </c>
      <c r="Q347" s="1" t="s">
        <v>15</v>
      </c>
      <c r="R347" s="5">
        <v>9272.51</v>
      </c>
      <c r="S347">
        <f>VLOOKUP(K347,'MIS COMPROBANTES'!E:Q,13,FALSE)</f>
        <v>584168.28</v>
      </c>
    </row>
    <row r="348" spans="1:19" x14ac:dyDescent="0.25">
      <c r="A348" s="3">
        <v>45461</v>
      </c>
      <c r="B348" s="1" t="s">
        <v>411</v>
      </c>
      <c r="C348" s="1" t="s">
        <v>412</v>
      </c>
      <c r="D348" s="1" t="s">
        <v>18</v>
      </c>
      <c r="E348" s="1" t="s">
        <v>672</v>
      </c>
      <c r="F348" s="4">
        <v>12749</v>
      </c>
      <c r="G348" s="1" t="s">
        <v>19</v>
      </c>
      <c r="H348" s="1" t="s">
        <v>413</v>
      </c>
      <c r="I348" s="6">
        <v>60</v>
      </c>
      <c r="J348" s="6">
        <v>312278</v>
      </c>
      <c r="K348" s="1" t="str">
        <f t="shared" si="5"/>
        <v>3370725983960312278</v>
      </c>
      <c r="L348" s="5">
        <v>3</v>
      </c>
      <c r="M348" s="12">
        <v>0</v>
      </c>
      <c r="N348" s="12">
        <v>0</v>
      </c>
      <c r="O348" s="12">
        <v>13908.77</v>
      </c>
      <c r="P348" s="12">
        <v>0</v>
      </c>
      <c r="Q348" s="1" t="s">
        <v>15</v>
      </c>
      <c r="R348" s="5">
        <v>0</v>
      </c>
      <c r="S348">
        <f>VLOOKUP(K348,'MIS COMPROBANTES'!E:Q,13,FALSE)</f>
        <v>584168.28</v>
      </c>
    </row>
    <row r="349" spans="1:19" x14ac:dyDescent="0.25">
      <c r="A349" s="3">
        <v>45461</v>
      </c>
      <c r="B349" s="1" t="s">
        <v>129</v>
      </c>
      <c r="C349" s="1" t="s">
        <v>130</v>
      </c>
      <c r="D349" s="1" t="s">
        <v>18</v>
      </c>
      <c r="E349" s="1" t="s">
        <v>615</v>
      </c>
      <c r="F349" s="4">
        <v>12518</v>
      </c>
      <c r="G349" s="1" t="s">
        <v>19</v>
      </c>
      <c r="H349" s="1" t="s">
        <v>414</v>
      </c>
      <c r="I349" s="6">
        <v>6004</v>
      </c>
      <c r="J349" s="6">
        <v>3659214</v>
      </c>
      <c r="K349" s="1" t="str">
        <f t="shared" si="5"/>
        <v>3050111624260043659214</v>
      </c>
      <c r="L349" s="5">
        <v>21</v>
      </c>
      <c r="M349" s="12">
        <v>0</v>
      </c>
      <c r="N349" s="12">
        <v>443790.36</v>
      </c>
      <c r="O349" s="12">
        <v>93195.98</v>
      </c>
      <c r="P349" s="12">
        <v>559175.86</v>
      </c>
      <c r="Q349" s="1" t="s">
        <v>15</v>
      </c>
      <c r="R349" s="5">
        <v>8875.81</v>
      </c>
      <c r="S349">
        <f>VLOOKUP(K349,'MIS COMPROBANTES'!E:Q,13,FALSE)</f>
        <v>559175.86</v>
      </c>
    </row>
    <row r="350" spans="1:19" x14ac:dyDescent="0.25">
      <c r="A350" s="3">
        <v>45461</v>
      </c>
      <c r="B350" s="1" t="s">
        <v>129</v>
      </c>
      <c r="C350" s="1" t="s">
        <v>130</v>
      </c>
      <c r="D350" s="1" t="s">
        <v>18</v>
      </c>
      <c r="E350" s="1" t="s">
        <v>615</v>
      </c>
      <c r="F350" s="4">
        <v>12518</v>
      </c>
      <c r="G350" s="1" t="s">
        <v>19</v>
      </c>
      <c r="H350" s="1" t="s">
        <v>414</v>
      </c>
      <c r="I350" s="6">
        <v>6004</v>
      </c>
      <c r="J350" s="6">
        <v>3659214</v>
      </c>
      <c r="K350" s="1" t="str">
        <f t="shared" si="5"/>
        <v>3050111624260043659214</v>
      </c>
      <c r="L350" s="5">
        <v>3</v>
      </c>
      <c r="M350" s="12">
        <v>0</v>
      </c>
      <c r="N350" s="12">
        <v>0</v>
      </c>
      <c r="O350" s="12">
        <v>13313.71</v>
      </c>
      <c r="P350" s="12">
        <v>0</v>
      </c>
      <c r="Q350" s="1" t="s">
        <v>15</v>
      </c>
      <c r="R350" s="5">
        <v>0</v>
      </c>
      <c r="S350">
        <f>VLOOKUP(K350,'MIS COMPROBANTES'!E:Q,13,FALSE)</f>
        <v>559175.86</v>
      </c>
    </row>
    <row r="351" spans="1:19" x14ac:dyDescent="0.25">
      <c r="A351" s="3">
        <v>45461</v>
      </c>
      <c r="B351" s="1" t="s">
        <v>53</v>
      </c>
      <c r="C351" s="1" t="s">
        <v>54</v>
      </c>
      <c r="D351" s="1" t="s">
        <v>18</v>
      </c>
      <c r="E351" s="1" t="s">
        <v>594</v>
      </c>
      <c r="F351" s="4">
        <v>12522</v>
      </c>
      <c r="G351" s="1" t="s">
        <v>19</v>
      </c>
      <c r="H351" s="1" t="s">
        <v>415</v>
      </c>
      <c r="I351" s="6">
        <v>6156</v>
      </c>
      <c r="J351" s="6">
        <v>6820728</v>
      </c>
      <c r="K351" s="1" t="str">
        <f t="shared" si="5"/>
        <v>3054724233161566820728</v>
      </c>
      <c r="L351" s="5">
        <v>21</v>
      </c>
      <c r="M351" s="12">
        <v>0</v>
      </c>
      <c r="N351" s="12">
        <v>351546.75</v>
      </c>
      <c r="O351" s="12">
        <v>73824.820000000007</v>
      </c>
      <c r="P351" s="12">
        <v>442948.91</v>
      </c>
      <c r="Q351" s="1" t="s">
        <v>15</v>
      </c>
      <c r="R351" s="5">
        <v>7030.94</v>
      </c>
      <c r="S351">
        <f>VLOOKUP(K351,'MIS COMPROBANTES'!E:Q,13,FALSE)</f>
        <v>442948.91</v>
      </c>
    </row>
    <row r="352" spans="1:19" x14ac:dyDescent="0.25">
      <c r="A352" s="3">
        <v>45461</v>
      </c>
      <c r="B352" s="1" t="s">
        <v>53</v>
      </c>
      <c r="C352" s="1" t="s">
        <v>54</v>
      </c>
      <c r="D352" s="1" t="s">
        <v>18</v>
      </c>
      <c r="E352" s="1" t="s">
        <v>594</v>
      </c>
      <c r="F352" s="4">
        <v>12522</v>
      </c>
      <c r="G352" s="1" t="s">
        <v>19</v>
      </c>
      <c r="H352" s="1" t="s">
        <v>415</v>
      </c>
      <c r="I352" s="6">
        <v>6156</v>
      </c>
      <c r="J352" s="6">
        <v>6820728</v>
      </c>
      <c r="K352" s="1" t="str">
        <f t="shared" si="5"/>
        <v>3054724233161566820728</v>
      </c>
      <c r="L352" s="5">
        <v>3</v>
      </c>
      <c r="M352" s="12">
        <v>0</v>
      </c>
      <c r="N352" s="12">
        <v>0</v>
      </c>
      <c r="O352" s="12">
        <v>10546.4</v>
      </c>
      <c r="P352" s="12">
        <v>0</v>
      </c>
      <c r="Q352" s="1" t="s">
        <v>15</v>
      </c>
      <c r="R352" s="5">
        <v>0</v>
      </c>
      <c r="S352">
        <f>VLOOKUP(K352,'MIS COMPROBANTES'!E:Q,13,FALSE)</f>
        <v>442948.91</v>
      </c>
    </row>
    <row r="353" spans="1:19" x14ac:dyDescent="0.25">
      <c r="A353" s="3">
        <v>45461</v>
      </c>
      <c r="B353" s="1" t="s">
        <v>202</v>
      </c>
      <c r="C353" s="1" t="s">
        <v>203</v>
      </c>
      <c r="D353" s="1" t="s">
        <v>18</v>
      </c>
      <c r="E353" s="1" t="s">
        <v>633</v>
      </c>
      <c r="F353" s="4">
        <v>12542</v>
      </c>
      <c r="G353" s="1" t="s">
        <v>19</v>
      </c>
      <c r="H353" s="1" t="s">
        <v>416</v>
      </c>
      <c r="I353" s="6">
        <v>8052</v>
      </c>
      <c r="J353" s="6">
        <v>12275</v>
      </c>
      <c r="K353" s="1" t="str">
        <f t="shared" si="5"/>
        <v>30678774495805212275</v>
      </c>
      <c r="L353" s="5">
        <v>21</v>
      </c>
      <c r="M353" s="12">
        <v>4454.84</v>
      </c>
      <c r="N353" s="12">
        <v>49216.68</v>
      </c>
      <c r="O353" s="12">
        <v>10335.5</v>
      </c>
      <c r="P353" s="12">
        <v>65617.17</v>
      </c>
      <c r="Q353" s="1" t="s">
        <v>15</v>
      </c>
      <c r="R353" s="5">
        <v>1610.15</v>
      </c>
      <c r="S353">
        <f>VLOOKUP(K353,'MIS COMPROBANTES'!E:Q,13,FALSE)</f>
        <v>65617.17</v>
      </c>
    </row>
    <row r="354" spans="1:19" x14ac:dyDescent="0.25">
      <c r="A354" s="3">
        <v>45461</v>
      </c>
      <c r="B354" s="1" t="s">
        <v>417</v>
      </c>
      <c r="C354" s="1" t="s">
        <v>418</v>
      </c>
      <c r="D354" s="1" t="s">
        <v>88</v>
      </c>
      <c r="E354" s="1" t="s">
        <v>673</v>
      </c>
      <c r="F354" s="4">
        <v>12450</v>
      </c>
      <c r="G354" s="1" t="s">
        <v>19</v>
      </c>
      <c r="H354" s="1" t="s">
        <v>419</v>
      </c>
      <c r="I354" s="6">
        <v>2</v>
      </c>
      <c r="J354" s="6">
        <v>98</v>
      </c>
      <c r="K354" s="1" t="str">
        <f t="shared" si="5"/>
        <v>20317431954298</v>
      </c>
      <c r="L354" s="5">
        <v>0</v>
      </c>
      <c r="M354" s="12">
        <v>30000</v>
      </c>
      <c r="N354" s="12">
        <v>0</v>
      </c>
      <c r="O354" s="12">
        <v>0</v>
      </c>
      <c r="P354" s="12">
        <v>30000</v>
      </c>
      <c r="Q354" s="1" t="s">
        <v>15</v>
      </c>
      <c r="R354" s="5">
        <v>0</v>
      </c>
      <c r="S354">
        <f>VLOOKUP(K354,'MIS COMPROBANTES'!E:Q,13,FALSE)</f>
        <v>30000</v>
      </c>
    </row>
    <row r="355" spans="1:19" x14ac:dyDescent="0.25">
      <c r="A355" s="3">
        <v>45461</v>
      </c>
      <c r="B355" s="1" t="s">
        <v>193</v>
      </c>
      <c r="C355" s="1" t="s">
        <v>194</v>
      </c>
      <c r="D355" s="1" t="s">
        <v>18</v>
      </c>
      <c r="E355" s="1" t="s">
        <v>632</v>
      </c>
      <c r="F355" s="4">
        <v>12656</v>
      </c>
      <c r="G355" s="1" t="s">
        <v>31</v>
      </c>
      <c r="H355" s="1" t="s">
        <v>420</v>
      </c>
      <c r="I355" s="6">
        <v>115</v>
      </c>
      <c r="J355" s="6">
        <v>31571</v>
      </c>
      <c r="K355" s="1" t="str">
        <f t="shared" si="5"/>
        <v>3062964670811531571</v>
      </c>
      <c r="L355" s="5">
        <v>21</v>
      </c>
      <c r="M355" s="12">
        <v>0</v>
      </c>
      <c r="N355" s="12">
        <v>-37651.14</v>
      </c>
      <c r="O355" s="12">
        <v>-7906.74</v>
      </c>
      <c r="P355" s="12">
        <v>-46687.41</v>
      </c>
      <c r="Q355" s="1" t="s">
        <v>15</v>
      </c>
      <c r="R355" s="5">
        <v>0</v>
      </c>
      <c r="S355">
        <f>VLOOKUP(K355,'MIS COMPROBANTES'!E:Q,13,FALSE)</f>
        <v>46687.41</v>
      </c>
    </row>
    <row r="356" spans="1:19" x14ac:dyDescent="0.25">
      <c r="A356" s="3">
        <v>45461</v>
      </c>
      <c r="B356" s="1" t="s">
        <v>193</v>
      </c>
      <c r="C356" s="1" t="s">
        <v>194</v>
      </c>
      <c r="D356" s="1" t="s">
        <v>18</v>
      </c>
      <c r="E356" s="1" t="s">
        <v>632</v>
      </c>
      <c r="F356" s="4">
        <v>12656</v>
      </c>
      <c r="G356" s="1" t="s">
        <v>31</v>
      </c>
      <c r="H356" s="1" t="s">
        <v>420</v>
      </c>
      <c r="I356" s="6">
        <v>115</v>
      </c>
      <c r="J356" s="6">
        <v>31571</v>
      </c>
      <c r="K356" s="1" t="str">
        <f t="shared" si="5"/>
        <v>3062964670811531571</v>
      </c>
      <c r="L356" s="5">
        <v>3</v>
      </c>
      <c r="M356" s="12">
        <v>0</v>
      </c>
      <c r="N356" s="12">
        <v>0</v>
      </c>
      <c r="O356" s="12">
        <v>-1129.53</v>
      </c>
      <c r="P356" s="12">
        <v>0</v>
      </c>
      <c r="Q356" s="1" t="s">
        <v>15</v>
      </c>
      <c r="R356" s="5">
        <v>0</v>
      </c>
      <c r="S356">
        <f>VLOOKUP(K356,'MIS COMPROBANTES'!E:Q,13,FALSE)</f>
        <v>46687.41</v>
      </c>
    </row>
    <row r="357" spans="1:19" x14ac:dyDescent="0.25">
      <c r="A357" s="3">
        <v>45461</v>
      </c>
      <c r="B357" s="1" t="s">
        <v>29</v>
      </c>
      <c r="C357" s="1" t="s">
        <v>30</v>
      </c>
      <c r="D357" s="1" t="s">
        <v>18</v>
      </c>
      <c r="E357" s="1" t="s">
        <v>587</v>
      </c>
      <c r="F357" s="4">
        <v>12544</v>
      </c>
      <c r="G357" s="1" t="s">
        <v>31</v>
      </c>
      <c r="H357" s="1" t="s">
        <v>421</v>
      </c>
      <c r="I357" s="6">
        <v>161</v>
      </c>
      <c r="J357" s="6">
        <v>51397</v>
      </c>
      <c r="K357" s="1" t="str">
        <f t="shared" si="5"/>
        <v>3056610835216151397</v>
      </c>
      <c r="L357" s="5">
        <v>21</v>
      </c>
      <c r="M357" s="12">
        <v>0</v>
      </c>
      <c r="N357" s="12">
        <v>-9758.08</v>
      </c>
      <c r="O357" s="12">
        <v>-2049.1999999999998</v>
      </c>
      <c r="P357" s="12">
        <v>-11807.28</v>
      </c>
      <c r="Q357" s="1" t="s">
        <v>15</v>
      </c>
      <c r="R357" s="5">
        <v>0</v>
      </c>
      <c r="S357">
        <f>VLOOKUP(K357,'MIS COMPROBANTES'!E:Q,13,FALSE)</f>
        <v>11807.28</v>
      </c>
    </row>
    <row r="358" spans="1:19" x14ac:dyDescent="0.25">
      <c r="A358" s="3">
        <v>45461</v>
      </c>
      <c r="B358" s="1" t="s">
        <v>169</v>
      </c>
      <c r="C358" s="1" t="s">
        <v>170</v>
      </c>
      <c r="D358" s="1" t="s">
        <v>18</v>
      </c>
      <c r="E358" s="1" t="s">
        <v>625</v>
      </c>
      <c r="F358" s="4">
        <v>12891</v>
      </c>
      <c r="G358" s="1" t="s">
        <v>31</v>
      </c>
      <c r="H358" s="1" t="s">
        <v>422</v>
      </c>
      <c r="I358" s="6">
        <v>250</v>
      </c>
      <c r="J358" s="6">
        <v>344495</v>
      </c>
      <c r="K358" s="1" t="str">
        <f t="shared" si="5"/>
        <v>30507950848250344495</v>
      </c>
      <c r="L358" s="5">
        <v>21</v>
      </c>
      <c r="M358" s="12">
        <v>0</v>
      </c>
      <c r="N358" s="12">
        <v>-4378</v>
      </c>
      <c r="O358" s="12">
        <v>-919.38</v>
      </c>
      <c r="P358" s="12">
        <v>-5428.72</v>
      </c>
      <c r="Q358" s="1" t="s">
        <v>15</v>
      </c>
      <c r="R358" s="5">
        <v>0</v>
      </c>
      <c r="S358">
        <f>VLOOKUP(K358,'MIS COMPROBANTES'!E:Q,13,FALSE)</f>
        <v>5428.72</v>
      </c>
    </row>
    <row r="359" spans="1:19" x14ac:dyDescent="0.25">
      <c r="A359" s="3">
        <v>45461</v>
      </c>
      <c r="B359" s="1" t="s">
        <v>169</v>
      </c>
      <c r="C359" s="1" t="s">
        <v>170</v>
      </c>
      <c r="D359" s="1" t="s">
        <v>18</v>
      </c>
      <c r="E359" s="1" t="s">
        <v>625</v>
      </c>
      <c r="F359" s="4">
        <v>12891</v>
      </c>
      <c r="G359" s="1" t="s">
        <v>31</v>
      </c>
      <c r="H359" s="1" t="s">
        <v>422</v>
      </c>
      <c r="I359" s="6">
        <v>250</v>
      </c>
      <c r="J359" s="6">
        <v>344495</v>
      </c>
      <c r="K359" s="1" t="str">
        <f t="shared" si="5"/>
        <v>30507950848250344495</v>
      </c>
      <c r="L359" s="5">
        <v>3</v>
      </c>
      <c r="M359" s="12">
        <v>0</v>
      </c>
      <c r="N359" s="12">
        <v>0</v>
      </c>
      <c r="O359" s="12">
        <v>-131.34</v>
      </c>
      <c r="P359" s="12">
        <v>0</v>
      </c>
      <c r="Q359" s="1" t="s">
        <v>15</v>
      </c>
      <c r="R359" s="5">
        <v>0</v>
      </c>
      <c r="S359">
        <f>VLOOKUP(K359,'MIS COMPROBANTES'!E:Q,13,FALSE)</f>
        <v>5428.72</v>
      </c>
    </row>
    <row r="360" spans="1:19" x14ac:dyDescent="0.25">
      <c r="A360" s="3">
        <v>45462</v>
      </c>
      <c r="B360" s="1" t="s">
        <v>276</v>
      </c>
      <c r="C360" s="1" t="s">
        <v>277</v>
      </c>
      <c r="D360" s="1" t="s">
        <v>18</v>
      </c>
      <c r="E360" s="1" t="s">
        <v>649</v>
      </c>
      <c r="F360" s="4">
        <v>12616</v>
      </c>
      <c r="G360" s="1" t="s">
        <v>19</v>
      </c>
      <c r="H360" s="1" t="s">
        <v>423</v>
      </c>
      <c r="I360" s="6">
        <v>2024</v>
      </c>
      <c r="J360" s="6">
        <v>19062024</v>
      </c>
      <c r="K360" s="1" t="str">
        <f t="shared" si="5"/>
        <v>30500001735202419062024</v>
      </c>
      <c r="L360" s="5">
        <v>10.5</v>
      </c>
      <c r="M360" s="12">
        <v>47033.06</v>
      </c>
      <c r="N360" s="12">
        <v>1740364.59</v>
      </c>
      <c r="O360" s="12">
        <v>182738.27</v>
      </c>
      <c r="P360" s="12">
        <v>2031048.68</v>
      </c>
      <c r="Q360" s="1" t="s">
        <v>15</v>
      </c>
      <c r="R360" s="5">
        <v>34807.300000000003</v>
      </c>
      <c r="S360" t="e">
        <f>VLOOKUP(K360,'MIS COMPROBANTES'!E:Q,13,FALSE)</f>
        <v>#N/A</v>
      </c>
    </row>
    <row r="361" spans="1:19" x14ac:dyDescent="0.25">
      <c r="A361" s="3">
        <v>45462</v>
      </c>
      <c r="B361" s="1" t="s">
        <v>276</v>
      </c>
      <c r="C361" s="1" t="s">
        <v>277</v>
      </c>
      <c r="D361" s="1" t="s">
        <v>18</v>
      </c>
      <c r="E361" s="1" t="s">
        <v>649</v>
      </c>
      <c r="F361" s="4">
        <v>12616</v>
      </c>
      <c r="G361" s="1" t="s">
        <v>19</v>
      </c>
      <c r="H361" s="1" t="s">
        <v>423</v>
      </c>
      <c r="I361" s="6">
        <v>2024</v>
      </c>
      <c r="J361" s="6">
        <v>19062024</v>
      </c>
      <c r="K361" s="1" t="str">
        <f t="shared" si="5"/>
        <v>30500001735202419062024</v>
      </c>
      <c r="L361" s="5">
        <v>1.5</v>
      </c>
      <c r="M361" s="12">
        <v>0</v>
      </c>
      <c r="N361" s="12">
        <v>0</v>
      </c>
      <c r="O361" s="12">
        <v>26105.46</v>
      </c>
      <c r="P361" s="12">
        <v>0</v>
      </c>
      <c r="Q361" s="1" t="s">
        <v>15</v>
      </c>
      <c r="R361" s="5">
        <v>0</v>
      </c>
      <c r="S361" t="e">
        <f>VLOOKUP(K361,'MIS COMPROBANTES'!E:Q,13,FALSE)</f>
        <v>#N/A</v>
      </c>
    </row>
    <row r="362" spans="1:19" x14ac:dyDescent="0.25">
      <c r="A362" s="3">
        <v>45462</v>
      </c>
      <c r="B362" s="1" t="s">
        <v>16</v>
      </c>
      <c r="C362" s="1" t="s">
        <v>17</v>
      </c>
      <c r="D362" s="1" t="s">
        <v>18</v>
      </c>
      <c r="E362" s="1" t="s">
        <v>584</v>
      </c>
      <c r="F362" s="4">
        <v>12491</v>
      </c>
      <c r="G362" s="1" t="s">
        <v>19</v>
      </c>
      <c r="H362" s="1" t="s">
        <v>424</v>
      </c>
      <c r="I362" s="6">
        <v>2024</v>
      </c>
      <c r="J362" s="6">
        <v>90018001</v>
      </c>
      <c r="K362" s="1" t="str">
        <f t="shared" si="5"/>
        <v>30500008454202490018001</v>
      </c>
      <c r="L362" s="5">
        <v>10.5</v>
      </c>
      <c r="M362" s="12">
        <v>18610.73</v>
      </c>
      <c r="N362" s="12">
        <v>410987.22</v>
      </c>
      <c r="O362" s="12">
        <v>43153.65</v>
      </c>
      <c r="P362" s="12">
        <v>487136.15</v>
      </c>
      <c r="Q362" s="1" t="s">
        <v>15</v>
      </c>
      <c r="R362" s="5">
        <v>8219.74</v>
      </c>
      <c r="S362" t="e">
        <f>VLOOKUP(K362,'MIS COMPROBANTES'!E:Q,13,FALSE)</f>
        <v>#N/A</v>
      </c>
    </row>
    <row r="363" spans="1:19" x14ac:dyDescent="0.25">
      <c r="A363" s="3">
        <v>45462</v>
      </c>
      <c r="B363" s="1" t="s">
        <v>16</v>
      </c>
      <c r="C363" s="1" t="s">
        <v>17</v>
      </c>
      <c r="D363" s="1" t="s">
        <v>18</v>
      </c>
      <c r="E363" s="1" t="s">
        <v>584</v>
      </c>
      <c r="F363" s="4">
        <v>12491</v>
      </c>
      <c r="G363" s="1" t="s">
        <v>19</v>
      </c>
      <c r="H363" s="1" t="s">
        <v>424</v>
      </c>
      <c r="I363" s="6">
        <v>2024</v>
      </c>
      <c r="J363" s="6">
        <v>90018001</v>
      </c>
      <c r="K363" s="1" t="str">
        <f t="shared" si="5"/>
        <v>30500008454202490018001</v>
      </c>
      <c r="L363" s="5">
        <v>1.5</v>
      </c>
      <c r="M363" s="12">
        <v>0</v>
      </c>
      <c r="N363" s="12">
        <v>0</v>
      </c>
      <c r="O363" s="12">
        <v>6164.81</v>
      </c>
      <c r="P363" s="12">
        <v>0</v>
      </c>
      <c r="Q363" s="1" t="s">
        <v>15</v>
      </c>
      <c r="R363" s="5">
        <v>0</v>
      </c>
      <c r="S363" t="e">
        <f>VLOOKUP(K363,'MIS COMPROBANTES'!E:Q,13,FALSE)</f>
        <v>#N/A</v>
      </c>
    </row>
    <row r="364" spans="1:19" x14ac:dyDescent="0.25">
      <c r="A364" s="3">
        <v>45462</v>
      </c>
      <c r="B364" s="1" t="s">
        <v>16</v>
      </c>
      <c r="C364" s="1" t="s">
        <v>17</v>
      </c>
      <c r="D364" s="1" t="s">
        <v>18</v>
      </c>
      <c r="E364" s="1" t="s">
        <v>584</v>
      </c>
      <c r="F364" s="4">
        <v>12492</v>
      </c>
      <c r="G364" s="1" t="s">
        <v>19</v>
      </c>
      <c r="H364" s="1" t="s">
        <v>425</v>
      </c>
      <c r="I364" s="6">
        <v>2024</v>
      </c>
      <c r="J364" s="6">
        <v>90020901</v>
      </c>
      <c r="K364" s="1" t="str">
        <f t="shared" si="5"/>
        <v>30500008454202490020901</v>
      </c>
      <c r="L364" s="5">
        <v>10.5</v>
      </c>
      <c r="M364" s="12">
        <v>3866.3</v>
      </c>
      <c r="N364" s="12">
        <v>85380.82</v>
      </c>
      <c r="O364" s="12">
        <v>8964.99</v>
      </c>
      <c r="P364" s="12">
        <v>101200.44</v>
      </c>
      <c r="Q364" s="1" t="s">
        <v>15</v>
      </c>
      <c r="R364" s="5">
        <v>1707.62</v>
      </c>
      <c r="S364" t="e">
        <f>VLOOKUP(K364,'MIS COMPROBANTES'!E:Q,13,FALSE)</f>
        <v>#N/A</v>
      </c>
    </row>
    <row r="365" spans="1:19" x14ac:dyDescent="0.25">
      <c r="A365" s="3">
        <v>45462</v>
      </c>
      <c r="B365" s="1" t="s">
        <v>16</v>
      </c>
      <c r="C365" s="1" t="s">
        <v>17</v>
      </c>
      <c r="D365" s="1" t="s">
        <v>18</v>
      </c>
      <c r="E365" s="1" t="s">
        <v>584</v>
      </c>
      <c r="F365" s="4">
        <v>12492</v>
      </c>
      <c r="G365" s="1" t="s">
        <v>19</v>
      </c>
      <c r="H365" s="1" t="s">
        <v>425</v>
      </c>
      <c r="I365" s="6">
        <v>2024</v>
      </c>
      <c r="J365" s="6">
        <v>90020901</v>
      </c>
      <c r="K365" s="1" t="str">
        <f t="shared" si="5"/>
        <v>30500008454202490020901</v>
      </c>
      <c r="L365" s="5">
        <v>1.5</v>
      </c>
      <c r="M365" s="12">
        <v>0</v>
      </c>
      <c r="N365" s="12">
        <v>0</v>
      </c>
      <c r="O365" s="12">
        <v>1280.71</v>
      </c>
      <c r="P365" s="12">
        <v>0</v>
      </c>
      <c r="Q365" s="1" t="s">
        <v>15</v>
      </c>
      <c r="R365" s="5">
        <v>0</v>
      </c>
      <c r="S365" t="e">
        <f>VLOOKUP(K365,'MIS COMPROBANTES'!E:Q,13,FALSE)</f>
        <v>#N/A</v>
      </c>
    </row>
    <row r="366" spans="1:19" x14ac:dyDescent="0.25">
      <c r="A366" s="3">
        <v>45462</v>
      </c>
      <c r="B366" s="1" t="s">
        <v>310</v>
      </c>
      <c r="C366" s="1" t="s">
        <v>311</v>
      </c>
      <c r="D366" s="1" t="s">
        <v>18</v>
      </c>
      <c r="E366" s="1" t="s">
        <v>656</v>
      </c>
      <c r="F366" s="4">
        <v>12665</v>
      </c>
      <c r="G366" s="1" t="s">
        <v>19</v>
      </c>
      <c r="H366" s="1" t="s">
        <v>426</v>
      </c>
      <c r="I366" s="6">
        <v>1</v>
      </c>
      <c r="J366" s="6">
        <v>105</v>
      </c>
      <c r="K366" s="1" t="str">
        <f t="shared" si="5"/>
        <v>203019714791105</v>
      </c>
      <c r="L366" s="5">
        <v>21</v>
      </c>
      <c r="M366" s="12">
        <v>0</v>
      </c>
      <c r="N366" s="12">
        <v>380000</v>
      </c>
      <c r="O366" s="12">
        <v>79800</v>
      </c>
      <c r="P366" s="12">
        <v>459800</v>
      </c>
      <c r="Q366" s="1" t="s">
        <v>15</v>
      </c>
      <c r="R366" s="5">
        <v>0</v>
      </c>
      <c r="S366">
        <f>VLOOKUP(K366,'MIS COMPROBANTES'!E:Q,13,FALSE)</f>
        <v>459800</v>
      </c>
    </row>
    <row r="367" spans="1:19" x14ac:dyDescent="0.25">
      <c r="A367" s="3">
        <v>45462</v>
      </c>
      <c r="B367" s="1" t="s">
        <v>244</v>
      </c>
      <c r="C367" s="1" t="s">
        <v>245</v>
      </c>
      <c r="D367" s="1" t="s">
        <v>18</v>
      </c>
      <c r="E367" s="1" t="s">
        <v>643</v>
      </c>
      <c r="F367" s="4">
        <v>12469</v>
      </c>
      <c r="G367" s="1" t="s">
        <v>19</v>
      </c>
      <c r="H367" s="1" t="s">
        <v>427</v>
      </c>
      <c r="I367" s="6">
        <v>1</v>
      </c>
      <c r="J367" s="6">
        <v>821</v>
      </c>
      <c r="K367" s="1" t="str">
        <f t="shared" si="5"/>
        <v>307150480661821</v>
      </c>
      <c r="L367" s="5">
        <v>21</v>
      </c>
      <c r="M367" s="12">
        <v>0</v>
      </c>
      <c r="N367" s="12">
        <v>2352000</v>
      </c>
      <c r="O367" s="12">
        <v>493920</v>
      </c>
      <c r="P367" s="12">
        <v>2845920</v>
      </c>
      <c r="Q367" s="1" t="s">
        <v>15</v>
      </c>
      <c r="R367" s="5">
        <v>0</v>
      </c>
      <c r="S367">
        <f>VLOOKUP(K367,'MIS COMPROBANTES'!E:Q,13,FALSE)</f>
        <v>2845920</v>
      </c>
    </row>
    <row r="368" spans="1:19" x14ac:dyDescent="0.25">
      <c r="A368" s="3">
        <v>45462</v>
      </c>
      <c r="B368" s="1" t="s">
        <v>428</v>
      </c>
      <c r="C368" s="1" t="s">
        <v>429</v>
      </c>
      <c r="D368" s="1" t="s">
        <v>18</v>
      </c>
      <c r="E368" s="1" t="s">
        <v>674</v>
      </c>
      <c r="F368" s="4">
        <v>12464</v>
      </c>
      <c r="G368" s="1" t="s">
        <v>19</v>
      </c>
      <c r="H368" s="1" t="s">
        <v>430</v>
      </c>
      <c r="I368" s="6">
        <v>1</v>
      </c>
      <c r="J368" s="6">
        <v>5883</v>
      </c>
      <c r="K368" s="1" t="str">
        <f t="shared" si="5"/>
        <v>2018411111015883</v>
      </c>
      <c r="L368" s="5">
        <v>21</v>
      </c>
      <c r="M368" s="12">
        <v>0</v>
      </c>
      <c r="N368" s="12">
        <v>24793.4</v>
      </c>
      <c r="O368" s="12">
        <v>5206.6099999999997</v>
      </c>
      <c r="P368" s="12">
        <v>30000.01</v>
      </c>
      <c r="Q368" s="1" t="s">
        <v>15</v>
      </c>
      <c r="R368" s="5">
        <v>0</v>
      </c>
      <c r="S368">
        <f>VLOOKUP(K368,'MIS COMPROBANTES'!E:Q,13,FALSE)</f>
        <v>30000.01</v>
      </c>
    </row>
    <row r="369" spans="1:19" x14ac:dyDescent="0.25">
      <c r="A369" s="3">
        <v>45462</v>
      </c>
      <c r="B369" s="1" t="s">
        <v>108</v>
      </c>
      <c r="C369" s="1" t="s">
        <v>109</v>
      </c>
      <c r="D369" s="1" t="s">
        <v>18</v>
      </c>
      <c r="E369" s="1" t="s">
        <v>609</v>
      </c>
      <c r="F369" s="4">
        <v>12558</v>
      </c>
      <c r="G369" s="1" t="s">
        <v>19</v>
      </c>
      <c r="H369" s="1" t="s">
        <v>431</v>
      </c>
      <c r="I369" s="6">
        <v>3</v>
      </c>
      <c r="J369" s="6">
        <v>1416</v>
      </c>
      <c r="K369" s="1" t="str">
        <f t="shared" si="5"/>
        <v>3071474643631416</v>
      </c>
      <c r="L369" s="5">
        <v>21</v>
      </c>
      <c r="M369" s="12">
        <v>0</v>
      </c>
      <c r="N369" s="12">
        <v>297418.06</v>
      </c>
      <c r="O369" s="12">
        <v>62457.79</v>
      </c>
      <c r="P369" s="12">
        <v>359875.85</v>
      </c>
      <c r="Q369" s="1" t="s">
        <v>15</v>
      </c>
      <c r="R369" s="5">
        <v>0</v>
      </c>
      <c r="S369">
        <f>VLOOKUP(K369,'MIS COMPROBANTES'!E:Q,13,FALSE)</f>
        <v>359875.85</v>
      </c>
    </row>
    <row r="370" spans="1:19" x14ac:dyDescent="0.25">
      <c r="A370" s="3">
        <v>45462</v>
      </c>
      <c r="B370" s="1" t="s">
        <v>108</v>
      </c>
      <c r="C370" s="1" t="s">
        <v>109</v>
      </c>
      <c r="D370" s="1" t="s">
        <v>18</v>
      </c>
      <c r="E370" s="1" t="s">
        <v>609</v>
      </c>
      <c r="F370" s="4">
        <v>12559</v>
      </c>
      <c r="G370" s="1" t="s">
        <v>19</v>
      </c>
      <c r="H370" s="1" t="s">
        <v>432</v>
      </c>
      <c r="I370" s="6">
        <v>3</v>
      </c>
      <c r="J370" s="6">
        <v>1417</v>
      </c>
      <c r="K370" s="1" t="str">
        <f t="shared" si="5"/>
        <v>3071474643631417</v>
      </c>
      <c r="L370" s="5">
        <v>21</v>
      </c>
      <c r="M370" s="12">
        <v>0</v>
      </c>
      <c r="N370" s="12">
        <v>978927.88</v>
      </c>
      <c r="O370" s="12">
        <v>205574.85</v>
      </c>
      <c r="P370" s="12">
        <v>1184502.73</v>
      </c>
      <c r="Q370" s="1" t="s">
        <v>15</v>
      </c>
      <c r="R370" s="5">
        <v>0</v>
      </c>
      <c r="S370">
        <f>VLOOKUP(K370,'MIS COMPROBANTES'!E:Q,13,FALSE)</f>
        <v>1184502.73</v>
      </c>
    </row>
    <row r="371" spans="1:19" x14ac:dyDescent="0.25">
      <c r="A371" s="3">
        <v>45462</v>
      </c>
      <c r="B371" s="1" t="s">
        <v>433</v>
      </c>
      <c r="C371" s="1" t="s">
        <v>434</v>
      </c>
      <c r="D371" s="1" t="s">
        <v>18</v>
      </c>
      <c r="E371" s="1" t="s">
        <v>675</v>
      </c>
      <c r="F371" s="4">
        <v>12475</v>
      </c>
      <c r="G371" s="1" t="s">
        <v>19</v>
      </c>
      <c r="H371" s="1" t="s">
        <v>435</v>
      </c>
      <c r="I371" s="6">
        <v>3</v>
      </c>
      <c r="J371" s="6">
        <v>3940</v>
      </c>
      <c r="K371" s="1" t="str">
        <f t="shared" si="5"/>
        <v>3071529613233940</v>
      </c>
      <c r="L371" s="5">
        <v>21</v>
      </c>
      <c r="M371" s="12">
        <v>0</v>
      </c>
      <c r="N371" s="12">
        <v>1834710.8</v>
      </c>
      <c r="O371" s="12">
        <v>385289.27</v>
      </c>
      <c r="P371" s="12">
        <v>2220000.0699999998</v>
      </c>
      <c r="Q371" s="1" t="s">
        <v>15</v>
      </c>
      <c r="R371" s="5">
        <v>0</v>
      </c>
      <c r="S371">
        <f>VLOOKUP(K371,'MIS COMPROBANTES'!E:Q,13,FALSE)</f>
        <v>2220000.0699999998</v>
      </c>
    </row>
    <row r="372" spans="1:19" x14ac:dyDescent="0.25">
      <c r="A372" s="3">
        <v>45462</v>
      </c>
      <c r="B372" s="1" t="s">
        <v>436</v>
      </c>
      <c r="C372" s="1" t="s">
        <v>437</v>
      </c>
      <c r="D372" s="1" t="s">
        <v>18</v>
      </c>
      <c r="E372" s="1" t="s">
        <v>676</v>
      </c>
      <c r="F372" s="4">
        <v>12760</v>
      </c>
      <c r="G372" s="1" t="s">
        <v>19</v>
      </c>
      <c r="H372" s="1" t="s">
        <v>438</v>
      </c>
      <c r="I372" s="6">
        <v>10</v>
      </c>
      <c r="J372" s="6">
        <v>81286</v>
      </c>
      <c r="K372" s="1" t="str">
        <f t="shared" si="5"/>
        <v>306124309731081286</v>
      </c>
      <c r="L372" s="5">
        <v>10.5</v>
      </c>
      <c r="M372" s="12">
        <v>0</v>
      </c>
      <c r="N372" s="12">
        <v>34642.53</v>
      </c>
      <c r="O372" s="12">
        <v>3637.47</v>
      </c>
      <c r="P372" s="12">
        <v>38972.85</v>
      </c>
      <c r="Q372" s="1" t="s">
        <v>15</v>
      </c>
      <c r="R372" s="5">
        <v>692.85</v>
      </c>
      <c r="S372">
        <f>VLOOKUP(K372,'MIS COMPROBANTES'!E:Q,13,FALSE)</f>
        <v>38972.85</v>
      </c>
    </row>
    <row r="373" spans="1:19" x14ac:dyDescent="0.25">
      <c r="A373" s="3">
        <v>45462</v>
      </c>
      <c r="B373" s="1" t="s">
        <v>229</v>
      </c>
      <c r="C373" s="1" t="s">
        <v>230</v>
      </c>
      <c r="D373" s="1" t="s">
        <v>18</v>
      </c>
      <c r="E373" s="1" t="s">
        <v>640</v>
      </c>
      <c r="F373" s="4">
        <v>12547</v>
      </c>
      <c r="G373" s="1" t="s">
        <v>19</v>
      </c>
      <c r="H373" s="1" t="s">
        <v>439</v>
      </c>
      <c r="I373" s="6">
        <v>46</v>
      </c>
      <c r="J373" s="6">
        <v>403333</v>
      </c>
      <c r="K373" s="1" t="str">
        <f t="shared" si="5"/>
        <v>3053214979346403333</v>
      </c>
      <c r="L373" s="5">
        <v>21</v>
      </c>
      <c r="M373" s="12">
        <v>0</v>
      </c>
      <c r="N373" s="12">
        <v>162540</v>
      </c>
      <c r="O373" s="12">
        <v>34133.4</v>
      </c>
      <c r="P373" s="12">
        <v>204800.4</v>
      </c>
      <c r="Q373" s="1" t="s">
        <v>15</v>
      </c>
      <c r="R373" s="5">
        <v>3250.8</v>
      </c>
      <c r="S373">
        <f>VLOOKUP(K373,'MIS COMPROBANTES'!E:Q,13,FALSE)</f>
        <v>204800.4</v>
      </c>
    </row>
    <row r="374" spans="1:19" x14ac:dyDescent="0.25">
      <c r="A374" s="3">
        <v>45462</v>
      </c>
      <c r="B374" s="1" t="s">
        <v>229</v>
      </c>
      <c r="C374" s="1" t="s">
        <v>230</v>
      </c>
      <c r="D374" s="1" t="s">
        <v>18</v>
      </c>
      <c r="E374" s="1" t="s">
        <v>640</v>
      </c>
      <c r="F374" s="4">
        <v>12547</v>
      </c>
      <c r="G374" s="1" t="s">
        <v>19</v>
      </c>
      <c r="H374" s="1" t="s">
        <v>439</v>
      </c>
      <c r="I374" s="6">
        <v>46</v>
      </c>
      <c r="J374" s="6">
        <v>403333</v>
      </c>
      <c r="K374" s="1" t="str">
        <f t="shared" si="5"/>
        <v>3053214979346403333</v>
      </c>
      <c r="L374" s="5">
        <v>3</v>
      </c>
      <c r="M374" s="12">
        <v>0</v>
      </c>
      <c r="N374" s="12">
        <v>0</v>
      </c>
      <c r="O374" s="12">
        <v>4876.2</v>
      </c>
      <c r="P374" s="12">
        <v>0</v>
      </c>
      <c r="Q374" s="1" t="s">
        <v>15</v>
      </c>
      <c r="R374" s="5">
        <v>0</v>
      </c>
      <c r="S374">
        <f>VLOOKUP(K374,'MIS COMPROBANTES'!E:Q,13,FALSE)</f>
        <v>204800.4</v>
      </c>
    </row>
    <row r="375" spans="1:19" x14ac:dyDescent="0.25">
      <c r="A375" s="3">
        <v>45462</v>
      </c>
      <c r="B375" s="1" t="s">
        <v>229</v>
      </c>
      <c r="C375" s="1" t="s">
        <v>230</v>
      </c>
      <c r="D375" s="1" t="s">
        <v>18</v>
      </c>
      <c r="E375" s="1" t="s">
        <v>640</v>
      </c>
      <c r="F375" s="4">
        <v>12548</v>
      </c>
      <c r="G375" s="1" t="s">
        <v>19</v>
      </c>
      <c r="H375" s="1" t="s">
        <v>440</v>
      </c>
      <c r="I375" s="6">
        <v>46</v>
      </c>
      <c r="J375" s="6">
        <v>403334</v>
      </c>
      <c r="K375" s="1" t="str">
        <f t="shared" si="5"/>
        <v>3053214979346403334</v>
      </c>
      <c r="L375" s="5">
        <v>21</v>
      </c>
      <c r="M375" s="12">
        <v>0</v>
      </c>
      <c r="N375" s="12">
        <v>1332000</v>
      </c>
      <c r="O375" s="12">
        <v>279720</v>
      </c>
      <c r="P375" s="12">
        <v>1678320</v>
      </c>
      <c r="Q375" s="1" t="s">
        <v>15</v>
      </c>
      <c r="R375" s="5">
        <v>26640</v>
      </c>
      <c r="S375">
        <f>VLOOKUP(K375,'MIS COMPROBANTES'!E:Q,13,FALSE)</f>
        <v>1678320</v>
      </c>
    </row>
    <row r="376" spans="1:19" x14ac:dyDescent="0.25">
      <c r="A376" s="3">
        <v>45462</v>
      </c>
      <c r="B376" s="1" t="s">
        <v>229</v>
      </c>
      <c r="C376" s="1" t="s">
        <v>230</v>
      </c>
      <c r="D376" s="1" t="s">
        <v>18</v>
      </c>
      <c r="E376" s="1" t="s">
        <v>640</v>
      </c>
      <c r="F376" s="4">
        <v>12548</v>
      </c>
      <c r="G376" s="1" t="s">
        <v>19</v>
      </c>
      <c r="H376" s="1" t="s">
        <v>440</v>
      </c>
      <c r="I376" s="6">
        <v>46</v>
      </c>
      <c r="J376" s="6">
        <v>403334</v>
      </c>
      <c r="K376" s="1" t="str">
        <f t="shared" si="5"/>
        <v>3053214979346403334</v>
      </c>
      <c r="L376" s="5">
        <v>3</v>
      </c>
      <c r="M376" s="12">
        <v>0</v>
      </c>
      <c r="N376" s="12">
        <v>0</v>
      </c>
      <c r="O376" s="12">
        <v>39960</v>
      </c>
      <c r="P376" s="12">
        <v>0</v>
      </c>
      <c r="Q376" s="1" t="s">
        <v>15</v>
      </c>
      <c r="R376" s="5">
        <v>0</v>
      </c>
      <c r="S376">
        <f>VLOOKUP(K376,'MIS COMPROBANTES'!E:Q,13,FALSE)</f>
        <v>1678320</v>
      </c>
    </row>
    <row r="377" spans="1:19" x14ac:dyDescent="0.25">
      <c r="A377" s="3">
        <v>45462</v>
      </c>
      <c r="B377" s="1" t="s">
        <v>29</v>
      </c>
      <c r="C377" s="1" t="s">
        <v>30</v>
      </c>
      <c r="D377" s="1" t="s">
        <v>18</v>
      </c>
      <c r="E377" s="1" t="s">
        <v>587</v>
      </c>
      <c r="F377" s="4">
        <v>12583</v>
      </c>
      <c r="G377" s="1" t="s">
        <v>19</v>
      </c>
      <c r="H377" s="1" t="s">
        <v>441</v>
      </c>
      <c r="I377" s="6">
        <v>161</v>
      </c>
      <c r="J377" s="6">
        <v>200438</v>
      </c>
      <c r="K377" s="1" t="str">
        <f t="shared" si="5"/>
        <v>30566108352161200438</v>
      </c>
      <c r="L377" s="5">
        <v>21</v>
      </c>
      <c r="M377" s="12">
        <v>0</v>
      </c>
      <c r="N377" s="12">
        <v>7631549.3700000001</v>
      </c>
      <c r="O377" s="12">
        <v>1602625.37</v>
      </c>
      <c r="P377" s="12">
        <v>9577594.4600000009</v>
      </c>
      <c r="Q377" s="1" t="s">
        <v>15</v>
      </c>
      <c r="R377" s="5">
        <v>343419.72</v>
      </c>
      <c r="S377">
        <f>VLOOKUP(K377,'MIS COMPROBANTES'!E:Q,13,FALSE)</f>
        <v>9577594.4600000009</v>
      </c>
    </row>
    <row r="378" spans="1:19" x14ac:dyDescent="0.25">
      <c r="A378" s="3">
        <v>45462</v>
      </c>
      <c r="B378" s="1" t="s">
        <v>158</v>
      </c>
      <c r="C378" s="1" t="s">
        <v>159</v>
      </c>
      <c r="D378" s="1" t="s">
        <v>18</v>
      </c>
      <c r="E378" s="1" t="s">
        <v>623</v>
      </c>
      <c r="F378" s="4">
        <v>12505</v>
      </c>
      <c r="G378" s="1" t="s">
        <v>19</v>
      </c>
      <c r="H378" s="1" t="s">
        <v>442</v>
      </c>
      <c r="I378" s="6">
        <v>702</v>
      </c>
      <c r="J378" s="6">
        <v>432872</v>
      </c>
      <c r="K378" s="1" t="str">
        <f t="shared" si="5"/>
        <v>30500858628702432872</v>
      </c>
      <c r="L378" s="5">
        <v>21</v>
      </c>
      <c r="M378" s="12">
        <v>0</v>
      </c>
      <c r="N378" s="12">
        <v>551410.63</v>
      </c>
      <c r="O378" s="12">
        <v>115796.23</v>
      </c>
      <c r="P378" s="12">
        <v>708562.66</v>
      </c>
      <c r="Q378" s="1" t="s">
        <v>15</v>
      </c>
      <c r="R378" s="5">
        <v>24813.48</v>
      </c>
      <c r="S378">
        <f>VLOOKUP(K378,'MIS COMPROBANTES'!E:Q,13,FALSE)</f>
        <v>708562.66</v>
      </c>
    </row>
    <row r="379" spans="1:19" x14ac:dyDescent="0.25">
      <c r="A379" s="3">
        <v>45462</v>
      </c>
      <c r="B379" s="1" t="s">
        <v>158</v>
      </c>
      <c r="C379" s="1" t="s">
        <v>159</v>
      </c>
      <c r="D379" s="1" t="s">
        <v>18</v>
      </c>
      <c r="E379" s="1" t="s">
        <v>623</v>
      </c>
      <c r="F379" s="4">
        <v>12505</v>
      </c>
      <c r="G379" s="1" t="s">
        <v>19</v>
      </c>
      <c r="H379" s="1" t="s">
        <v>442</v>
      </c>
      <c r="I379" s="6">
        <v>702</v>
      </c>
      <c r="J379" s="6">
        <v>432872</v>
      </c>
      <c r="K379" s="1" t="str">
        <f t="shared" si="5"/>
        <v>30500858628702432872</v>
      </c>
      <c r="L379" s="5">
        <v>3</v>
      </c>
      <c r="M379" s="12">
        <v>0</v>
      </c>
      <c r="N379" s="12">
        <v>0</v>
      </c>
      <c r="O379" s="12">
        <v>16542.32</v>
      </c>
      <c r="P379" s="12">
        <v>0</v>
      </c>
      <c r="Q379" s="1" t="s">
        <v>15</v>
      </c>
      <c r="R379" s="5">
        <v>0</v>
      </c>
      <c r="S379">
        <f>VLOOKUP(K379,'MIS COMPROBANTES'!E:Q,13,FALSE)</f>
        <v>708562.66</v>
      </c>
    </row>
    <row r="380" spans="1:19" x14ac:dyDescent="0.25">
      <c r="A380" s="3">
        <v>45462</v>
      </c>
      <c r="B380" s="1" t="s">
        <v>158</v>
      </c>
      <c r="C380" s="1" t="s">
        <v>159</v>
      </c>
      <c r="D380" s="1" t="s">
        <v>18</v>
      </c>
      <c r="E380" s="1" t="s">
        <v>623</v>
      </c>
      <c r="F380" s="4">
        <v>12506</v>
      </c>
      <c r="G380" s="1" t="s">
        <v>19</v>
      </c>
      <c r="H380" s="1" t="s">
        <v>443</v>
      </c>
      <c r="I380" s="6">
        <v>702</v>
      </c>
      <c r="J380" s="6">
        <v>432873</v>
      </c>
      <c r="K380" s="1" t="str">
        <f t="shared" si="5"/>
        <v>30500858628702432873</v>
      </c>
      <c r="L380" s="5">
        <v>21</v>
      </c>
      <c r="M380" s="12">
        <v>0</v>
      </c>
      <c r="N380" s="12">
        <v>3378071.17</v>
      </c>
      <c r="O380" s="12">
        <v>709394.95</v>
      </c>
      <c r="P380" s="12">
        <v>4340821.45</v>
      </c>
      <c r="Q380" s="1" t="s">
        <v>15</v>
      </c>
      <c r="R380" s="5">
        <v>152013.20000000001</v>
      </c>
      <c r="S380">
        <f>VLOOKUP(K380,'MIS COMPROBANTES'!E:Q,13,FALSE)</f>
        <v>4340821.45</v>
      </c>
    </row>
    <row r="381" spans="1:19" x14ac:dyDescent="0.25">
      <c r="A381" s="3">
        <v>45462</v>
      </c>
      <c r="B381" s="1" t="s">
        <v>158</v>
      </c>
      <c r="C381" s="1" t="s">
        <v>159</v>
      </c>
      <c r="D381" s="1" t="s">
        <v>18</v>
      </c>
      <c r="E381" s="1" t="s">
        <v>623</v>
      </c>
      <c r="F381" s="4">
        <v>12506</v>
      </c>
      <c r="G381" s="1" t="s">
        <v>19</v>
      </c>
      <c r="H381" s="1" t="s">
        <v>443</v>
      </c>
      <c r="I381" s="6">
        <v>702</v>
      </c>
      <c r="J381" s="6">
        <v>432873</v>
      </c>
      <c r="K381" s="1" t="str">
        <f t="shared" ref="K381:K444" si="6">CONCATENATE(E381,I381,J381)</f>
        <v>30500858628702432873</v>
      </c>
      <c r="L381" s="5">
        <v>3</v>
      </c>
      <c r="M381" s="12">
        <v>0</v>
      </c>
      <c r="N381" s="12">
        <v>0</v>
      </c>
      <c r="O381" s="12">
        <v>101342.13</v>
      </c>
      <c r="P381" s="12">
        <v>0</v>
      </c>
      <c r="Q381" s="1" t="s">
        <v>15</v>
      </c>
      <c r="R381" s="5">
        <v>0</v>
      </c>
      <c r="S381">
        <f>VLOOKUP(K381,'MIS COMPROBANTES'!E:Q,13,FALSE)</f>
        <v>4340821.45</v>
      </c>
    </row>
    <row r="382" spans="1:19" x14ac:dyDescent="0.25">
      <c r="A382" s="3">
        <v>45462</v>
      </c>
      <c r="B382" s="1" t="s">
        <v>79</v>
      </c>
      <c r="C382" s="1" t="s">
        <v>80</v>
      </c>
      <c r="D382" s="1" t="s">
        <v>18</v>
      </c>
      <c r="E382" s="1" t="s">
        <v>602</v>
      </c>
      <c r="F382" s="4">
        <v>12477</v>
      </c>
      <c r="G382" s="1" t="s">
        <v>19</v>
      </c>
      <c r="H382" s="1" t="s">
        <v>444</v>
      </c>
      <c r="I382" s="6">
        <v>1001</v>
      </c>
      <c r="J382" s="6">
        <v>2805</v>
      </c>
      <c r="K382" s="1" t="str">
        <f t="shared" si="6"/>
        <v>3050343016510012805</v>
      </c>
      <c r="L382" s="5">
        <v>21</v>
      </c>
      <c r="M382" s="12">
        <v>0</v>
      </c>
      <c r="N382" s="12">
        <v>1185750</v>
      </c>
      <c r="O382" s="12">
        <v>249007.5</v>
      </c>
      <c r="P382" s="12">
        <v>1434757.5</v>
      </c>
      <c r="Q382" s="1" t="s">
        <v>15</v>
      </c>
      <c r="R382" s="5">
        <v>0</v>
      </c>
      <c r="S382">
        <f>VLOOKUP(K382,'MIS COMPROBANTES'!E:Q,13,FALSE)</f>
        <v>1434757.5</v>
      </c>
    </row>
    <row r="383" spans="1:19" x14ac:dyDescent="0.25">
      <c r="A383" s="3">
        <v>45462</v>
      </c>
      <c r="B383" s="1" t="s">
        <v>50</v>
      </c>
      <c r="C383" s="1" t="s">
        <v>51</v>
      </c>
      <c r="D383" s="1" t="s">
        <v>18</v>
      </c>
      <c r="E383" s="1" t="s">
        <v>593</v>
      </c>
      <c r="F383" s="4">
        <v>12549</v>
      </c>
      <c r="G383" s="1" t="s">
        <v>19</v>
      </c>
      <c r="H383" s="1" t="s">
        <v>445</v>
      </c>
      <c r="I383" s="6">
        <v>2009</v>
      </c>
      <c r="J383" s="6">
        <v>38673</v>
      </c>
      <c r="K383" s="1" t="str">
        <f t="shared" si="6"/>
        <v>30700869918200938673</v>
      </c>
      <c r="L383" s="5">
        <v>21</v>
      </c>
      <c r="M383" s="12">
        <v>0</v>
      </c>
      <c r="N383" s="12">
        <v>5665000</v>
      </c>
      <c r="O383" s="12">
        <v>1189650</v>
      </c>
      <c r="P383" s="12">
        <v>7279525</v>
      </c>
      <c r="Q383" s="1" t="s">
        <v>15</v>
      </c>
      <c r="R383" s="5">
        <v>254925</v>
      </c>
      <c r="S383">
        <f>VLOOKUP(K383,'MIS COMPROBANTES'!E:Q,13,FALSE)</f>
        <v>7279525</v>
      </c>
    </row>
    <row r="384" spans="1:19" x14ac:dyDescent="0.25">
      <c r="A384" s="3">
        <v>45462</v>
      </c>
      <c r="B384" s="1" t="s">
        <v>50</v>
      </c>
      <c r="C384" s="1" t="s">
        <v>51</v>
      </c>
      <c r="D384" s="1" t="s">
        <v>18</v>
      </c>
      <c r="E384" s="1" t="s">
        <v>593</v>
      </c>
      <c r="F384" s="4">
        <v>12549</v>
      </c>
      <c r="G384" s="1" t="s">
        <v>19</v>
      </c>
      <c r="H384" s="1" t="s">
        <v>445</v>
      </c>
      <c r="I384" s="6">
        <v>2009</v>
      </c>
      <c r="J384" s="6">
        <v>38673</v>
      </c>
      <c r="K384" s="1" t="str">
        <f t="shared" si="6"/>
        <v>30700869918200938673</v>
      </c>
      <c r="L384" s="5">
        <v>3</v>
      </c>
      <c r="M384" s="12">
        <v>0</v>
      </c>
      <c r="N384" s="12">
        <v>0</v>
      </c>
      <c r="O384" s="12">
        <v>169950</v>
      </c>
      <c r="P384" s="12">
        <v>0</v>
      </c>
      <c r="Q384" s="1" t="s">
        <v>15</v>
      </c>
      <c r="R384" s="5">
        <v>0</v>
      </c>
      <c r="S384">
        <f>VLOOKUP(K384,'MIS COMPROBANTES'!E:Q,13,FALSE)</f>
        <v>7279525</v>
      </c>
    </row>
    <row r="385" spans="1:19" x14ac:dyDescent="0.25">
      <c r="A385" s="3">
        <v>45462</v>
      </c>
      <c r="B385" s="1" t="s">
        <v>50</v>
      </c>
      <c r="C385" s="1" t="s">
        <v>51</v>
      </c>
      <c r="D385" s="1" t="s">
        <v>18</v>
      </c>
      <c r="E385" s="1" t="s">
        <v>593</v>
      </c>
      <c r="F385" s="4">
        <v>12550</v>
      </c>
      <c r="G385" s="1" t="s">
        <v>19</v>
      </c>
      <c r="H385" s="1" t="s">
        <v>446</v>
      </c>
      <c r="I385" s="6">
        <v>2009</v>
      </c>
      <c r="J385" s="6">
        <v>38674</v>
      </c>
      <c r="K385" s="1" t="str">
        <f t="shared" si="6"/>
        <v>30700869918200938674</v>
      </c>
      <c r="L385" s="5">
        <v>21</v>
      </c>
      <c r="M385" s="12">
        <v>0</v>
      </c>
      <c r="N385" s="12">
        <v>963600</v>
      </c>
      <c r="O385" s="12">
        <v>202356</v>
      </c>
      <c r="P385" s="12">
        <v>1238226</v>
      </c>
      <c r="Q385" s="1" t="s">
        <v>15</v>
      </c>
      <c r="R385" s="5">
        <v>43362</v>
      </c>
      <c r="S385">
        <f>VLOOKUP(K385,'MIS COMPROBANTES'!E:Q,13,FALSE)</f>
        <v>1238226</v>
      </c>
    </row>
    <row r="386" spans="1:19" x14ac:dyDescent="0.25">
      <c r="A386" s="3">
        <v>45462</v>
      </c>
      <c r="B386" s="1" t="s">
        <v>50</v>
      </c>
      <c r="C386" s="1" t="s">
        <v>51</v>
      </c>
      <c r="D386" s="1" t="s">
        <v>18</v>
      </c>
      <c r="E386" s="1" t="s">
        <v>593</v>
      </c>
      <c r="F386" s="4">
        <v>12550</v>
      </c>
      <c r="G386" s="1" t="s">
        <v>19</v>
      </c>
      <c r="H386" s="1" t="s">
        <v>446</v>
      </c>
      <c r="I386" s="6">
        <v>2009</v>
      </c>
      <c r="J386" s="6">
        <v>38674</v>
      </c>
      <c r="K386" s="1" t="str">
        <f t="shared" si="6"/>
        <v>30700869918200938674</v>
      </c>
      <c r="L386" s="5">
        <v>3</v>
      </c>
      <c r="M386" s="12">
        <v>0</v>
      </c>
      <c r="N386" s="12">
        <v>0</v>
      </c>
      <c r="O386" s="12">
        <v>28908</v>
      </c>
      <c r="P386" s="12">
        <v>0</v>
      </c>
      <c r="Q386" s="1" t="s">
        <v>15</v>
      </c>
      <c r="R386" s="5">
        <v>0</v>
      </c>
      <c r="S386">
        <f>VLOOKUP(K386,'MIS COMPROBANTES'!E:Q,13,FALSE)</f>
        <v>1238226</v>
      </c>
    </row>
    <row r="387" spans="1:19" x14ac:dyDescent="0.25">
      <c r="A387" s="3">
        <v>45462</v>
      </c>
      <c r="B387" s="1" t="s">
        <v>50</v>
      </c>
      <c r="C387" s="1" t="s">
        <v>51</v>
      </c>
      <c r="D387" s="1" t="s">
        <v>18</v>
      </c>
      <c r="E387" s="1" t="s">
        <v>593</v>
      </c>
      <c r="F387" s="4">
        <v>12551</v>
      </c>
      <c r="G387" s="1" t="s">
        <v>19</v>
      </c>
      <c r="H387" s="1" t="s">
        <v>447</v>
      </c>
      <c r="I387" s="6">
        <v>2009</v>
      </c>
      <c r="J387" s="6">
        <v>38675</v>
      </c>
      <c r="K387" s="1" t="str">
        <f t="shared" si="6"/>
        <v>30700869918200938675</v>
      </c>
      <c r="L387" s="5">
        <v>21</v>
      </c>
      <c r="M387" s="12">
        <v>0</v>
      </c>
      <c r="N387" s="12">
        <v>2630880</v>
      </c>
      <c r="O387" s="12">
        <v>552484.80000000005</v>
      </c>
      <c r="P387" s="12">
        <v>3472761.6</v>
      </c>
      <c r="Q387" s="1" t="s">
        <v>15</v>
      </c>
      <c r="R387" s="5">
        <v>210470.39999999999</v>
      </c>
      <c r="S387">
        <f>VLOOKUP(K387,'MIS COMPROBANTES'!E:Q,13,FALSE)</f>
        <v>3472761.6</v>
      </c>
    </row>
    <row r="388" spans="1:19" x14ac:dyDescent="0.25">
      <c r="A388" s="3">
        <v>45462</v>
      </c>
      <c r="B388" s="1" t="s">
        <v>50</v>
      </c>
      <c r="C388" s="1" t="s">
        <v>51</v>
      </c>
      <c r="D388" s="1" t="s">
        <v>18</v>
      </c>
      <c r="E388" s="1" t="s">
        <v>593</v>
      </c>
      <c r="F388" s="4">
        <v>12551</v>
      </c>
      <c r="G388" s="1" t="s">
        <v>19</v>
      </c>
      <c r="H388" s="1" t="s">
        <v>447</v>
      </c>
      <c r="I388" s="6">
        <v>2009</v>
      </c>
      <c r="J388" s="6">
        <v>38675</v>
      </c>
      <c r="K388" s="1" t="str">
        <f t="shared" si="6"/>
        <v>30700869918200938675</v>
      </c>
      <c r="L388" s="5">
        <v>3</v>
      </c>
      <c r="M388" s="12">
        <v>0</v>
      </c>
      <c r="N388" s="12">
        <v>0</v>
      </c>
      <c r="O388" s="12">
        <v>78926.399999999994</v>
      </c>
      <c r="P388" s="12">
        <v>0</v>
      </c>
      <c r="Q388" s="1" t="s">
        <v>15</v>
      </c>
      <c r="R388" s="5">
        <v>0</v>
      </c>
      <c r="S388">
        <f>VLOOKUP(K388,'MIS COMPROBANTES'!E:Q,13,FALSE)</f>
        <v>3472761.6</v>
      </c>
    </row>
    <row r="389" spans="1:19" x14ac:dyDescent="0.25">
      <c r="A389" s="3">
        <v>45462</v>
      </c>
      <c r="B389" s="1" t="s">
        <v>433</v>
      </c>
      <c r="C389" s="1" t="s">
        <v>434</v>
      </c>
      <c r="D389" s="1" t="s">
        <v>18</v>
      </c>
      <c r="E389" s="1" t="s">
        <v>675</v>
      </c>
      <c r="F389" s="4">
        <v>12869</v>
      </c>
      <c r="G389" s="1" t="s">
        <v>31</v>
      </c>
      <c r="H389" s="1" t="s">
        <v>448</v>
      </c>
      <c r="I389" s="6">
        <v>3</v>
      </c>
      <c r="J389" s="6">
        <v>135</v>
      </c>
      <c r="K389" s="1" t="str">
        <f t="shared" si="6"/>
        <v>307152961323135</v>
      </c>
      <c r="L389" s="5">
        <v>21</v>
      </c>
      <c r="M389" s="12">
        <v>0</v>
      </c>
      <c r="N389" s="12">
        <v>-91735.54</v>
      </c>
      <c r="O389" s="12">
        <v>-19264.46</v>
      </c>
      <c r="P389" s="12">
        <v>-111000</v>
      </c>
      <c r="Q389" s="1" t="s">
        <v>15</v>
      </c>
      <c r="R389" s="5">
        <v>0</v>
      </c>
      <c r="S389">
        <f>VLOOKUP(K389,'MIS COMPROBANTES'!E:Q,13,FALSE)</f>
        <v>111000</v>
      </c>
    </row>
    <row r="390" spans="1:19" x14ac:dyDescent="0.25">
      <c r="A390" s="3">
        <v>45462</v>
      </c>
      <c r="B390" s="1" t="s">
        <v>315</v>
      </c>
      <c r="C390" s="1" t="s">
        <v>316</v>
      </c>
      <c r="D390" s="1" t="s">
        <v>18</v>
      </c>
      <c r="E390" s="1" t="s">
        <v>657</v>
      </c>
      <c r="F390" s="4">
        <v>12643</v>
      </c>
      <c r="G390" s="1" t="s">
        <v>31</v>
      </c>
      <c r="H390" s="1" t="s">
        <v>449</v>
      </c>
      <c r="I390" s="6">
        <v>4</v>
      </c>
      <c r="J390" s="6">
        <v>2005</v>
      </c>
      <c r="K390" s="1" t="str">
        <f t="shared" si="6"/>
        <v>3064583044642005</v>
      </c>
      <c r="L390" s="5">
        <v>21</v>
      </c>
      <c r="M390" s="12">
        <v>0</v>
      </c>
      <c r="N390" s="12">
        <v>-1849732.72</v>
      </c>
      <c r="O390" s="12">
        <v>-388443.87</v>
      </c>
      <c r="P390" s="12">
        <v>-2238176.59</v>
      </c>
      <c r="Q390" s="1" t="s">
        <v>15</v>
      </c>
      <c r="R390" s="5">
        <v>0</v>
      </c>
      <c r="S390">
        <f>VLOOKUP(K390,'MIS COMPROBANTES'!E:Q,13,FALSE)</f>
        <v>2238176.59</v>
      </c>
    </row>
    <row r="391" spans="1:19" x14ac:dyDescent="0.25">
      <c r="A391" s="3">
        <v>45462</v>
      </c>
      <c r="B391" s="1" t="s">
        <v>255</v>
      </c>
      <c r="C391" s="1" t="s">
        <v>256</v>
      </c>
      <c r="D391" s="1" t="s">
        <v>18</v>
      </c>
      <c r="E391" s="1" t="s">
        <v>646</v>
      </c>
      <c r="F391" s="4">
        <v>12600</v>
      </c>
      <c r="G391" s="1" t="s">
        <v>31</v>
      </c>
      <c r="H391" s="1" t="s">
        <v>450</v>
      </c>
      <c r="I391" s="6">
        <v>12</v>
      </c>
      <c r="J391" s="6">
        <v>4301</v>
      </c>
      <c r="K391" s="1" t="str">
        <f t="shared" si="6"/>
        <v>30708938021124301</v>
      </c>
      <c r="L391" s="5">
        <v>21</v>
      </c>
      <c r="M391" s="12">
        <v>0</v>
      </c>
      <c r="N391" s="12">
        <v>-2802745</v>
      </c>
      <c r="O391" s="12">
        <v>-588576.44999999995</v>
      </c>
      <c r="P391" s="12">
        <v>-3447376.35</v>
      </c>
      <c r="Q391" s="1" t="s">
        <v>15</v>
      </c>
      <c r="R391" s="5">
        <v>-56054.9</v>
      </c>
      <c r="S391">
        <f>VLOOKUP(K391,'MIS COMPROBANTES'!E:Q,13,FALSE)</f>
        <v>3447376.35</v>
      </c>
    </row>
    <row r="392" spans="1:19" x14ac:dyDescent="0.25">
      <c r="A392" s="3">
        <v>45462</v>
      </c>
      <c r="B392" s="1" t="s">
        <v>50</v>
      </c>
      <c r="C392" s="1" t="s">
        <v>51</v>
      </c>
      <c r="D392" s="1" t="s">
        <v>18</v>
      </c>
      <c r="E392" s="1" t="s">
        <v>593</v>
      </c>
      <c r="F392" s="4">
        <v>12748</v>
      </c>
      <c r="G392" s="1" t="s">
        <v>31</v>
      </c>
      <c r="H392" s="1" t="s">
        <v>451</v>
      </c>
      <c r="I392" s="6">
        <v>2009</v>
      </c>
      <c r="J392" s="6">
        <v>6304</v>
      </c>
      <c r="K392" s="1" t="str">
        <f t="shared" si="6"/>
        <v>3070086991820096304</v>
      </c>
      <c r="L392" s="5">
        <v>21</v>
      </c>
      <c r="M392" s="12">
        <v>0</v>
      </c>
      <c r="N392" s="12">
        <v>-1095600</v>
      </c>
      <c r="O392" s="12">
        <v>-230076</v>
      </c>
      <c r="P392" s="12">
        <v>-1446192</v>
      </c>
      <c r="Q392" s="1" t="s">
        <v>15</v>
      </c>
      <c r="R392" s="5">
        <v>-87648</v>
      </c>
      <c r="S392">
        <f>VLOOKUP(K392,'MIS COMPROBANTES'!E:Q,13,FALSE)</f>
        <v>1446192</v>
      </c>
    </row>
    <row r="393" spans="1:19" x14ac:dyDescent="0.25">
      <c r="A393" s="3">
        <v>45462</v>
      </c>
      <c r="B393" s="1" t="s">
        <v>50</v>
      </c>
      <c r="C393" s="1" t="s">
        <v>51</v>
      </c>
      <c r="D393" s="1" t="s">
        <v>18</v>
      </c>
      <c r="E393" s="1" t="s">
        <v>593</v>
      </c>
      <c r="F393" s="4">
        <v>12748</v>
      </c>
      <c r="G393" s="1" t="s">
        <v>31</v>
      </c>
      <c r="H393" s="1" t="s">
        <v>451</v>
      </c>
      <c r="I393" s="6">
        <v>2009</v>
      </c>
      <c r="J393" s="6">
        <v>6304</v>
      </c>
      <c r="K393" s="1" t="str">
        <f t="shared" si="6"/>
        <v>3070086991820096304</v>
      </c>
      <c r="L393" s="5">
        <v>3</v>
      </c>
      <c r="M393" s="12">
        <v>0</v>
      </c>
      <c r="N393" s="12">
        <v>0</v>
      </c>
      <c r="O393" s="12">
        <v>-32868</v>
      </c>
      <c r="P393" s="12">
        <v>0</v>
      </c>
      <c r="Q393" s="1" t="s">
        <v>15</v>
      </c>
      <c r="R393" s="5">
        <v>0</v>
      </c>
      <c r="S393">
        <f>VLOOKUP(K393,'MIS COMPROBANTES'!E:Q,13,FALSE)</f>
        <v>1446192</v>
      </c>
    </row>
    <row r="394" spans="1:19" x14ac:dyDescent="0.25">
      <c r="A394" s="3">
        <v>45463</v>
      </c>
      <c r="B394" s="1" t="s">
        <v>452</v>
      </c>
      <c r="C394" s="1" t="s">
        <v>453</v>
      </c>
      <c r="D394" s="1" t="s">
        <v>18</v>
      </c>
      <c r="E394" s="1" t="s">
        <v>677</v>
      </c>
      <c r="F394" s="4">
        <v>12568</v>
      </c>
      <c r="G394" s="1" t="s">
        <v>19</v>
      </c>
      <c r="H394" s="1" t="s">
        <v>454</v>
      </c>
      <c r="I394" s="6">
        <v>15</v>
      </c>
      <c r="J394" s="6">
        <v>6840</v>
      </c>
      <c r="K394" s="1" t="str">
        <f t="shared" si="6"/>
        <v>30711163413156840</v>
      </c>
      <c r="L394" s="5">
        <v>21</v>
      </c>
      <c r="M394" s="12">
        <v>0</v>
      </c>
      <c r="N394" s="12">
        <v>14049.59</v>
      </c>
      <c r="O394" s="12">
        <v>2950.41</v>
      </c>
      <c r="P394" s="12">
        <v>17280.990000000002</v>
      </c>
      <c r="Q394" s="1" t="s">
        <v>15</v>
      </c>
      <c r="R394" s="5">
        <v>280.99</v>
      </c>
      <c r="S394" t="e">
        <f>VLOOKUP(K394,'MIS COMPROBANTES'!E:Q,13,FALSE)</f>
        <v>#N/A</v>
      </c>
    </row>
    <row r="395" spans="1:19" x14ac:dyDescent="0.25">
      <c r="A395" s="3">
        <v>45463</v>
      </c>
      <c r="B395" s="1" t="s">
        <v>44</v>
      </c>
      <c r="C395" s="1" t="s">
        <v>45</v>
      </c>
      <c r="D395" s="1" t="s">
        <v>18</v>
      </c>
      <c r="E395" s="1" t="s">
        <v>591</v>
      </c>
      <c r="F395" s="4">
        <v>12546</v>
      </c>
      <c r="G395" s="1" t="s">
        <v>19</v>
      </c>
      <c r="H395" s="1" t="s">
        <v>455</v>
      </c>
      <c r="I395" s="6">
        <v>622</v>
      </c>
      <c r="J395" s="6">
        <v>289191</v>
      </c>
      <c r="K395" s="1" t="str">
        <f t="shared" si="6"/>
        <v>30682032630622289191</v>
      </c>
      <c r="L395" s="5">
        <v>21</v>
      </c>
      <c r="M395" s="12">
        <v>0</v>
      </c>
      <c r="N395" s="12">
        <v>263633.18</v>
      </c>
      <c r="O395" s="12">
        <v>55362.97</v>
      </c>
      <c r="P395" s="12">
        <v>338768.64000000001</v>
      </c>
      <c r="Q395" s="1" t="s">
        <v>15</v>
      </c>
      <c r="R395" s="5">
        <v>11863.49</v>
      </c>
      <c r="S395">
        <f>VLOOKUP(K395,'MIS COMPROBANTES'!E:Q,13,FALSE)</f>
        <v>338768.64000000001</v>
      </c>
    </row>
    <row r="396" spans="1:19" x14ac:dyDescent="0.25">
      <c r="A396" s="3">
        <v>45463</v>
      </c>
      <c r="B396" s="1" t="s">
        <v>44</v>
      </c>
      <c r="C396" s="1" t="s">
        <v>45</v>
      </c>
      <c r="D396" s="1" t="s">
        <v>18</v>
      </c>
      <c r="E396" s="1" t="s">
        <v>591</v>
      </c>
      <c r="F396" s="4">
        <v>12546</v>
      </c>
      <c r="G396" s="1" t="s">
        <v>19</v>
      </c>
      <c r="H396" s="1" t="s">
        <v>455</v>
      </c>
      <c r="I396" s="6">
        <v>622</v>
      </c>
      <c r="J396" s="6">
        <v>289191</v>
      </c>
      <c r="K396" s="1" t="str">
        <f t="shared" si="6"/>
        <v>30682032630622289191</v>
      </c>
      <c r="L396" s="5">
        <v>3</v>
      </c>
      <c r="M396" s="12">
        <v>0</v>
      </c>
      <c r="N396" s="12">
        <v>0</v>
      </c>
      <c r="O396" s="12">
        <v>7909</v>
      </c>
      <c r="P396" s="12">
        <v>0</v>
      </c>
      <c r="Q396" s="1" t="s">
        <v>15</v>
      </c>
      <c r="R396" s="5">
        <v>0</v>
      </c>
      <c r="S396">
        <f>VLOOKUP(K396,'MIS COMPROBANTES'!E:Q,13,FALSE)</f>
        <v>338768.64000000001</v>
      </c>
    </row>
    <row r="397" spans="1:19" x14ac:dyDescent="0.25">
      <c r="A397" s="3">
        <v>45463</v>
      </c>
      <c r="B397" s="1" t="s">
        <v>97</v>
      </c>
      <c r="C397" s="1" t="s">
        <v>98</v>
      </c>
      <c r="D397" s="1" t="s">
        <v>18</v>
      </c>
      <c r="E397" s="1" t="s">
        <v>607</v>
      </c>
      <c r="F397" s="4">
        <v>12721</v>
      </c>
      <c r="G397" s="1" t="s">
        <v>19</v>
      </c>
      <c r="H397" s="1" t="s">
        <v>456</v>
      </c>
      <c r="I397" s="6">
        <v>2002</v>
      </c>
      <c r="J397" s="6">
        <v>291774</v>
      </c>
      <c r="K397" s="1" t="str">
        <f t="shared" si="6"/>
        <v>305007682622002291774</v>
      </c>
      <c r="L397" s="5">
        <v>21</v>
      </c>
      <c r="M397" s="12">
        <v>0</v>
      </c>
      <c r="N397" s="12">
        <v>5822465.5999999996</v>
      </c>
      <c r="O397" s="12">
        <v>1222717.77</v>
      </c>
      <c r="P397" s="12">
        <v>7481868.2800000003</v>
      </c>
      <c r="Q397" s="1" t="s">
        <v>15</v>
      </c>
      <c r="R397" s="5">
        <v>262010.94</v>
      </c>
      <c r="S397">
        <f>VLOOKUP(K397,'MIS COMPROBANTES'!E:Q,13,FALSE)</f>
        <v>7481868.2800000003</v>
      </c>
    </row>
    <row r="398" spans="1:19" x14ac:dyDescent="0.25">
      <c r="A398" s="3">
        <v>45463</v>
      </c>
      <c r="B398" s="1" t="s">
        <v>97</v>
      </c>
      <c r="C398" s="1" t="s">
        <v>98</v>
      </c>
      <c r="D398" s="1" t="s">
        <v>18</v>
      </c>
      <c r="E398" s="1" t="s">
        <v>607</v>
      </c>
      <c r="F398" s="4">
        <v>12721</v>
      </c>
      <c r="G398" s="1" t="s">
        <v>19</v>
      </c>
      <c r="H398" s="1" t="s">
        <v>456</v>
      </c>
      <c r="I398" s="6">
        <v>2002</v>
      </c>
      <c r="J398" s="6">
        <v>291774</v>
      </c>
      <c r="K398" s="1" t="str">
        <f t="shared" si="6"/>
        <v>305007682622002291774</v>
      </c>
      <c r="L398" s="5">
        <v>3</v>
      </c>
      <c r="M398" s="12">
        <v>0</v>
      </c>
      <c r="N398" s="12">
        <v>0</v>
      </c>
      <c r="O398" s="12">
        <v>174673.97</v>
      </c>
      <c r="P398" s="12">
        <v>0</v>
      </c>
      <c r="Q398" s="1" t="s">
        <v>15</v>
      </c>
      <c r="R398" s="5">
        <v>0</v>
      </c>
      <c r="S398">
        <f>VLOOKUP(K398,'MIS COMPROBANTES'!E:Q,13,FALSE)</f>
        <v>7481868.2800000003</v>
      </c>
    </row>
    <row r="399" spans="1:19" x14ac:dyDescent="0.25">
      <c r="A399" s="3">
        <v>45463</v>
      </c>
      <c r="B399" s="1" t="s">
        <v>97</v>
      </c>
      <c r="C399" s="1" t="s">
        <v>98</v>
      </c>
      <c r="D399" s="1" t="s">
        <v>18</v>
      </c>
      <c r="E399" s="1" t="s">
        <v>607</v>
      </c>
      <c r="F399" s="4">
        <v>12589</v>
      </c>
      <c r="G399" s="1" t="s">
        <v>19</v>
      </c>
      <c r="H399" s="1" t="s">
        <v>457</v>
      </c>
      <c r="I399" s="6">
        <v>2002</v>
      </c>
      <c r="J399" s="6">
        <v>291775</v>
      </c>
      <c r="K399" s="1" t="str">
        <f t="shared" si="6"/>
        <v>305007682622002291775</v>
      </c>
      <c r="L399" s="5">
        <v>21</v>
      </c>
      <c r="M399" s="12">
        <v>0</v>
      </c>
      <c r="N399" s="12">
        <v>9536288.7699999996</v>
      </c>
      <c r="O399" s="12">
        <v>2002620.65</v>
      </c>
      <c r="P399" s="12">
        <v>12254131.09</v>
      </c>
      <c r="Q399" s="1" t="s">
        <v>15</v>
      </c>
      <c r="R399" s="5">
        <v>429133</v>
      </c>
      <c r="S399">
        <f>VLOOKUP(K399,'MIS COMPROBANTES'!E:Q,13,FALSE)</f>
        <v>12254131.09</v>
      </c>
    </row>
    <row r="400" spans="1:19" x14ac:dyDescent="0.25">
      <c r="A400" s="3">
        <v>45463</v>
      </c>
      <c r="B400" s="1" t="s">
        <v>97</v>
      </c>
      <c r="C400" s="1" t="s">
        <v>98</v>
      </c>
      <c r="D400" s="1" t="s">
        <v>18</v>
      </c>
      <c r="E400" s="1" t="s">
        <v>607</v>
      </c>
      <c r="F400" s="4">
        <v>12589</v>
      </c>
      <c r="G400" s="1" t="s">
        <v>19</v>
      </c>
      <c r="H400" s="1" t="s">
        <v>457</v>
      </c>
      <c r="I400" s="6">
        <v>2002</v>
      </c>
      <c r="J400" s="6">
        <v>291775</v>
      </c>
      <c r="K400" s="1" t="str">
        <f t="shared" si="6"/>
        <v>305007682622002291775</v>
      </c>
      <c r="L400" s="5">
        <v>3</v>
      </c>
      <c r="M400" s="12">
        <v>0</v>
      </c>
      <c r="N400" s="12">
        <v>0</v>
      </c>
      <c r="O400" s="12">
        <v>286088.67</v>
      </c>
      <c r="P400" s="12">
        <v>0</v>
      </c>
      <c r="Q400" s="1" t="s">
        <v>15</v>
      </c>
      <c r="R400" s="5">
        <v>0</v>
      </c>
      <c r="S400">
        <f>VLOOKUP(K400,'MIS COMPROBANTES'!E:Q,13,FALSE)</f>
        <v>12254131.09</v>
      </c>
    </row>
    <row r="401" spans="1:19" x14ac:dyDescent="0.25">
      <c r="A401" s="3">
        <v>45464</v>
      </c>
      <c r="B401" s="1" t="s">
        <v>458</v>
      </c>
      <c r="C401" s="1" t="s">
        <v>459</v>
      </c>
      <c r="D401" s="1" t="s">
        <v>18</v>
      </c>
      <c r="E401" s="1" t="s">
        <v>678</v>
      </c>
      <c r="F401" s="4">
        <v>12674</v>
      </c>
      <c r="G401" s="1" t="s">
        <v>19</v>
      </c>
      <c r="H401" s="1" t="s">
        <v>460</v>
      </c>
      <c r="I401" s="6">
        <v>5</v>
      </c>
      <c r="J401" s="6">
        <v>3060122</v>
      </c>
      <c r="K401" s="1" t="str">
        <f t="shared" si="6"/>
        <v>3070265297553060122</v>
      </c>
      <c r="L401" s="5">
        <v>21</v>
      </c>
      <c r="M401" s="12">
        <v>0</v>
      </c>
      <c r="N401" s="12">
        <v>2376.3200000000002</v>
      </c>
      <c r="O401" s="12">
        <v>499.03</v>
      </c>
      <c r="P401" s="12">
        <v>2875.35</v>
      </c>
      <c r="Q401" s="1" t="s">
        <v>15</v>
      </c>
      <c r="R401" s="5">
        <v>0</v>
      </c>
      <c r="S401">
        <f>VLOOKUP(K401,'MIS COMPROBANTES'!E:Q,13,FALSE)</f>
        <v>2875.35</v>
      </c>
    </row>
    <row r="402" spans="1:19" x14ac:dyDescent="0.25">
      <c r="A402" s="3">
        <v>45464</v>
      </c>
      <c r="B402" s="1" t="s">
        <v>458</v>
      </c>
      <c r="C402" s="1" t="s">
        <v>459</v>
      </c>
      <c r="D402" s="1" t="s">
        <v>18</v>
      </c>
      <c r="E402" s="1" t="s">
        <v>678</v>
      </c>
      <c r="F402" s="4">
        <v>12673</v>
      </c>
      <c r="G402" s="1" t="s">
        <v>19</v>
      </c>
      <c r="H402" s="1" t="s">
        <v>461</v>
      </c>
      <c r="I402" s="6">
        <v>5</v>
      </c>
      <c r="J402" s="6">
        <v>3060123</v>
      </c>
      <c r="K402" s="1" t="str">
        <f t="shared" si="6"/>
        <v>3070265297553060123</v>
      </c>
      <c r="L402" s="5">
        <v>21</v>
      </c>
      <c r="M402" s="12">
        <v>0</v>
      </c>
      <c r="N402" s="12">
        <v>221880</v>
      </c>
      <c r="O402" s="12">
        <v>46594.8</v>
      </c>
      <c r="P402" s="12">
        <v>274021.8</v>
      </c>
      <c r="Q402" s="1" t="s">
        <v>15</v>
      </c>
      <c r="R402" s="5">
        <v>5547</v>
      </c>
      <c r="S402">
        <f>VLOOKUP(K402,'MIS COMPROBANTES'!E:Q,13,FALSE)</f>
        <v>274021.8</v>
      </c>
    </row>
    <row r="403" spans="1:19" x14ac:dyDescent="0.25">
      <c r="A403" s="3">
        <v>45464</v>
      </c>
      <c r="B403" s="1" t="s">
        <v>462</v>
      </c>
      <c r="C403" s="1" t="s">
        <v>463</v>
      </c>
      <c r="D403" s="1" t="s">
        <v>88</v>
      </c>
      <c r="E403" s="1" t="s">
        <v>679</v>
      </c>
      <c r="F403" s="4">
        <v>12668</v>
      </c>
      <c r="G403" s="1" t="s">
        <v>19</v>
      </c>
      <c r="H403" s="1" t="s">
        <v>464</v>
      </c>
      <c r="I403" s="6">
        <v>2</v>
      </c>
      <c r="J403" s="6">
        <v>361</v>
      </c>
      <c r="K403" s="1" t="str">
        <f t="shared" si="6"/>
        <v>202452948252361</v>
      </c>
      <c r="L403" s="5">
        <v>0</v>
      </c>
      <c r="M403" s="12">
        <v>40000</v>
      </c>
      <c r="N403" s="12">
        <v>0</v>
      </c>
      <c r="O403" s="12">
        <v>0</v>
      </c>
      <c r="P403" s="12">
        <v>40000</v>
      </c>
      <c r="Q403" s="1" t="s">
        <v>15</v>
      </c>
      <c r="R403" s="5">
        <v>0</v>
      </c>
      <c r="S403">
        <f>VLOOKUP(K403,'MIS COMPROBANTES'!E:Q,13,FALSE)</f>
        <v>40000</v>
      </c>
    </row>
    <row r="404" spans="1:19" x14ac:dyDescent="0.25">
      <c r="A404" s="3">
        <v>45464</v>
      </c>
      <c r="B404" s="1" t="s">
        <v>129</v>
      </c>
      <c r="C404" s="1" t="s">
        <v>130</v>
      </c>
      <c r="D404" s="1" t="s">
        <v>18</v>
      </c>
      <c r="E404" s="1" t="s">
        <v>615</v>
      </c>
      <c r="F404" s="4">
        <v>12821</v>
      </c>
      <c r="G404" s="1" t="s">
        <v>31</v>
      </c>
      <c r="H404" s="1" t="s">
        <v>465</v>
      </c>
      <c r="I404" s="6">
        <v>6004</v>
      </c>
      <c r="J404" s="6">
        <v>1777977</v>
      </c>
      <c r="K404" s="1" t="str">
        <f t="shared" si="6"/>
        <v>3050111624260041777977</v>
      </c>
      <c r="L404" s="5">
        <v>21</v>
      </c>
      <c r="M404" s="12">
        <v>0</v>
      </c>
      <c r="N404" s="12">
        <v>-35597.379999999997</v>
      </c>
      <c r="O404" s="12">
        <v>-7475.45</v>
      </c>
      <c r="P404" s="12">
        <v>-44140.75</v>
      </c>
      <c r="Q404" s="1" t="s">
        <v>15</v>
      </c>
      <c r="R404" s="5">
        <v>0</v>
      </c>
      <c r="S404">
        <f>VLOOKUP(K404,'MIS COMPROBANTES'!E:Q,13,FALSE)</f>
        <v>44140.75</v>
      </c>
    </row>
    <row r="405" spans="1:19" x14ac:dyDescent="0.25">
      <c r="A405" s="3">
        <v>45464</v>
      </c>
      <c r="B405" s="1" t="s">
        <v>129</v>
      </c>
      <c r="C405" s="1" t="s">
        <v>130</v>
      </c>
      <c r="D405" s="1" t="s">
        <v>18</v>
      </c>
      <c r="E405" s="1" t="s">
        <v>615</v>
      </c>
      <c r="F405" s="4">
        <v>12821</v>
      </c>
      <c r="G405" s="1" t="s">
        <v>31</v>
      </c>
      <c r="H405" s="1" t="s">
        <v>465</v>
      </c>
      <c r="I405" s="6">
        <v>6004</v>
      </c>
      <c r="J405" s="6">
        <v>1777977</v>
      </c>
      <c r="K405" s="1" t="str">
        <f t="shared" si="6"/>
        <v>3050111624260041777977</v>
      </c>
      <c r="L405" s="5">
        <v>3</v>
      </c>
      <c r="M405" s="12">
        <v>0</v>
      </c>
      <c r="N405" s="12">
        <v>0</v>
      </c>
      <c r="O405" s="12">
        <v>-1067.92</v>
      </c>
      <c r="P405" s="12">
        <v>0</v>
      </c>
      <c r="Q405" s="1" t="s">
        <v>15</v>
      </c>
      <c r="R405" s="5">
        <v>0</v>
      </c>
      <c r="S405">
        <f>VLOOKUP(K405,'MIS COMPROBANTES'!E:Q,13,FALSE)</f>
        <v>44140.75</v>
      </c>
    </row>
    <row r="406" spans="1:19" x14ac:dyDescent="0.25">
      <c r="A406" s="3">
        <v>45465</v>
      </c>
      <c r="B406" s="1" t="s">
        <v>40</v>
      </c>
      <c r="C406" s="1" t="s">
        <v>41</v>
      </c>
      <c r="D406" s="1" t="s">
        <v>18</v>
      </c>
      <c r="E406" s="1" t="s">
        <v>590</v>
      </c>
      <c r="F406" s="4">
        <v>12545</v>
      </c>
      <c r="G406" s="1" t="s">
        <v>19</v>
      </c>
      <c r="H406" s="1" t="s">
        <v>466</v>
      </c>
      <c r="I406" s="6">
        <v>43</v>
      </c>
      <c r="J406" s="6">
        <v>299915</v>
      </c>
      <c r="K406" s="1" t="str">
        <f t="shared" si="6"/>
        <v>3050097982443299915</v>
      </c>
      <c r="L406" s="5">
        <v>21</v>
      </c>
      <c r="M406" s="12">
        <v>0</v>
      </c>
      <c r="N406" s="12">
        <v>1693267.2</v>
      </c>
      <c r="O406" s="12">
        <v>355586.11</v>
      </c>
      <c r="P406" s="12">
        <v>2175848.35</v>
      </c>
      <c r="Q406" s="1" t="s">
        <v>42</v>
      </c>
      <c r="R406" s="5">
        <v>76197.02</v>
      </c>
      <c r="S406">
        <f>VLOOKUP(K406,'MIS COMPROBANTES'!E:Q,13,FALSE)</f>
        <v>2175848.35</v>
      </c>
    </row>
    <row r="407" spans="1:19" x14ac:dyDescent="0.25">
      <c r="A407" s="3">
        <v>45465</v>
      </c>
      <c r="B407" s="1" t="s">
        <v>40</v>
      </c>
      <c r="C407" s="1" t="s">
        <v>41</v>
      </c>
      <c r="D407" s="1" t="s">
        <v>18</v>
      </c>
      <c r="E407" s="1" t="s">
        <v>590</v>
      </c>
      <c r="F407" s="4">
        <v>12545</v>
      </c>
      <c r="G407" s="1" t="s">
        <v>19</v>
      </c>
      <c r="H407" s="1" t="s">
        <v>466</v>
      </c>
      <c r="I407" s="6">
        <v>43</v>
      </c>
      <c r="J407" s="6">
        <v>299915</v>
      </c>
      <c r="K407" s="1" t="str">
        <f t="shared" si="6"/>
        <v>3050097982443299915</v>
      </c>
      <c r="L407" s="5">
        <v>3</v>
      </c>
      <c r="M407" s="12">
        <v>0</v>
      </c>
      <c r="N407" s="12">
        <v>0</v>
      </c>
      <c r="O407" s="12">
        <v>50798.02</v>
      </c>
      <c r="P407" s="12">
        <v>0</v>
      </c>
      <c r="Q407" s="1" t="s">
        <v>42</v>
      </c>
      <c r="R407" s="5">
        <v>0</v>
      </c>
      <c r="S407">
        <f>VLOOKUP(K407,'MIS COMPROBANTES'!E:Q,13,FALSE)</f>
        <v>2175848.35</v>
      </c>
    </row>
    <row r="408" spans="1:19" x14ac:dyDescent="0.25">
      <c r="A408" s="3">
        <v>45467</v>
      </c>
      <c r="B408" s="1" t="s">
        <v>16</v>
      </c>
      <c r="C408" s="1" t="s">
        <v>17</v>
      </c>
      <c r="D408" s="1" t="s">
        <v>18</v>
      </c>
      <c r="E408" s="1" t="s">
        <v>584</v>
      </c>
      <c r="F408" s="4">
        <v>12571</v>
      </c>
      <c r="G408" s="1" t="s">
        <v>19</v>
      </c>
      <c r="H408" s="1" t="s">
        <v>467</v>
      </c>
      <c r="I408" s="6">
        <v>2024</v>
      </c>
      <c r="J408" s="6">
        <v>9003991</v>
      </c>
      <c r="K408" s="1" t="str">
        <f t="shared" si="6"/>
        <v>3050000845420249003991</v>
      </c>
      <c r="L408" s="5">
        <v>10.5</v>
      </c>
      <c r="M408" s="12">
        <v>7164.26</v>
      </c>
      <c r="N408" s="12">
        <v>158210.93</v>
      </c>
      <c r="O408" s="12">
        <v>16612.13</v>
      </c>
      <c r="P408" s="12">
        <v>186941.9</v>
      </c>
      <c r="Q408" s="1" t="s">
        <v>15</v>
      </c>
      <c r="R408" s="5">
        <v>2831.19</v>
      </c>
      <c r="S408" t="e">
        <f>VLOOKUP(K408,'MIS COMPROBANTES'!E:Q,13,FALSE)</f>
        <v>#N/A</v>
      </c>
    </row>
    <row r="409" spans="1:19" x14ac:dyDescent="0.25">
      <c r="A409" s="3">
        <v>45467</v>
      </c>
      <c r="B409" s="1" t="s">
        <v>16</v>
      </c>
      <c r="C409" s="1" t="s">
        <v>17</v>
      </c>
      <c r="D409" s="1" t="s">
        <v>18</v>
      </c>
      <c r="E409" s="1" t="s">
        <v>584</v>
      </c>
      <c r="F409" s="4">
        <v>12571</v>
      </c>
      <c r="G409" s="1" t="s">
        <v>19</v>
      </c>
      <c r="H409" s="1" t="s">
        <v>467</v>
      </c>
      <c r="I409" s="6">
        <v>2024</v>
      </c>
      <c r="J409" s="6">
        <v>9003991</v>
      </c>
      <c r="K409" s="1" t="str">
        <f t="shared" si="6"/>
        <v>3050000845420249003991</v>
      </c>
      <c r="L409" s="5">
        <v>1.5</v>
      </c>
      <c r="M409" s="12">
        <v>0</v>
      </c>
      <c r="N409" s="12">
        <v>0</v>
      </c>
      <c r="O409" s="12">
        <v>2123.39</v>
      </c>
      <c r="P409" s="12">
        <v>0</v>
      </c>
      <c r="Q409" s="1" t="s">
        <v>15</v>
      </c>
      <c r="R409" s="5">
        <v>0</v>
      </c>
      <c r="S409" t="e">
        <f>VLOOKUP(K409,'MIS COMPROBANTES'!E:Q,13,FALSE)</f>
        <v>#N/A</v>
      </c>
    </row>
    <row r="410" spans="1:19" x14ac:dyDescent="0.25">
      <c r="A410" s="3">
        <v>45467</v>
      </c>
      <c r="B410" s="1" t="s">
        <v>16</v>
      </c>
      <c r="C410" s="1" t="s">
        <v>17</v>
      </c>
      <c r="D410" s="1" t="s">
        <v>18</v>
      </c>
      <c r="E410" s="1" t="s">
        <v>584</v>
      </c>
      <c r="F410" s="4">
        <v>12489</v>
      </c>
      <c r="G410" s="1" t="s">
        <v>19</v>
      </c>
      <c r="H410" s="1" t="s">
        <v>468</v>
      </c>
      <c r="I410" s="6">
        <v>2024</v>
      </c>
      <c r="J410" s="6">
        <v>90039901</v>
      </c>
      <c r="K410" s="1" t="str">
        <f t="shared" si="6"/>
        <v>30500008454202490039901</v>
      </c>
      <c r="L410" s="5">
        <v>10.5</v>
      </c>
      <c r="M410" s="12">
        <v>7164.26</v>
      </c>
      <c r="N410" s="12">
        <v>158210.93</v>
      </c>
      <c r="O410" s="12">
        <v>16612.13</v>
      </c>
      <c r="P410" s="12">
        <v>186941.9</v>
      </c>
      <c r="Q410" s="1" t="s">
        <v>15</v>
      </c>
      <c r="R410" s="5">
        <v>2831.19</v>
      </c>
      <c r="S410" t="e">
        <f>VLOOKUP(K410,'MIS COMPROBANTES'!E:Q,13,FALSE)</f>
        <v>#N/A</v>
      </c>
    </row>
    <row r="411" spans="1:19" x14ac:dyDescent="0.25">
      <c r="A411" s="3">
        <v>45467</v>
      </c>
      <c r="B411" s="1" t="s">
        <v>16</v>
      </c>
      <c r="C411" s="1" t="s">
        <v>17</v>
      </c>
      <c r="D411" s="1" t="s">
        <v>18</v>
      </c>
      <c r="E411" s="1" t="s">
        <v>584</v>
      </c>
      <c r="F411" s="4">
        <v>12489</v>
      </c>
      <c r="G411" s="1" t="s">
        <v>19</v>
      </c>
      <c r="H411" s="1" t="s">
        <v>468</v>
      </c>
      <c r="I411" s="6">
        <v>2024</v>
      </c>
      <c r="J411" s="6">
        <v>90039901</v>
      </c>
      <c r="K411" s="1" t="str">
        <f t="shared" si="6"/>
        <v>30500008454202490039901</v>
      </c>
      <c r="L411" s="5">
        <v>1.5</v>
      </c>
      <c r="M411" s="12">
        <v>0</v>
      </c>
      <c r="N411" s="12">
        <v>0</v>
      </c>
      <c r="O411" s="12">
        <v>2123.39</v>
      </c>
      <c r="P411" s="12">
        <v>0</v>
      </c>
      <c r="Q411" s="1" t="s">
        <v>15</v>
      </c>
      <c r="R411" s="5">
        <v>0</v>
      </c>
      <c r="S411" t="e">
        <f>VLOOKUP(K411,'MIS COMPROBANTES'!E:Q,13,FALSE)</f>
        <v>#N/A</v>
      </c>
    </row>
    <row r="412" spans="1:19" x14ac:dyDescent="0.25">
      <c r="A412" s="3">
        <v>45467</v>
      </c>
      <c r="B412" s="1" t="s">
        <v>469</v>
      </c>
      <c r="C412" s="1" t="s">
        <v>470</v>
      </c>
      <c r="D412" s="1" t="s">
        <v>18</v>
      </c>
      <c r="E412" s="1" t="s">
        <v>680</v>
      </c>
      <c r="F412" s="4">
        <v>12667</v>
      </c>
      <c r="G412" s="1" t="s">
        <v>19</v>
      </c>
      <c r="H412" s="1" t="s">
        <v>471</v>
      </c>
      <c r="I412" s="6">
        <v>2</v>
      </c>
      <c r="J412" s="6">
        <v>2580</v>
      </c>
      <c r="K412" s="1" t="str">
        <f t="shared" si="6"/>
        <v>2018057502322580</v>
      </c>
      <c r="L412" s="5">
        <v>21</v>
      </c>
      <c r="M412" s="12">
        <v>0</v>
      </c>
      <c r="N412" s="12">
        <v>145200</v>
      </c>
      <c r="O412" s="12">
        <v>30492</v>
      </c>
      <c r="P412" s="12">
        <v>175692</v>
      </c>
      <c r="Q412" s="1" t="s">
        <v>15</v>
      </c>
      <c r="R412" s="5">
        <v>0</v>
      </c>
      <c r="S412">
        <f>VLOOKUP(K412,'MIS COMPROBANTES'!E:Q,13,FALSE)</f>
        <v>175692</v>
      </c>
    </row>
    <row r="413" spans="1:19" x14ac:dyDescent="0.25">
      <c r="A413" s="3">
        <v>45467</v>
      </c>
      <c r="B413" s="1" t="s">
        <v>70</v>
      </c>
      <c r="C413" s="1" t="s">
        <v>71</v>
      </c>
      <c r="D413" s="1" t="s">
        <v>18</v>
      </c>
      <c r="E413" s="1" t="s">
        <v>599</v>
      </c>
      <c r="F413" s="4">
        <v>12619</v>
      </c>
      <c r="G413" s="1" t="s">
        <v>19</v>
      </c>
      <c r="H413" s="1" t="s">
        <v>472</v>
      </c>
      <c r="I413" s="6">
        <v>3</v>
      </c>
      <c r="J413" s="6">
        <v>101654</v>
      </c>
      <c r="K413" s="1" t="str">
        <f t="shared" si="6"/>
        <v>307039574783101654</v>
      </c>
      <c r="L413" s="5">
        <v>21</v>
      </c>
      <c r="M413" s="12">
        <v>0</v>
      </c>
      <c r="N413" s="12">
        <v>849289.26</v>
      </c>
      <c r="O413" s="12">
        <v>178350.74</v>
      </c>
      <c r="P413" s="12">
        <v>1044625.79</v>
      </c>
      <c r="Q413" s="1" t="s">
        <v>15</v>
      </c>
      <c r="R413" s="5">
        <v>16985.79</v>
      </c>
      <c r="S413">
        <f>VLOOKUP(K413,'MIS COMPROBANTES'!E:Q,13,FALSE)</f>
        <v>1044625.79</v>
      </c>
    </row>
    <row r="414" spans="1:19" x14ac:dyDescent="0.25">
      <c r="A414" s="3">
        <v>45467</v>
      </c>
      <c r="B414" s="1" t="s">
        <v>473</v>
      </c>
      <c r="C414" s="1" t="s">
        <v>474</v>
      </c>
      <c r="D414" s="1" t="s">
        <v>18</v>
      </c>
      <c r="E414" s="1" t="s">
        <v>681</v>
      </c>
      <c r="F414" s="4">
        <v>12585</v>
      </c>
      <c r="G414" s="1" t="s">
        <v>19</v>
      </c>
      <c r="H414" s="1" t="s">
        <v>475</v>
      </c>
      <c r="I414" s="6">
        <v>9</v>
      </c>
      <c r="J414" s="6">
        <v>41038</v>
      </c>
      <c r="K414" s="1" t="str">
        <f t="shared" si="6"/>
        <v>30585754869941038</v>
      </c>
      <c r="L414" s="5">
        <v>21</v>
      </c>
      <c r="M414" s="12">
        <v>0</v>
      </c>
      <c r="N414" s="12">
        <v>1399008.28</v>
      </c>
      <c r="O414" s="12">
        <v>293791.74</v>
      </c>
      <c r="P414" s="12">
        <v>1804720.69</v>
      </c>
      <c r="Q414" s="1" t="s">
        <v>15</v>
      </c>
      <c r="R414" s="5">
        <v>69950.42</v>
      </c>
      <c r="S414">
        <f>VLOOKUP(K414,'MIS COMPROBANTES'!E:Q,13,FALSE)</f>
        <v>1804720.69</v>
      </c>
    </row>
    <row r="415" spans="1:19" x14ac:dyDescent="0.25">
      <c r="A415" s="3">
        <v>45467</v>
      </c>
      <c r="B415" s="1" t="s">
        <v>473</v>
      </c>
      <c r="C415" s="1" t="s">
        <v>474</v>
      </c>
      <c r="D415" s="1" t="s">
        <v>18</v>
      </c>
      <c r="E415" s="1" t="s">
        <v>681</v>
      </c>
      <c r="F415" s="4">
        <v>12585</v>
      </c>
      <c r="G415" s="1" t="s">
        <v>19</v>
      </c>
      <c r="H415" s="1" t="s">
        <v>475</v>
      </c>
      <c r="I415" s="6">
        <v>9</v>
      </c>
      <c r="J415" s="6">
        <v>41038</v>
      </c>
      <c r="K415" s="1" t="str">
        <f t="shared" si="6"/>
        <v>30585754869941038</v>
      </c>
      <c r="L415" s="5">
        <v>3</v>
      </c>
      <c r="M415" s="12">
        <v>0</v>
      </c>
      <c r="N415" s="12">
        <v>0</v>
      </c>
      <c r="O415" s="12">
        <v>41970.25</v>
      </c>
      <c r="P415" s="12">
        <v>0</v>
      </c>
      <c r="Q415" s="1" t="s">
        <v>15</v>
      </c>
      <c r="R415" s="5">
        <v>0</v>
      </c>
      <c r="S415">
        <f>VLOOKUP(K415,'MIS COMPROBANTES'!E:Q,13,FALSE)</f>
        <v>1804720.69</v>
      </c>
    </row>
    <row r="416" spans="1:19" x14ac:dyDescent="0.25">
      <c r="A416" s="3">
        <v>45467</v>
      </c>
      <c r="B416" s="1" t="s">
        <v>223</v>
      </c>
      <c r="C416" s="1" t="s">
        <v>224</v>
      </c>
      <c r="D416" s="1" t="s">
        <v>18</v>
      </c>
      <c r="E416" s="1" t="s">
        <v>638</v>
      </c>
      <c r="F416" s="4">
        <v>12588</v>
      </c>
      <c r="G416" s="1" t="s">
        <v>19</v>
      </c>
      <c r="H416" s="1" t="s">
        <v>476</v>
      </c>
      <c r="I416" s="6">
        <v>12</v>
      </c>
      <c r="J416" s="6">
        <v>80432</v>
      </c>
      <c r="K416" s="1" t="str">
        <f t="shared" si="6"/>
        <v>306976466271280432</v>
      </c>
      <c r="L416" s="5">
        <v>21</v>
      </c>
      <c r="M416" s="12">
        <v>0</v>
      </c>
      <c r="N416" s="12">
        <v>1498296.71</v>
      </c>
      <c r="O416" s="12">
        <v>314642.31</v>
      </c>
      <c r="P416" s="12">
        <v>1857887.92</v>
      </c>
      <c r="Q416" s="1" t="s">
        <v>15</v>
      </c>
      <c r="R416" s="5">
        <v>0</v>
      </c>
      <c r="S416">
        <f>VLOOKUP(K416,'MIS COMPROBANTES'!E:Q,13,FALSE)</f>
        <v>1857887.92</v>
      </c>
    </row>
    <row r="417" spans="1:19" x14ac:dyDescent="0.25">
      <c r="A417" s="3">
        <v>45467</v>
      </c>
      <c r="B417" s="1" t="s">
        <v>223</v>
      </c>
      <c r="C417" s="1" t="s">
        <v>224</v>
      </c>
      <c r="D417" s="1" t="s">
        <v>18</v>
      </c>
      <c r="E417" s="1" t="s">
        <v>638</v>
      </c>
      <c r="F417" s="4">
        <v>12588</v>
      </c>
      <c r="G417" s="1" t="s">
        <v>19</v>
      </c>
      <c r="H417" s="1" t="s">
        <v>476</v>
      </c>
      <c r="I417" s="6">
        <v>12</v>
      </c>
      <c r="J417" s="6">
        <v>80432</v>
      </c>
      <c r="K417" s="1" t="str">
        <f t="shared" si="6"/>
        <v>306976466271280432</v>
      </c>
      <c r="L417" s="5">
        <v>3</v>
      </c>
      <c r="M417" s="12">
        <v>0</v>
      </c>
      <c r="N417" s="12">
        <v>0</v>
      </c>
      <c r="O417" s="12">
        <v>44948.9</v>
      </c>
      <c r="P417" s="12">
        <v>0</v>
      </c>
      <c r="Q417" s="1" t="s">
        <v>15</v>
      </c>
      <c r="R417" s="5">
        <v>0</v>
      </c>
      <c r="S417">
        <f>VLOOKUP(K417,'MIS COMPROBANTES'!E:Q,13,FALSE)</f>
        <v>1857887.92</v>
      </c>
    </row>
    <row r="418" spans="1:19" x14ac:dyDescent="0.25">
      <c r="A418" s="3">
        <v>45467</v>
      </c>
      <c r="B418" s="1" t="s">
        <v>477</v>
      </c>
      <c r="C418" s="1" t="s">
        <v>478</v>
      </c>
      <c r="D418" s="1" t="s">
        <v>18</v>
      </c>
      <c r="E418" s="1" t="s">
        <v>682</v>
      </c>
      <c r="F418" s="4">
        <v>12618</v>
      </c>
      <c r="G418" s="1" t="s">
        <v>19</v>
      </c>
      <c r="H418" s="1" t="s">
        <v>479</v>
      </c>
      <c r="I418" s="6">
        <v>20</v>
      </c>
      <c r="J418" s="6">
        <v>27560</v>
      </c>
      <c r="K418" s="1" t="str">
        <f t="shared" si="6"/>
        <v>307095439692027560</v>
      </c>
      <c r="L418" s="5">
        <v>21</v>
      </c>
      <c r="M418" s="12">
        <v>4383.1099999999997</v>
      </c>
      <c r="N418" s="12">
        <v>37699.94</v>
      </c>
      <c r="O418" s="12">
        <v>7916.99</v>
      </c>
      <c r="P418" s="12">
        <v>53284.57</v>
      </c>
      <c r="Q418" s="1" t="s">
        <v>15</v>
      </c>
      <c r="R418" s="5">
        <v>3284.53</v>
      </c>
      <c r="S418" t="e">
        <f>VLOOKUP(K418,'MIS COMPROBANTES'!E:Q,13,FALSE)</f>
        <v>#N/A</v>
      </c>
    </row>
    <row r="419" spans="1:19" x14ac:dyDescent="0.25">
      <c r="A419" s="3">
        <v>45467</v>
      </c>
      <c r="B419" s="1" t="s">
        <v>193</v>
      </c>
      <c r="C419" s="1" t="s">
        <v>194</v>
      </c>
      <c r="D419" s="1" t="s">
        <v>18</v>
      </c>
      <c r="E419" s="1" t="s">
        <v>632</v>
      </c>
      <c r="F419" s="4">
        <v>12577</v>
      </c>
      <c r="G419" s="1" t="s">
        <v>19</v>
      </c>
      <c r="H419" s="1" t="s">
        <v>480</v>
      </c>
      <c r="I419" s="6">
        <v>115</v>
      </c>
      <c r="J419" s="6">
        <v>144167</v>
      </c>
      <c r="K419" s="1" t="str">
        <f t="shared" si="6"/>
        <v>30629646708115144167</v>
      </c>
      <c r="L419" s="5">
        <v>21</v>
      </c>
      <c r="M419" s="12">
        <v>0</v>
      </c>
      <c r="N419" s="12">
        <v>2535832.1800000002</v>
      </c>
      <c r="O419" s="12">
        <v>532524.76</v>
      </c>
      <c r="P419" s="12">
        <v>3258544.35</v>
      </c>
      <c r="Q419" s="1" t="s">
        <v>15</v>
      </c>
      <c r="R419" s="5">
        <v>114112.44</v>
      </c>
      <c r="S419">
        <f>VLOOKUP(K419,'MIS COMPROBANTES'!E:Q,13,FALSE)</f>
        <v>3258544.34</v>
      </c>
    </row>
    <row r="420" spans="1:19" x14ac:dyDescent="0.25">
      <c r="A420" s="3">
        <v>45467</v>
      </c>
      <c r="B420" s="1" t="s">
        <v>193</v>
      </c>
      <c r="C420" s="1" t="s">
        <v>194</v>
      </c>
      <c r="D420" s="1" t="s">
        <v>18</v>
      </c>
      <c r="E420" s="1" t="s">
        <v>632</v>
      </c>
      <c r="F420" s="4">
        <v>12577</v>
      </c>
      <c r="G420" s="1" t="s">
        <v>19</v>
      </c>
      <c r="H420" s="1" t="s">
        <v>480</v>
      </c>
      <c r="I420" s="6">
        <v>115</v>
      </c>
      <c r="J420" s="6">
        <v>144167</v>
      </c>
      <c r="K420" s="1" t="str">
        <f t="shared" si="6"/>
        <v>30629646708115144167</v>
      </c>
      <c r="L420" s="5">
        <v>3</v>
      </c>
      <c r="M420" s="12">
        <v>0</v>
      </c>
      <c r="N420" s="12">
        <v>0</v>
      </c>
      <c r="O420" s="12">
        <v>76074.97</v>
      </c>
      <c r="P420" s="12">
        <v>0</v>
      </c>
      <c r="Q420" s="1" t="s">
        <v>15</v>
      </c>
      <c r="R420" s="5">
        <v>0</v>
      </c>
      <c r="S420">
        <f>VLOOKUP(K420,'MIS COMPROBANTES'!E:Q,13,FALSE)</f>
        <v>3258544.34</v>
      </c>
    </row>
    <row r="421" spans="1:19" x14ac:dyDescent="0.25">
      <c r="A421" s="3">
        <v>45467</v>
      </c>
      <c r="B421" s="1" t="s">
        <v>29</v>
      </c>
      <c r="C421" s="1" t="s">
        <v>30</v>
      </c>
      <c r="D421" s="1" t="s">
        <v>18</v>
      </c>
      <c r="E421" s="1" t="s">
        <v>587</v>
      </c>
      <c r="F421" s="4">
        <v>12584</v>
      </c>
      <c r="G421" s="1" t="s">
        <v>19</v>
      </c>
      <c r="H421" s="1" t="s">
        <v>481</v>
      </c>
      <c r="I421" s="6">
        <v>161</v>
      </c>
      <c r="J421" s="6">
        <v>200770</v>
      </c>
      <c r="K421" s="1" t="str">
        <f t="shared" si="6"/>
        <v>30566108352161200770</v>
      </c>
      <c r="L421" s="5">
        <v>21</v>
      </c>
      <c r="M421" s="12">
        <v>0</v>
      </c>
      <c r="N421" s="12">
        <v>4763357.6100000003</v>
      </c>
      <c r="O421" s="12">
        <v>1000305.1</v>
      </c>
      <c r="P421" s="12">
        <v>5978013.7999999998</v>
      </c>
      <c r="Q421" s="1" t="s">
        <v>15</v>
      </c>
      <c r="R421" s="5">
        <v>214351.09</v>
      </c>
      <c r="S421">
        <f>VLOOKUP(K421,'MIS COMPROBANTES'!E:Q,13,FALSE)</f>
        <v>5978013.7999999998</v>
      </c>
    </row>
    <row r="422" spans="1:19" x14ac:dyDescent="0.25">
      <c r="A422" s="3">
        <v>45467</v>
      </c>
      <c r="B422" s="1" t="s">
        <v>162</v>
      </c>
      <c r="C422" s="1" t="s">
        <v>163</v>
      </c>
      <c r="D422" s="1" t="s">
        <v>18</v>
      </c>
      <c r="E422" s="1" t="s">
        <v>624</v>
      </c>
      <c r="F422" s="4">
        <v>12814</v>
      </c>
      <c r="G422" s="1" t="s">
        <v>19</v>
      </c>
      <c r="H422" s="1" t="s">
        <v>482</v>
      </c>
      <c r="I422" s="6">
        <v>700</v>
      </c>
      <c r="J422" s="6">
        <v>1744685</v>
      </c>
      <c r="K422" s="1" t="str">
        <f t="shared" si="6"/>
        <v>307158048127001744685</v>
      </c>
      <c r="L422" s="5">
        <v>21</v>
      </c>
      <c r="M422" s="12">
        <v>0</v>
      </c>
      <c r="N422" s="12">
        <v>1487.6</v>
      </c>
      <c r="O422" s="12">
        <v>312.39999999999998</v>
      </c>
      <c r="P422" s="12">
        <v>1800</v>
      </c>
      <c r="Q422" s="1" t="s">
        <v>15</v>
      </c>
      <c r="R422" s="5">
        <v>0</v>
      </c>
      <c r="S422">
        <f>VLOOKUP(K422,'MIS COMPROBANTES'!E:Q,13,FALSE)</f>
        <v>1800</v>
      </c>
    </row>
    <row r="423" spans="1:19" x14ac:dyDescent="0.25">
      <c r="A423" s="3">
        <v>45467</v>
      </c>
      <c r="B423" s="1" t="s">
        <v>162</v>
      </c>
      <c r="C423" s="1" t="s">
        <v>163</v>
      </c>
      <c r="D423" s="1" t="s">
        <v>18</v>
      </c>
      <c r="E423" s="1" t="s">
        <v>624</v>
      </c>
      <c r="F423" s="4">
        <v>12815</v>
      </c>
      <c r="G423" s="1" t="s">
        <v>19</v>
      </c>
      <c r="H423" s="1" t="s">
        <v>483</v>
      </c>
      <c r="I423" s="6">
        <v>700</v>
      </c>
      <c r="J423" s="6">
        <v>1761187</v>
      </c>
      <c r="K423" s="1" t="str">
        <f t="shared" si="6"/>
        <v>307158048127001761187</v>
      </c>
      <c r="L423" s="5">
        <v>21</v>
      </c>
      <c r="M423" s="12">
        <v>0</v>
      </c>
      <c r="N423" s="12">
        <v>11404.96</v>
      </c>
      <c r="O423" s="12">
        <v>2395.04</v>
      </c>
      <c r="P423" s="12">
        <v>14313.22</v>
      </c>
      <c r="Q423" s="1" t="s">
        <v>15</v>
      </c>
      <c r="R423" s="5">
        <v>513.22</v>
      </c>
      <c r="S423">
        <f>VLOOKUP(K423,'MIS COMPROBANTES'!E:Q,13,FALSE)</f>
        <v>14313.22</v>
      </c>
    </row>
    <row r="424" spans="1:19" x14ac:dyDescent="0.25">
      <c r="A424" s="3">
        <v>45467</v>
      </c>
      <c r="B424" s="1" t="s">
        <v>484</v>
      </c>
      <c r="C424" s="1" t="s">
        <v>485</v>
      </c>
      <c r="D424" s="1" t="s">
        <v>88</v>
      </c>
      <c r="E424" s="1" t="s">
        <v>683</v>
      </c>
      <c r="F424" s="4">
        <v>12456</v>
      </c>
      <c r="G424" s="1" t="s">
        <v>19</v>
      </c>
      <c r="H424" s="1" t="s">
        <v>486</v>
      </c>
      <c r="I424" s="6">
        <v>7</v>
      </c>
      <c r="J424" s="6">
        <v>76</v>
      </c>
      <c r="K424" s="1" t="str">
        <f t="shared" si="6"/>
        <v>27316244918776</v>
      </c>
      <c r="L424" s="5">
        <v>0</v>
      </c>
      <c r="M424" s="12">
        <v>200000</v>
      </c>
      <c r="N424" s="12">
        <v>0</v>
      </c>
      <c r="O424" s="12">
        <v>0</v>
      </c>
      <c r="P424" s="12">
        <v>200000</v>
      </c>
      <c r="Q424" s="1" t="s">
        <v>15</v>
      </c>
      <c r="R424" s="5">
        <v>0</v>
      </c>
      <c r="S424">
        <f>VLOOKUP(K424,'MIS COMPROBANTES'!E:Q,13,FALSE)</f>
        <v>200000</v>
      </c>
    </row>
    <row r="425" spans="1:19" x14ac:dyDescent="0.25">
      <c r="A425" s="3">
        <v>45467</v>
      </c>
      <c r="B425" s="1" t="s">
        <v>484</v>
      </c>
      <c r="C425" s="1" t="s">
        <v>485</v>
      </c>
      <c r="D425" s="1" t="s">
        <v>88</v>
      </c>
      <c r="E425" s="1" t="s">
        <v>683</v>
      </c>
      <c r="F425" s="4">
        <v>12455</v>
      </c>
      <c r="G425" s="1" t="s">
        <v>19</v>
      </c>
      <c r="H425" s="1" t="s">
        <v>487</v>
      </c>
      <c r="I425" s="6">
        <v>7</v>
      </c>
      <c r="J425" s="6">
        <v>77</v>
      </c>
      <c r="K425" s="1" t="str">
        <f t="shared" si="6"/>
        <v>27316244918777</v>
      </c>
      <c r="L425" s="5">
        <v>0</v>
      </c>
      <c r="M425" s="12">
        <v>300000</v>
      </c>
      <c r="N425" s="12">
        <v>0</v>
      </c>
      <c r="O425" s="12">
        <v>0</v>
      </c>
      <c r="P425" s="12">
        <v>300000</v>
      </c>
      <c r="Q425" s="1" t="s">
        <v>15</v>
      </c>
      <c r="R425" s="5">
        <v>0</v>
      </c>
      <c r="S425">
        <f>VLOOKUP(K425,'MIS COMPROBANTES'!E:Q,13,FALSE)</f>
        <v>300000</v>
      </c>
    </row>
    <row r="426" spans="1:19" x14ac:dyDescent="0.25">
      <c r="A426" s="3">
        <v>45467</v>
      </c>
      <c r="B426" s="1" t="s">
        <v>158</v>
      </c>
      <c r="C426" s="1" t="s">
        <v>159</v>
      </c>
      <c r="D426" s="1" t="s">
        <v>18</v>
      </c>
      <c r="E426" s="1" t="s">
        <v>623</v>
      </c>
      <c r="F426" s="4">
        <v>12572</v>
      </c>
      <c r="G426" s="1" t="s">
        <v>31</v>
      </c>
      <c r="H426" s="1" t="s">
        <v>488</v>
      </c>
      <c r="I426" s="6">
        <v>667</v>
      </c>
      <c r="J426" s="6">
        <v>293451</v>
      </c>
      <c r="K426" s="1" t="str">
        <f t="shared" si="6"/>
        <v>30500858628667293451</v>
      </c>
      <c r="L426" s="5">
        <v>21</v>
      </c>
      <c r="M426" s="12">
        <v>0</v>
      </c>
      <c r="N426" s="12">
        <v>-500497.8</v>
      </c>
      <c r="O426" s="12">
        <v>-105104.53</v>
      </c>
      <c r="P426" s="12">
        <v>-620617.25</v>
      </c>
      <c r="Q426" s="1" t="s">
        <v>15</v>
      </c>
      <c r="R426" s="5">
        <v>0</v>
      </c>
      <c r="S426">
        <f>VLOOKUP(K426,'MIS COMPROBANTES'!E:Q,13,FALSE)</f>
        <v>620617.26</v>
      </c>
    </row>
    <row r="427" spans="1:19" x14ac:dyDescent="0.25">
      <c r="A427" s="3">
        <v>45467</v>
      </c>
      <c r="B427" s="1" t="s">
        <v>158</v>
      </c>
      <c r="C427" s="1" t="s">
        <v>159</v>
      </c>
      <c r="D427" s="1" t="s">
        <v>18</v>
      </c>
      <c r="E427" s="1" t="s">
        <v>623</v>
      </c>
      <c r="F427" s="4">
        <v>12572</v>
      </c>
      <c r="G427" s="1" t="s">
        <v>31</v>
      </c>
      <c r="H427" s="1" t="s">
        <v>488</v>
      </c>
      <c r="I427" s="6">
        <v>667</v>
      </c>
      <c r="J427" s="6">
        <v>293451</v>
      </c>
      <c r="K427" s="1" t="str">
        <f t="shared" si="6"/>
        <v>30500858628667293451</v>
      </c>
      <c r="L427" s="5">
        <v>3</v>
      </c>
      <c r="M427" s="12">
        <v>0</v>
      </c>
      <c r="N427" s="12">
        <v>0</v>
      </c>
      <c r="O427" s="12">
        <v>-15014.92</v>
      </c>
      <c r="P427" s="12">
        <v>0</v>
      </c>
      <c r="Q427" s="1" t="s">
        <v>15</v>
      </c>
      <c r="R427" s="5">
        <v>0</v>
      </c>
      <c r="S427">
        <f>VLOOKUP(K427,'MIS COMPROBANTES'!E:Q,13,FALSE)</f>
        <v>620617.26</v>
      </c>
    </row>
    <row r="428" spans="1:19" x14ac:dyDescent="0.25">
      <c r="A428" s="3">
        <v>45468</v>
      </c>
      <c r="B428" s="1" t="s">
        <v>276</v>
      </c>
      <c r="C428" s="1" t="s">
        <v>277</v>
      </c>
      <c r="D428" s="1" t="s">
        <v>18</v>
      </c>
      <c r="E428" s="1" t="s">
        <v>649</v>
      </c>
      <c r="F428" s="4">
        <v>12617</v>
      </c>
      <c r="G428" s="1" t="s">
        <v>19</v>
      </c>
      <c r="H428" s="1" t="s">
        <v>489</v>
      </c>
      <c r="I428" s="6">
        <v>2024</v>
      </c>
      <c r="J428" s="6">
        <v>25062024</v>
      </c>
      <c r="K428" s="1" t="str">
        <f t="shared" si="6"/>
        <v>30500001735202425062024</v>
      </c>
      <c r="L428" s="5">
        <v>10.5</v>
      </c>
      <c r="M428" s="12">
        <v>25770.55</v>
      </c>
      <c r="N428" s="12">
        <v>954038.53</v>
      </c>
      <c r="O428" s="12">
        <v>100174.05</v>
      </c>
      <c r="P428" s="12">
        <v>1113202.58</v>
      </c>
      <c r="Q428" s="1" t="s">
        <v>15</v>
      </c>
      <c r="R428" s="5">
        <v>18982.54</v>
      </c>
      <c r="S428" t="e">
        <f>VLOOKUP(K428,'MIS COMPROBANTES'!E:Q,13,FALSE)</f>
        <v>#N/A</v>
      </c>
    </row>
    <row r="429" spans="1:19" x14ac:dyDescent="0.25">
      <c r="A429" s="3">
        <v>45468</v>
      </c>
      <c r="B429" s="1" t="s">
        <v>276</v>
      </c>
      <c r="C429" s="1" t="s">
        <v>277</v>
      </c>
      <c r="D429" s="1" t="s">
        <v>18</v>
      </c>
      <c r="E429" s="1" t="s">
        <v>649</v>
      </c>
      <c r="F429" s="4">
        <v>12617</v>
      </c>
      <c r="G429" s="1" t="s">
        <v>19</v>
      </c>
      <c r="H429" s="1" t="s">
        <v>489</v>
      </c>
      <c r="I429" s="6">
        <v>2024</v>
      </c>
      <c r="J429" s="6">
        <v>25062024</v>
      </c>
      <c r="K429" s="1" t="str">
        <f t="shared" si="6"/>
        <v>30500001735202425062024</v>
      </c>
      <c r="L429" s="5">
        <v>1.5</v>
      </c>
      <c r="M429" s="12">
        <v>0</v>
      </c>
      <c r="N429" s="12">
        <v>0</v>
      </c>
      <c r="O429" s="12">
        <v>14236.91</v>
      </c>
      <c r="P429" s="12">
        <v>0</v>
      </c>
      <c r="Q429" s="1" t="s">
        <v>15</v>
      </c>
      <c r="R429" s="5">
        <v>0</v>
      </c>
      <c r="S429" t="e">
        <f>VLOOKUP(K429,'MIS COMPROBANTES'!E:Q,13,FALSE)</f>
        <v>#N/A</v>
      </c>
    </row>
    <row r="430" spans="1:19" x14ac:dyDescent="0.25">
      <c r="A430" s="3">
        <v>45468</v>
      </c>
      <c r="B430" s="1" t="s">
        <v>16</v>
      </c>
      <c r="C430" s="1" t="s">
        <v>17</v>
      </c>
      <c r="D430" s="1" t="s">
        <v>18</v>
      </c>
      <c r="E430" s="1" t="s">
        <v>584</v>
      </c>
      <c r="F430" s="4">
        <v>12570</v>
      </c>
      <c r="G430" s="1" t="s">
        <v>19</v>
      </c>
      <c r="H430" s="1" t="s">
        <v>490</v>
      </c>
      <c r="I430" s="6">
        <v>2024</v>
      </c>
      <c r="J430" s="6">
        <v>80003101</v>
      </c>
      <c r="K430" s="1" t="str">
        <f t="shared" si="6"/>
        <v>30500008454202480003101</v>
      </c>
      <c r="L430" s="5">
        <v>10.5</v>
      </c>
      <c r="M430" s="12">
        <v>2316.4899999999998</v>
      </c>
      <c r="N430" s="12">
        <v>51155.99</v>
      </c>
      <c r="O430" s="12">
        <v>5371.39</v>
      </c>
      <c r="P430" s="12">
        <v>60318.99</v>
      </c>
      <c r="Q430" s="1" t="s">
        <v>15</v>
      </c>
      <c r="R430" s="5">
        <v>874.26</v>
      </c>
      <c r="S430" t="e">
        <f>VLOOKUP(K430,'MIS COMPROBANTES'!E:Q,13,FALSE)</f>
        <v>#N/A</v>
      </c>
    </row>
    <row r="431" spans="1:19" x14ac:dyDescent="0.25">
      <c r="A431" s="3">
        <v>45468</v>
      </c>
      <c r="B431" s="1" t="s">
        <v>16</v>
      </c>
      <c r="C431" s="1" t="s">
        <v>17</v>
      </c>
      <c r="D431" s="1" t="s">
        <v>18</v>
      </c>
      <c r="E431" s="1" t="s">
        <v>584</v>
      </c>
      <c r="F431" s="4">
        <v>12570</v>
      </c>
      <c r="G431" s="1" t="s">
        <v>19</v>
      </c>
      <c r="H431" s="1" t="s">
        <v>490</v>
      </c>
      <c r="I431" s="6">
        <v>2024</v>
      </c>
      <c r="J431" s="6">
        <v>80003101</v>
      </c>
      <c r="K431" s="1" t="str">
        <f t="shared" si="6"/>
        <v>30500008454202480003101</v>
      </c>
      <c r="L431" s="5">
        <v>1.5</v>
      </c>
      <c r="M431" s="12">
        <v>0</v>
      </c>
      <c r="N431" s="12">
        <v>0</v>
      </c>
      <c r="O431" s="12">
        <v>600.86</v>
      </c>
      <c r="P431" s="12">
        <v>0</v>
      </c>
      <c r="Q431" s="1" t="s">
        <v>15</v>
      </c>
      <c r="R431" s="5">
        <v>0</v>
      </c>
      <c r="S431" t="e">
        <f>VLOOKUP(K431,'MIS COMPROBANTES'!E:Q,13,FALSE)</f>
        <v>#N/A</v>
      </c>
    </row>
    <row r="432" spans="1:19" x14ac:dyDescent="0.25">
      <c r="A432" s="3">
        <v>45468</v>
      </c>
      <c r="B432" s="1" t="s">
        <v>111</v>
      </c>
      <c r="C432" s="1" t="s">
        <v>112</v>
      </c>
      <c r="D432" s="1" t="s">
        <v>18</v>
      </c>
      <c r="E432" s="1" t="s">
        <v>610</v>
      </c>
      <c r="F432" s="4">
        <v>12726</v>
      </c>
      <c r="G432" s="1" t="s">
        <v>19</v>
      </c>
      <c r="H432" s="1" t="s">
        <v>491</v>
      </c>
      <c r="I432" s="6">
        <v>3</v>
      </c>
      <c r="J432" s="6">
        <v>5311</v>
      </c>
      <c r="K432" s="1" t="str">
        <f t="shared" si="6"/>
        <v>3371419199935311</v>
      </c>
      <c r="L432" s="5">
        <v>21</v>
      </c>
      <c r="M432" s="12">
        <v>0</v>
      </c>
      <c r="N432" s="12">
        <v>669850</v>
      </c>
      <c r="O432" s="12">
        <v>140668.5</v>
      </c>
      <c r="P432" s="12">
        <v>810518.5</v>
      </c>
      <c r="Q432" s="1" t="s">
        <v>15</v>
      </c>
      <c r="R432" s="5">
        <v>0</v>
      </c>
      <c r="S432">
        <f>VLOOKUP(K432,'MIS COMPROBANTES'!E:Q,13,FALSE)</f>
        <v>810518.5</v>
      </c>
    </row>
    <row r="433" spans="1:19" x14ac:dyDescent="0.25">
      <c r="A433" s="3">
        <v>45468</v>
      </c>
      <c r="B433" s="1" t="s">
        <v>492</v>
      </c>
      <c r="C433" s="1" t="s">
        <v>493</v>
      </c>
      <c r="D433" s="1" t="s">
        <v>18</v>
      </c>
      <c r="E433" s="1" t="s">
        <v>684</v>
      </c>
      <c r="F433" s="4">
        <v>12648</v>
      </c>
      <c r="G433" s="1" t="s">
        <v>19</v>
      </c>
      <c r="H433" s="1" t="s">
        <v>494</v>
      </c>
      <c r="I433" s="6">
        <v>3</v>
      </c>
      <c r="J433" s="6">
        <v>105651</v>
      </c>
      <c r="K433" s="1" t="str">
        <f t="shared" si="6"/>
        <v>307102144723105651</v>
      </c>
      <c r="L433" s="5">
        <v>21</v>
      </c>
      <c r="M433" s="12">
        <v>0</v>
      </c>
      <c r="N433" s="12">
        <v>6066</v>
      </c>
      <c r="O433" s="12">
        <v>1273.8599999999999</v>
      </c>
      <c r="P433" s="12">
        <v>7461.18</v>
      </c>
      <c r="Q433" s="1" t="s">
        <v>15</v>
      </c>
      <c r="R433" s="5">
        <v>121.32</v>
      </c>
      <c r="S433">
        <f>VLOOKUP(K433,'MIS COMPROBANTES'!E:Q,13,FALSE)</f>
        <v>7461.18</v>
      </c>
    </row>
    <row r="434" spans="1:19" x14ac:dyDescent="0.25">
      <c r="A434" s="3">
        <v>45468</v>
      </c>
      <c r="B434" s="1" t="s">
        <v>495</v>
      </c>
      <c r="C434" s="1" t="s">
        <v>496</v>
      </c>
      <c r="D434" s="1" t="s">
        <v>18</v>
      </c>
      <c r="E434" s="1" t="s">
        <v>685</v>
      </c>
      <c r="F434" s="4">
        <v>12702</v>
      </c>
      <c r="G434" s="1" t="s">
        <v>19</v>
      </c>
      <c r="H434" s="1" t="s">
        <v>497</v>
      </c>
      <c r="I434" s="6">
        <v>8</v>
      </c>
      <c r="J434" s="6">
        <v>8538</v>
      </c>
      <c r="K434" s="1" t="str">
        <f t="shared" si="6"/>
        <v>3070948513688538</v>
      </c>
      <c r="L434" s="5">
        <v>21</v>
      </c>
      <c r="M434" s="12">
        <v>6637.75</v>
      </c>
      <c r="N434" s="12">
        <v>45758.06</v>
      </c>
      <c r="O434" s="12">
        <v>9609.19</v>
      </c>
      <c r="P434" s="12">
        <v>62005</v>
      </c>
      <c r="Q434" s="1" t="s">
        <v>15</v>
      </c>
      <c r="R434" s="5">
        <v>0</v>
      </c>
      <c r="S434" t="e">
        <f>VLOOKUP(K434,'MIS COMPROBANTES'!E:Q,13,FALSE)</f>
        <v>#N/A</v>
      </c>
    </row>
    <row r="435" spans="1:19" x14ac:dyDescent="0.25">
      <c r="A435" s="3">
        <v>45468</v>
      </c>
      <c r="B435" s="1" t="s">
        <v>498</v>
      </c>
      <c r="C435" s="1" t="s">
        <v>499</v>
      </c>
      <c r="D435" s="1" t="s">
        <v>18</v>
      </c>
      <c r="E435" s="1" t="s">
        <v>686</v>
      </c>
      <c r="F435" s="4">
        <v>12657</v>
      </c>
      <c r="G435" s="1" t="s">
        <v>19</v>
      </c>
      <c r="H435" s="1" t="s">
        <v>500</v>
      </c>
      <c r="I435" s="6">
        <v>30</v>
      </c>
      <c r="J435" s="6">
        <v>10019</v>
      </c>
      <c r="K435" s="1" t="str">
        <f t="shared" si="6"/>
        <v>306952436733010019</v>
      </c>
      <c r="L435" s="5">
        <v>21</v>
      </c>
      <c r="M435" s="12">
        <v>4838.49</v>
      </c>
      <c r="N435" s="12">
        <v>53852.52</v>
      </c>
      <c r="O435" s="12">
        <v>11309.03</v>
      </c>
      <c r="P435" s="12">
        <v>72641.14</v>
      </c>
      <c r="Q435" s="1" t="s">
        <v>15</v>
      </c>
      <c r="R435" s="5">
        <v>2641.1</v>
      </c>
      <c r="S435">
        <f>VLOOKUP(K435,'MIS COMPROBANTES'!E:Q,13,FALSE)</f>
        <v>72641.14</v>
      </c>
    </row>
    <row r="436" spans="1:19" x14ac:dyDescent="0.25">
      <c r="A436" s="3">
        <v>45468</v>
      </c>
      <c r="B436" s="1" t="s">
        <v>148</v>
      </c>
      <c r="C436" s="1" t="s">
        <v>149</v>
      </c>
      <c r="D436" s="1" t="s">
        <v>18</v>
      </c>
      <c r="E436" s="1" t="s">
        <v>620</v>
      </c>
      <c r="F436" s="4">
        <v>12597</v>
      </c>
      <c r="G436" s="1" t="s">
        <v>19</v>
      </c>
      <c r="H436" s="1" t="s">
        <v>501</v>
      </c>
      <c r="I436" s="6">
        <v>63</v>
      </c>
      <c r="J436" s="6">
        <v>66353</v>
      </c>
      <c r="K436" s="1" t="str">
        <f t="shared" si="6"/>
        <v>305038616386366353</v>
      </c>
      <c r="L436" s="5">
        <v>21</v>
      </c>
      <c r="M436" s="12">
        <v>0</v>
      </c>
      <c r="N436" s="12">
        <v>394154.77</v>
      </c>
      <c r="O436" s="12">
        <v>82772.509999999995</v>
      </c>
      <c r="P436" s="12">
        <v>496635.02</v>
      </c>
      <c r="Q436" s="1" t="s">
        <v>15</v>
      </c>
      <c r="R436" s="5">
        <v>7883.1</v>
      </c>
      <c r="S436">
        <f>VLOOKUP(K436,'MIS COMPROBANTES'!E:Q,13,FALSE)</f>
        <v>496635.01</v>
      </c>
    </row>
    <row r="437" spans="1:19" x14ac:dyDescent="0.25">
      <c r="A437" s="3">
        <v>45468</v>
      </c>
      <c r="B437" s="1" t="s">
        <v>148</v>
      </c>
      <c r="C437" s="1" t="s">
        <v>149</v>
      </c>
      <c r="D437" s="1" t="s">
        <v>18</v>
      </c>
      <c r="E437" s="1" t="s">
        <v>620</v>
      </c>
      <c r="F437" s="4">
        <v>12597</v>
      </c>
      <c r="G437" s="1" t="s">
        <v>19</v>
      </c>
      <c r="H437" s="1" t="s">
        <v>501</v>
      </c>
      <c r="I437" s="6">
        <v>63</v>
      </c>
      <c r="J437" s="6">
        <v>66353</v>
      </c>
      <c r="K437" s="1" t="str">
        <f t="shared" si="6"/>
        <v>305038616386366353</v>
      </c>
      <c r="L437" s="5">
        <v>3</v>
      </c>
      <c r="M437" s="12">
        <v>0</v>
      </c>
      <c r="N437" s="12">
        <v>0</v>
      </c>
      <c r="O437" s="12">
        <v>11824.64</v>
      </c>
      <c r="P437" s="12">
        <v>0</v>
      </c>
      <c r="Q437" s="1" t="s">
        <v>15</v>
      </c>
      <c r="R437" s="5">
        <v>0</v>
      </c>
      <c r="S437">
        <f>VLOOKUP(K437,'MIS COMPROBANTES'!E:Q,13,FALSE)</f>
        <v>496635.01</v>
      </c>
    </row>
    <row r="438" spans="1:19" x14ac:dyDescent="0.25">
      <c r="A438" s="3">
        <v>45468</v>
      </c>
      <c r="B438" s="1" t="s">
        <v>126</v>
      </c>
      <c r="C438" s="1" t="s">
        <v>127</v>
      </c>
      <c r="D438" s="1" t="s">
        <v>18</v>
      </c>
      <c r="E438" s="1" t="s">
        <v>614</v>
      </c>
      <c r="F438" s="4">
        <v>12591</v>
      </c>
      <c r="G438" s="1" t="s">
        <v>19</v>
      </c>
      <c r="H438" s="1" t="s">
        <v>502</v>
      </c>
      <c r="I438" s="6">
        <v>1001</v>
      </c>
      <c r="J438" s="6">
        <v>237847</v>
      </c>
      <c r="K438" s="1" t="str">
        <f t="shared" si="6"/>
        <v>305866115221001237847</v>
      </c>
      <c r="L438" s="5">
        <v>21</v>
      </c>
      <c r="M438" s="12">
        <v>0</v>
      </c>
      <c r="N438" s="12">
        <v>1730980</v>
      </c>
      <c r="O438" s="12">
        <v>363505.8</v>
      </c>
      <c r="P438" s="12">
        <v>2224309.2999999998</v>
      </c>
      <c r="Q438" s="1" t="s">
        <v>15</v>
      </c>
      <c r="R438" s="5">
        <v>77894.100000000006</v>
      </c>
      <c r="S438">
        <f>VLOOKUP(K438,'MIS COMPROBANTES'!E:Q,13,FALSE)</f>
        <v>2224309.2999999998</v>
      </c>
    </row>
    <row r="439" spans="1:19" x14ac:dyDescent="0.25">
      <c r="A439" s="3">
        <v>45468</v>
      </c>
      <c r="B439" s="1" t="s">
        <v>126</v>
      </c>
      <c r="C439" s="1" t="s">
        <v>127</v>
      </c>
      <c r="D439" s="1" t="s">
        <v>18</v>
      </c>
      <c r="E439" s="1" t="s">
        <v>614</v>
      </c>
      <c r="F439" s="4">
        <v>12591</v>
      </c>
      <c r="G439" s="1" t="s">
        <v>19</v>
      </c>
      <c r="H439" s="1" t="s">
        <v>502</v>
      </c>
      <c r="I439" s="6">
        <v>1001</v>
      </c>
      <c r="J439" s="6">
        <v>237847</v>
      </c>
      <c r="K439" s="1" t="str">
        <f t="shared" si="6"/>
        <v>305866115221001237847</v>
      </c>
      <c r="L439" s="5">
        <v>3</v>
      </c>
      <c r="M439" s="12">
        <v>0</v>
      </c>
      <c r="N439" s="12">
        <v>0</v>
      </c>
      <c r="O439" s="12">
        <v>51929.4</v>
      </c>
      <c r="P439" s="12">
        <v>0</v>
      </c>
      <c r="Q439" s="1" t="s">
        <v>15</v>
      </c>
      <c r="R439" s="5">
        <v>0</v>
      </c>
      <c r="S439">
        <f>VLOOKUP(K439,'MIS COMPROBANTES'!E:Q,13,FALSE)</f>
        <v>2224309.2999999998</v>
      </c>
    </row>
    <row r="440" spans="1:19" x14ac:dyDescent="0.25">
      <c r="A440" s="3">
        <v>45468</v>
      </c>
      <c r="B440" s="1" t="s">
        <v>126</v>
      </c>
      <c r="C440" s="1" t="s">
        <v>127</v>
      </c>
      <c r="D440" s="1" t="s">
        <v>18</v>
      </c>
      <c r="E440" s="1" t="s">
        <v>614</v>
      </c>
      <c r="F440" s="4">
        <v>12590</v>
      </c>
      <c r="G440" s="1" t="s">
        <v>19</v>
      </c>
      <c r="H440" s="1" t="s">
        <v>503</v>
      </c>
      <c r="I440" s="6">
        <v>1001</v>
      </c>
      <c r="J440" s="6">
        <v>237848</v>
      </c>
      <c r="K440" s="1" t="str">
        <f t="shared" si="6"/>
        <v>305866115221001237848</v>
      </c>
      <c r="L440" s="5">
        <v>21</v>
      </c>
      <c r="M440" s="12">
        <v>0</v>
      </c>
      <c r="N440" s="12">
        <v>647618.4</v>
      </c>
      <c r="O440" s="12">
        <v>135999.85999999999</v>
      </c>
      <c r="P440" s="12">
        <v>832189.64</v>
      </c>
      <c r="Q440" s="1" t="s">
        <v>15</v>
      </c>
      <c r="R440" s="5">
        <v>29142.83</v>
      </c>
      <c r="S440">
        <f>VLOOKUP(K440,'MIS COMPROBANTES'!E:Q,13,FALSE)</f>
        <v>832189.64</v>
      </c>
    </row>
    <row r="441" spans="1:19" x14ac:dyDescent="0.25">
      <c r="A441" s="3">
        <v>45468</v>
      </c>
      <c r="B441" s="1" t="s">
        <v>126</v>
      </c>
      <c r="C441" s="1" t="s">
        <v>127</v>
      </c>
      <c r="D441" s="1" t="s">
        <v>18</v>
      </c>
      <c r="E441" s="1" t="s">
        <v>614</v>
      </c>
      <c r="F441" s="4">
        <v>12590</v>
      </c>
      <c r="G441" s="1" t="s">
        <v>19</v>
      </c>
      <c r="H441" s="1" t="s">
        <v>503</v>
      </c>
      <c r="I441" s="6">
        <v>1001</v>
      </c>
      <c r="J441" s="6">
        <v>237848</v>
      </c>
      <c r="K441" s="1" t="str">
        <f t="shared" si="6"/>
        <v>305866115221001237848</v>
      </c>
      <c r="L441" s="5">
        <v>3</v>
      </c>
      <c r="M441" s="12">
        <v>0</v>
      </c>
      <c r="N441" s="12">
        <v>0</v>
      </c>
      <c r="O441" s="12">
        <v>19428.55</v>
      </c>
      <c r="P441" s="12">
        <v>0</v>
      </c>
      <c r="Q441" s="1" t="s">
        <v>15</v>
      </c>
      <c r="R441" s="5">
        <v>0</v>
      </c>
      <c r="S441">
        <f>VLOOKUP(K441,'MIS COMPROBANTES'!E:Q,13,FALSE)</f>
        <v>832189.64</v>
      </c>
    </row>
    <row r="442" spans="1:19" x14ac:dyDescent="0.25">
      <c r="A442" s="3">
        <v>45468</v>
      </c>
      <c r="B442" s="1" t="s">
        <v>129</v>
      </c>
      <c r="C442" s="1" t="s">
        <v>130</v>
      </c>
      <c r="D442" s="1" t="s">
        <v>18</v>
      </c>
      <c r="E442" s="1" t="s">
        <v>615</v>
      </c>
      <c r="F442" s="4">
        <v>12791</v>
      </c>
      <c r="G442" s="1" t="s">
        <v>19</v>
      </c>
      <c r="H442" s="1" t="s">
        <v>504</v>
      </c>
      <c r="I442" s="6">
        <v>6004</v>
      </c>
      <c r="J442" s="6">
        <v>3666547</v>
      </c>
      <c r="K442" s="1" t="str">
        <f t="shared" si="6"/>
        <v>3050111624260043666547</v>
      </c>
      <c r="L442" s="5">
        <v>21</v>
      </c>
      <c r="M442" s="12">
        <v>0</v>
      </c>
      <c r="N442" s="12">
        <v>2420748.4700000002</v>
      </c>
      <c r="O442" s="12">
        <v>508357.18</v>
      </c>
      <c r="P442" s="12">
        <v>3050143.07</v>
      </c>
      <c r="Q442" s="1" t="s">
        <v>15</v>
      </c>
      <c r="R442" s="5">
        <v>48414.97</v>
      </c>
      <c r="S442">
        <f>VLOOKUP(K442,'MIS COMPROBANTES'!E:Q,13,FALSE)</f>
        <v>3050143.07</v>
      </c>
    </row>
    <row r="443" spans="1:19" x14ac:dyDescent="0.25">
      <c r="A443" s="3">
        <v>45468</v>
      </c>
      <c r="B443" s="1" t="s">
        <v>129</v>
      </c>
      <c r="C443" s="1" t="s">
        <v>130</v>
      </c>
      <c r="D443" s="1" t="s">
        <v>18</v>
      </c>
      <c r="E443" s="1" t="s">
        <v>615</v>
      </c>
      <c r="F443" s="4">
        <v>12791</v>
      </c>
      <c r="G443" s="1" t="s">
        <v>19</v>
      </c>
      <c r="H443" s="1" t="s">
        <v>504</v>
      </c>
      <c r="I443" s="6">
        <v>6004</v>
      </c>
      <c r="J443" s="6">
        <v>3666547</v>
      </c>
      <c r="K443" s="1" t="str">
        <f t="shared" si="6"/>
        <v>3050111624260043666547</v>
      </c>
      <c r="L443" s="5">
        <v>3</v>
      </c>
      <c r="M443" s="12">
        <v>0</v>
      </c>
      <c r="N443" s="12">
        <v>0</v>
      </c>
      <c r="O443" s="12">
        <v>72622.45</v>
      </c>
      <c r="P443" s="12">
        <v>0</v>
      </c>
      <c r="Q443" s="1" t="s">
        <v>15</v>
      </c>
      <c r="R443" s="5">
        <v>0</v>
      </c>
      <c r="S443">
        <f>VLOOKUP(K443,'MIS COMPROBANTES'!E:Q,13,FALSE)</f>
        <v>3050143.07</v>
      </c>
    </row>
    <row r="444" spans="1:19" x14ac:dyDescent="0.25">
      <c r="A444" s="3">
        <v>45468</v>
      </c>
      <c r="B444" s="1" t="s">
        <v>53</v>
      </c>
      <c r="C444" s="1" t="s">
        <v>54</v>
      </c>
      <c r="D444" s="1" t="s">
        <v>18</v>
      </c>
      <c r="E444" s="1" t="s">
        <v>594</v>
      </c>
      <c r="F444" s="4">
        <v>12593</v>
      </c>
      <c r="G444" s="1" t="s">
        <v>19</v>
      </c>
      <c r="H444" s="1" t="s">
        <v>505</v>
      </c>
      <c r="I444" s="6">
        <v>6156</v>
      </c>
      <c r="J444" s="6">
        <v>6831764</v>
      </c>
      <c r="K444" s="1" t="str">
        <f t="shared" si="6"/>
        <v>3054724233161566831764</v>
      </c>
      <c r="L444" s="5">
        <v>21</v>
      </c>
      <c r="M444" s="12">
        <v>0</v>
      </c>
      <c r="N444" s="12">
        <v>687396.46</v>
      </c>
      <c r="O444" s="12">
        <v>144353.26</v>
      </c>
      <c r="P444" s="12">
        <v>865500.18</v>
      </c>
      <c r="Q444" s="1" t="s">
        <v>15</v>
      </c>
      <c r="R444" s="5">
        <v>13747.93</v>
      </c>
      <c r="S444">
        <f>VLOOKUP(K444,'MIS COMPROBANTES'!E:Q,13,FALSE)</f>
        <v>865500.18</v>
      </c>
    </row>
    <row r="445" spans="1:19" x14ac:dyDescent="0.25">
      <c r="A445" s="3">
        <v>45468</v>
      </c>
      <c r="B445" s="1" t="s">
        <v>53</v>
      </c>
      <c r="C445" s="1" t="s">
        <v>54</v>
      </c>
      <c r="D445" s="1" t="s">
        <v>18</v>
      </c>
      <c r="E445" s="1" t="s">
        <v>594</v>
      </c>
      <c r="F445" s="4">
        <v>12593</v>
      </c>
      <c r="G445" s="1" t="s">
        <v>19</v>
      </c>
      <c r="H445" s="1" t="s">
        <v>505</v>
      </c>
      <c r="I445" s="6">
        <v>6156</v>
      </c>
      <c r="J445" s="6">
        <v>6831764</v>
      </c>
      <c r="K445" s="1" t="str">
        <f t="shared" ref="K445:K508" si="7">CONCATENATE(E445,I445,J445)</f>
        <v>3054724233161566831764</v>
      </c>
      <c r="L445" s="5">
        <v>3</v>
      </c>
      <c r="M445" s="12">
        <v>0</v>
      </c>
      <c r="N445" s="12">
        <v>0</v>
      </c>
      <c r="O445" s="12">
        <v>20002.53</v>
      </c>
      <c r="P445" s="12">
        <v>0</v>
      </c>
      <c r="Q445" s="1" t="s">
        <v>15</v>
      </c>
      <c r="R445" s="5">
        <v>0</v>
      </c>
      <c r="S445">
        <f>VLOOKUP(K445,'MIS COMPROBANTES'!E:Q,13,FALSE)</f>
        <v>865500.18</v>
      </c>
    </row>
    <row r="446" spans="1:19" x14ac:dyDescent="0.25">
      <c r="A446" s="3">
        <v>45468</v>
      </c>
      <c r="B446" s="1" t="s">
        <v>202</v>
      </c>
      <c r="C446" s="1" t="s">
        <v>203</v>
      </c>
      <c r="D446" s="1" t="s">
        <v>18</v>
      </c>
      <c r="E446" s="1" t="s">
        <v>633</v>
      </c>
      <c r="F446" s="4">
        <v>12647</v>
      </c>
      <c r="G446" s="1" t="s">
        <v>19</v>
      </c>
      <c r="H446" s="1" t="s">
        <v>506</v>
      </c>
      <c r="I446" s="6">
        <v>8200</v>
      </c>
      <c r="J446" s="6">
        <v>9552</v>
      </c>
      <c r="K446" s="1" t="str">
        <f t="shared" si="7"/>
        <v>3067877449582009552</v>
      </c>
      <c r="L446" s="5">
        <v>21</v>
      </c>
      <c r="M446" s="12">
        <v>6109.26</v>
      </c>
      <c r="N446" s="12">
        <v>68504.69</v>
      </c>
      <c r="O446" s="12">
        <v>14385.98</v>
      </c>
      <c r="P446" s="12">
        <v>90492.21</v>
      </c>
      <c r="Q446" s="1" t="s">
        <v>15</v>
      </c>
      <c r="R446" s="5">
        <v>1492.28</v>
      </c>
      <c r="S446">
        <f>VLOOKUP(K446,'MIS COMPROBANTES'!E:Q,13,FALSE)</f>
        <v>90492.22</v>
      </c>
    </row>
    <row r="447" spans="1:19" x14ac:dyDescent="0.25">
      <c r="A447" s="3">
        <v>45469</v>
      </c>
      <c r="B447" s="1" t="s">
        <v>507</v>
      </c>
      <c r="C447" s="1" t="s">
        <v>508</v>
      </c>
      <c r="D447" s="1" t="s">
        <v>18</v>
      </c>
      <c r="E447" s="1" t="s">
        <v>687</v>
      </c>
      <c r="F447" s="4">
        <v>12727</v>
      </c>
      <c r="G447" s="1" t="s">
        <v>19</v>
      </c>
      <c r="H447" s="1" t="s">
        <v>509</v>
      </c>
      <c r="I447" s="6">
        <v>10</v>
      </c>
      <c r="J447" s="6">
        <v>155724</v>
      </c>
      <c r="K447" s="1" t="str">
        <f t="shared" si="7"/>
        <v>3064221935510155724</v>
      </c>
      <c r="L447" s="5">
        <v>21</v>
      </c>
      <c r="M447" s="12">
        <v>0</v>
      </c>
      <c r="N447" s="12">
        <v>2625150</v>
      </c>
      <c r="O447" s="12">
        <v>551281.5</v>
      </c>
      <c r="P447" s="12">
        <v>3373317.75</v>
      </c>
      <c r="Q447" s="1" t="s">
        <v>15</v>
      </c>
      <c r="R447" s="5">
        <v>118131.75</v>
      </c>
      <c r="S447">
        <f>VLOOKUP(K447,'MIS COMPROBANTES'!E:Q,13,FALSE)</f>
        <v>3373317.75</v>
      </c>
    </row>
    <row r="448" spans="1:19" x14ac:dyDescent="0.25">
      <c r="A448" s="3">
        <v>45469</v>
      </c>
      <c r="B448" s="1" t="s">
        <v>507</v>
      </c>
      <c r="C448" s="1" t="s">
        <v>508</v>
      </c>
      <c r="D448" s="1" t="s">
        <v>18</v>
      </c>
      <c r="E448" s="1" t="s">
        <v>687</v>
      </c>
      <c r="F448" s="4">
        <v>12727</v>
      </c>
      <c r="G448" s="1" t="s">
        <v>19</v>
      </c>
      <c r="H448" s="1" t="s">
        <v>509</v>
      </c>
      <c r="I448" s="6">
        <v>10</v>
      </c>
      <c r="J448" s="6">
        <v>155724</v>
      </c>
      <c r="K448" s="1" t="str">
        <f t="shared" si="7"/>
        <v>3064221935510155724</v>
      </c>
      <c r="L448" s="5">
        <v>3</v>
      </c>
      <c r="M448" s="12">
        <v>0</v>
      </c>
      <c r="N448" s="12">
        <v>0</v>
      </c>
      <c r="O448" s="12">
        <v>78754.5</v>
      </c>
      <c r="P448" s="12">
        <v>0</v>
      </c>
      <c r="Q448" s="1" t="s">
        <v>15</v>
      </c>
      <c r="R448" s="5">
        <v>0</v>
      </c>
      <c r="S448">
        <f>VLOOKUP(K448,'MIS COMPROBANTES'!E:Q,13,FALSE)</f>
        <v>3373317.75</v>
      </c>
    </row>
    <row r="449" spans="1:19" x14ac:dyDescent="0.25">
      <c r="A449" s="3">
        <v>45469</v>
      </c>
      <c r="B449" s="1" t="s">
        <v>510</v>
      </c>
      <c r="C449" s="1" t="s">
        <v>511</v>
      </c>
      <c r="D449" s="1" t="s">
        <v>18</v>
      </c>
      <c r="E449" s="1" t="s">
        <v>688</v>
      </c>
      <c r="F449" s="4">
        <v>12684</v>
      </c>
      <c r="G449" s="1" t="s">
        <v>19</v>
      </c>
      <c r="H449" s="1" t="s">
        <v>512</v>
      </c>
      <c r="I449" s="6">
        <v>16</v>
      </c>
      <c r="J449" s="6">
        <v>88148</v>
      </c>
      <c r="K449" s="1" t="str">
        <f t="shared" si="7"/>
        <v>306602590031688148</v>
      </c>
      <c r="L449" s="5">
        <v>21</v>
      </c>
      <c r="M449" s="12">
        <v>8585.39</v>
      </c>
      <c r="N449" s="12">
        <v>75549.259999999995</v>
      </c>
      <c r="O449" s="12">
        <v>15865.34</v>
      </c>
      <c r="P449" s="12">
        <v>101510.98</v>
      </c>
      <c r="Q449" s="1" t="s">
        <v>15</v>
      </c>
      <c r="R449" s="5">
        <v>1510.99</v>
      </c>
      <c r="S449" t="e">
        <f>VLOOKUP(K449,'MIS COMPROBANTES'!E:Q,13,FALSE)</f>
        <v>#N/A</v>
      </c>
    </row>
    <row r="450" spans="1:19" x14ac:dyDescent="0.25">
      <c r="A450" s="3">
        <v>45469</v>
      </c>
      <c r="B450" s="1" t="s">
        <v>155</v>
      </c>
      <c r="C450" s="1" t="s">
        <v>156</v>
      </c>
      <c r="D450" s="1" t="s">
        <v>18</v>
      </c>
      <c r="E450" s="1" t="s">
        <v>622</v>
      </c>
      <c r="F450" s="4">
        <v>12596</v>
      </c>
      <c r="G450" s="1" t="s">
        <v>19</v>
      </c>
      <c r="H450" s="1" t="s">
        <v>513</v>
      </c>
      <c r="I450" s="6">
        <v>539</v>
      </c>
      <c r="J450" s="6">
        <v>41530</v>
      </c>
      <c r="K450" s="1" t="str">
        <f t="shared" si="7"/>
        <v>3066319759953941530</v>
      </c>
      <c r="L450" s="5">
        <v>21</v>
      </c>
      <c r="M450" s="12">
        <v>0</v>
      </c>
      <c r="N450" s="12">
        <v>736755.71</v>
      </c>
      <c r="O450" s="12">
        <v>154718.71</v>
      </c>
      <c r="P450" s="12">
        <v>906209.54</v>
      </c>
      <c r="Q450" s="1" t="s">
        <v>15</v>
      </c>
      <c r="R450" s="5">
        <v>14735.12</v>
      </c>
      <c r="S450">
        <f>VLOOKUP(K450,'MIS COMPROBANTES'!E:Q,13,FALSE)</f>
        <v>906209.52</v>
      </c>
    </row>
    <row r="451" spans="1:19" x14ac:dyDescent="0.25">
      <c r="A451" s="3">
        <v>45469</v>
      </c>
      <c r="B451" s="1" t="s">
        <v>796</v>
      </c>
      <c r="C451" s="1" t="s">
        <v>742</v>
      </c>
      <c r="D451" s="1" t="s">
        <v>18</v>
      </c>
      <c r="E451" s="1" t="s">
        <v>813</v>
      </c>
      <c r="F451" s="4">
        <v>12940</v>
      </c>
      <c r="G451" s="1" t="s">
        <v>19</v>
      </c>
      <c r="H451" s="1" t="s">
        <v>817</v>
      </c>
      <c r="I451" s="6">
        <v>601</v>
      </c>
      <c r="J451" s="6">
        <v>265804</v>
      </c>
      <c r="K451" s="1" t="str">
        <f t="shared" si="7"/>
        <v>30525390086601265804</v>
      </c>
      <c r="L451" s="5">
        <v>21</v>
      </c>
      <c r="M451" s="12">
        <v>535650.92000000004</v>
      </c>
      <c r="N451" s="12">
        <v>6991502.54</v>
      </c>
      <c r="O451" s="12">
        <v>1468215.53</v>
      </c>
      <c r="P451" s="12">
        <v>9355657.1199999992</v>
      </c>
      <c r="Q451" s="1" t="s">
        <v>15</v>
      </c>
      <c r="R451" s="5">
        <v>150543.06</v>
      </c>
      <c r="S451">
        <f>VLOOKUP(K451,'MIS COMPROBANTES'!E:Q,13,FALSE)</f>
        <v>9355657.1199999992</v>
      </c>
    </row>
    <row r="452" spans="1:19" x14ac:dyDescent="0.25">
      <c r="A452" s="3">
        <v>45469</v>
      </c>
      <c r="B452" s="1" t="s">
        <v>796</v>
      </c>
      <c r="C452" s="1" t="s">
        <v>742</v>
      </c>
      <c r="D452" s="1" t="s">
        <v>18</v>
      </c>
      <c r="E452" s="1" t="s">
        <v>813</v>
      </c>
      <c r="F452" s="4">
        <v>12940</v>
      </c>
      <c r="G452" s="1" t="s">
        <v>19</v>
      </c>
      <c r="H452" s="1" t="s">
        <v>817</v>
      </c>
      <c r="I452" s="6">
        <v>601</v>
      </c>
      <c r="J452" s="6">
        <v>265804</v>
      </c>
      <c r="K452" s="1" t="str">
        <f t="shared" si="7"/>
        <v>30525390086601265804</v>
      </c>
      <c r="L452" s="5">
        <v>3</v>
      </c>
      <c r="M452" s="12">
        <v>0</v>
      </c>
      <c r="N452" s="12">
        <v>0</v>
      </c>
      <c r="O452" s="12">
        <v>209745.07</v>
      </c>
      <c r="P452" s="12">
        <v>0</v>
      </c>
      <c r="Q452" s="1" t="s">
        <v>15</v>
      </c>
      <c r="R452" s="5">
        <v>0</v>
      </c>
      <c r="S452">
        <f>VLOOKUP(K452,'MIS COMPROBANTES'!E:Q,13,FALSE)</f>
        <v>9355657.1199999992</v>
      </c>
    </row>
    <row r="453" spans="1:19" x14ac:dyDescent="0.25">
      <c r="A453" s="3">
        <v>45469</v>
      </c>
      <c r="B453" s="1" t="s">
        <v>796</v>
      </c>
      <c r="C453" s="1" t="s">
        <v>742</v>
      </c>
      <c r="D453" s="1" t="s">
        <v>18</v>
      </c>
      <c r="E453" s="1" t="s">
        <v>813</v>
      </c>
      <c r="F453" s="4">
        <v>12941</v>
      </c>
      <c r="G453" s="1" t="s">
        <v>19</v>
      </c>
      <c r="H453" s="1" t="s">
        <v>818</v>
      </c>
      <c r="I453" s="6">
        <v>601</v>
      </c>
      <c r="J453" s="6">
        <v>265805</v>
      </c>
      <c r="K453" s="1" t="str">
        <f t="shared" si="7"/>
        <v>30525390086601265805</v>
      </c>
      <c r="L453" s="5">
        <v>21</v>
      </c>
      <c r="M453" s="12">
        <v>57190.41</v>
      </c>
      <c r="N453" s="12">
        <v>1722441.65</v>
      </c>
      <c r="O453" s="12">
        <v>361712.74</v>
      </c>
      <c r="P453" s="12">
        <v>2228610.69</v>
      </c>
      <c r="Q453" s="1" t="s">
        <v>15</v>
      </c>
      <c r="R453" s="5">
        <v>35592.639999999999</v>
      </c>
      <c r="S453">
        <f>VLOOKUP(K453,'MIS COMPROBANTES'!E:Q,13,FALSE)</f>
        <v>2228610.69</v>
      </c>
    </row>
    <row r="454" spans="1:19" x14ac:dyDescent="0.25">
      <c r="A454" s="3">
        <v>45469</v>
      </c>
      <c r="B454" s="1" t="s">
        <v>796</v>
      </c>
      <c r="C454" s="1" t="s">
        <v>742</v>
      </c>
      <c r="D454" s="1" t="s">
        <v>18</v>
      </c>
      <c r="E454" s="1" t="s">
        <v>813</v>
      </c>
      <c r="F454" s="4">
        <v>12941</v>
      </c>
      <c r="G454" s="1" t="s">
        <v>19</v>
      </c>
      <c r="H454" s="1" t="s">
        <v>818</v>
      </c>
      <c r="I454" s="6">
        <v>601</v>
      </c>
      <c r="J454" s="6">
        <v>265805</v>
      </c>
      <c r="K454" s="1" t="str">
        <f t="shared" si="7"/>
        <v>30525390086601265805</v>
      </c>
      <c r="L454" s="5">
        <v>3</v>
      </c>
      <c r="M454" s="12">
        <v>0</v>
      </c>
      <c r="N454" s="12">
        <v>0</v>
      </c>
      <c r="O454" s="12">
        <v>51673.25</v>
      </c>
      <c r="P454" s="12">
        <v>0</v>
      </c>
      <c r="Q454" s="1" t="s">
        <v>15</v>
      </c>
      <c r="R454" s="5">
        <v>0</v>
      </c>
      <c r="S454">
        <f>VLOOKUP(K454,'MIS COMPROBANTES'!E:Q,13,FALSE)</f>
        <v>2228610.69</v>
      </c>
    </row>
    <row r="455" spans="1:19" x14ac:dyDescent="0.25">
      <c r="A455" s="3">
        <v>45469</v>
      </c>
      <c r="B455" s="1" t="s">
        <v>796</v>
      </c>
      <c r="C455" s="1" t="s">
        <v>742</v>
      </c>
      <c r="D455" s="1" t="s">
        <v>18</v>
      </c>
      <c r="E455" s="1" t="s">
        <v>813</v>
      </c>
      <c r="F455" s="4">
        <v>12942</v>
      </c>
      <c r="G455" s="1" t="s">
        <v>19</v>
      </c>
      <c r="H455" s="1" t="s">
        <v>819</v>
      </c>
      <c r="I455" s="6">
        <v>601</v>
      </c>
      <c r="J455" s="6">
        <v>265806</v>
      </c>
      <c r="K455" s="1" t="str">
        <f t="shared" si="7"/>
        <v>30525390086601265806</v>
      </c>
      <c r="L455" s="5">
        <v>21</v>
      </c>
      <c r="M455" s="12">
        <v>282730.46999999997</v>
      </c>
      <c r="N455" s="12">
        <v>4930004.01</v>
      </c>
      <c r="O455" s="12">
        <v>1035300.84</v>
      </c>
      <c r="P455" s="12">
        <v>6500190.1399999997</v>
      </c>
      <c r="Q455" s="1" t="s">
        <v>15</v>
      </c>
      <c r="R455" s="5">
        <v>104254.68</v>
      </c>
      <c r="S455">
        <f>VLOOKUP(K455,'MIS COMPROBANTES'!E:Q,13,FALSE)</f>
        <v>6500190.1399999997</v>
      </c>
    </row>
    <row r="456" spans="1:19" x14ac:dyDescent="0.25">
      <c r="A456" s="3">
        <v>45469</v>
      </c>
      <c r="B456" s="1" t="s">
        <v>796</v>
      </c>
      <c r="C456" s="1" t="s">
        <v>742</v>
      </c>
      <c r="D456" s="1" t="s">
        <v>18</v>
      </c>
      <c r="E456" s="1" t="s">
        <v>813</v>
      </c>
      <c r="F456" s="4">
        <v>12942</v>
      </c>
      <c r="G456" s="1" t="s">
        <v>19</v>
      </c>
      <c r="H456" s="1" t="s">
        <v>819</v>
      </c>
      <c r="I456" s="6">
        <v>601</v>
      </c>
      <c r="J456" s="6">
        <v>265806</v>
      </c>
      <c r="K456" s="1" t="str">
        <f t="shared" si="7"/>
        <v>30525390086601265806</v>
      </c>
      <c r="L456" s="5">
        <v>3</v>
      </c>
      <c r="M456" s="12">
        <v>0</v>
      </c>
      <c r="N456" s="12">
        <v>0</v>
      </c>
      <c r="O456" s="12">
        <v>147900.14000000001</v>
      </c>
      <c r="P456" s="12">
        <v>0</v>
      </c>
      <c r="Q456" s="1" t="s">
        <v>15</v>
      </c>
      <c r="R456" s="5">
        <v>0</v>
      </c>
      <c r="S456">
        <f>VLOOKUP(K456,'MIS COMPROBANTES'!E:Q,13,FALSE)</f>
        <v>6500190.1399999997</v>
      </c>
    </row>
    <row r="457" spans="1:19" x14ac:dyDescent="0.25">
      <c r="A457" s="3">
        <v>45469</v>
      </c>
      <c r="B457" s="1" t="s">
        <v>97</v>
      </c>
      <c r="C457" s="1" t="s">
        <v>98</v>
      </c>
      <c r="D457" s="1" t="s">
        <v>18</v>
      </c>
      <c r="E457" s="1" t="s">
        <v>607</v>
      </c>
      <c r="F457" s="4">
        <v>12734</v>
      </c>
      <c r="G457" s="1" t="s">
        <v>19</v>
      </c>
      <c r="H457" s="1" t="s">
        <v>514</v>
      </c>
      <c r="I457" s="6">
        <v>2002</v>
      </c>
      <c r="J457" s="6">
        <v>292474</v>
      </c>
      <c r="K457" s="1" t="str">
        <f t="shared" si="7"/>
        <v>305007682622002292474</v>
      </c>
      <c r="L457" s="5">
        <v>21</v>
      </c>
      <c r="M457" s="12">
        <v>0</v>
      </c>
      <c r="N457" s="12">
        <v>5408054.4900000002</v>
      </c>
      <c r="O457" s="12">
        <v>1135691.44</v>
      </c>
      <c r="P457" s="12">
        <v>6949350.0199999996</v>
      </c>
      <c r="Q457" s="1" t="s">
        <v>15</v>
      </c>
      <c r="R457" s="5">
        <v>243362.46</v>
      </c>
      <c r="S457">
        <f>VLOOKUP(K457,'MIS COMPROBANTES'!E:Q,13,FALSE)</f>
        <v>6949350.0199999996</v>
      </c>
    </row>
    <row r="458" spans="1:19" x14ac:dyDescent="0.25">
      <c r="A458" s="3">
        <v>45469</v>
      </c>
      <c r="B458" s="1" t="s">
        <v>97</v>
      </c>
      <c r="C458" s="1" t="s">
        <v>98</v>
      </c>
      <c r="D458" s="1" t="s">
        <v>18</v>
      </c>
      <c r="E458" s="1" t="s">
        <v>607</v>
      </c>
      <c r="F458" s="4">
        <v>12734</v>
      </c>
      <c r="G458" s="1" t="s">
        <v>19</v>
      </c>
      <c r="H458" s="1" t="s">
        <v>514</v>
      </c>
      <c r="I458" s="6">
        <v>2002</v>
      </c>
      <c r="J458" s="6">
        <v>292474</v>
      </c>
      <c r="K458" s="1" t="str">
        <f t="shared" si="7"/>
        <v>305007682622002292474</v>
      </c>
      <c r="L458" s="5">
        <v>3</v>
      </c>
      <c r="M458" s="12">
        <v>0</v>
      </c>
      <c r="N458" s="12">
        <v>0</v>
      </c>
      <c r="O458" s="12">
        <v>162241.63</v>
      </c>
      <c r="P458" s="12">
        <v>0</v>
      </c>
      <c r="Q458" s="1" t="s">
        <v>15</v>
      </c>
      <c r="R458" s="5">
        <v>0</v>
      </c>
      <c r="S458">
        <f>VLOOKUP(K458,'MIS COMPROBANTES'!E:Q,13,FALSE)</f>
        <v>6949350.0199999996</v>
      </c>
    </row>
    <row r="459" spans="1:19" x14ac:dyDescent="0.25">
      <c r="A459" s="3">
        <v>45469</v>
      </c>
      <c r="B459" s="1" t="s">
        <v>515</v>
      </c>
      <c r="C459" s="1" t="s">
        <v>516</v>
      </c>
      <c r="D459" s="1" t="s">
        <v>88</v>
      </c>
      <c r="E459" s="1" t="s">
        <v>689</v>
      </c>
      <c r="F459" s="4">
        <v>12664</v>
      </c>
      <c r="G459" s="1" t="s">
        <v>19</v>
      </c>
      <c r="H459" s="1" t="s">
        <v>517</v>
      </c>
      <c r="I459" s="6">
        <v>2</v>
      </c>
      <c r="J459" s="6">
        <v>130</v>
      </c>
      <c r="K459" s="1" t="str">
        <f t="shared" si="7"/>
        <v>271657992032130</v>
      </c>
      <c r="L459" s="5">
        <v>0</v>
      </c>
      <c r="M459" s="12">
        <v>200000</v>
      </c>
      <c r="N459" s="12">
        <v>0</v>
      </c>
      <c r="O459" s="12">
        <v>0</v>
      </c>
      <c r="P459" s="12">
        <v>200000</v>
      </c>
      <c r="Q459" s="1" t="s">
        <v>15</v>
      </c>
      <c r="R459" s="5">
        <v>0</v>
      </c>
      <c r="S459">
        <f>VLOOKUP(K459,'MIS COMPROBANTES'!E:Q,13,FALSE)</f>
        <v>200000</v>
      </c>
    </row>
    <row r="460" spans="1:19" x14ac:dyDescent="0.25">
      <c r="A460" s="3">
        <v>45469</v>
      </c>
      <c r="B460" s="1" t="s">
        <v>518</v>
      </c>
      <c r="C460" s="1" t="s">
        <v>519</v>
      </c>
      <c r="D460" s="1" t="s">
        <v>18</v>
      </c>
      <c r="E460" s="1" t="s">
        <v>690</v>
      </c>
      <c r="F460" s="4">
        <v>12557</v>
      </c>
      <c r="G460" s="1" t="s">
        <v>31</v>
      </c>
      <c r="H460" s="1" t="s">
        <v>520</v>
      </c>
      <c r="I460" s="6">
        <v>110</v>
      </c>
      <c r="J460" s="6">
        <v>95853</v>
      </c>
      <c r="K460" s="1" t="str">
        <f t="shared" si="7"/>
        <v>3071130359211095853</v>
      </c>
      <c r="L460" s="5">
        <v>21</v>
      </c>
      <c r="M460" s="12">
        <v>0</v>
      </c>
      <c r="N460" s="12">
        <v>-10947.04</v>
      </c>
      <c r="O460" s="12">
        <v>-2298.88</v>
      </c>
      <c r="P460" s="12">
        <v>-13574.33</v>
      </c>
      <c r="Q460" s="1" t="s">
        <v>15</v>
      </c>
      <c r="R460" s="5">
        <v>0</v>
      </c>
      <c r="S460">
        <f>VLOOKUP(K460,'MIS COMPROBANTES'!E:Q,13,FALSE)</f>
        <v>13574.33</v>
      </c>
    </row>
    <row r="461" spans="1:19" x14ac:dyDescent="0.25">
      <c r="A461" s="3">
        <v>45469</v>
      </c>
      <c r="B461" s="1" t="s">
        <v>518</v>
      </c>
      <c r="C461" s="1" t="s">
        <v>519</v>
      </c>
      <c r="D461" s="1" t="s">
        <v>18</v>
      </c>
      <c r="E461" s="1" t="s">
        <v>690</v>
      </c>
      <c r="F461" s="4">
        <v>12557</v>
      </c>
      <c r="G461" s="1" t="s">
        <v>31</v>
      </c>
      <c r="H461" s="1" t="s">
        <v>520</v>
      </c>
      <c r="I461" s="6">
        <v>110</v>
      </c>
      <c r="J461" s="6">
        <v>95853</v>
      </c>
      <c r="K461" s="1" t="str">
        <f t="shared" si="7"/>
        <v>3071130359211095853</v>
      </c>
      <c r="L461" s="5">
        <v>3</v>
      </c>
      <c r="M461" s="12">
        <v>0</v>
      </c>
      <c r="N461" s="12">
        <v>0</v>
      </c>
      <c r="O461" s="12">
        <v>-328.41</v>
      </c>
      <c r="P461" s="12">
        <v>0</v>
      </c>
      <c r="Q461" s="1" t="s">
        <v>15</v>
      </c>
      <c r="R461" s="5">
        <v>0</v>
      </c>
      <c r="S461">
        <f>VLOOKUP(K461,'MIS COMPROBANTES'!E:Q,13,FALSE)</f>
        <v>13574.33</v>
      </c>
    </row>
    <row r="462" spans="1:19" x14ac:dyDescent="0.25">
      <c r="A462" s="3">
        <v>45469</v>
      </c>
      <c r="B462" s="1" t="s">
        <v>129</v>
      </c>
      <c r="C462" s="1" t="s">
        <v>130</v>
      </c>
      <c r="D462" s="1" t="s">
        <v>18</v>
      </c>
      <c r="E462" s="1" t="s">
        <v>615</v>
      </c>
      <c r="F462" s="4">
        <v>12792</v>
      </c>
      <c r="G462" s="1" t="s">
        <v>31</v>
      </c>
      <c r="H462" s="1" t="s">
        <v>521</v>
      </c>
      <c r="I462" s="6">
        <v>6004</v>
      </c>
      <c r="J462" s="6">
        <v>1780512</v>
      </c>
      <c r="K462" s="1" t="str">
        <f t="shared" si="7"/>
        <v>3050111624260041780512</v>
      </c>
      <c r="L462" s="5">
        <v>21</v>
      </c>
      <c r="M462" s="12">
        <v>0</v>
      </c>
      <c r="N462" s="12">
        <v>-22931.81</v>
      </c>
      <c r="O462" s="12">
        <v>-4815.68</v>
      </c>
      <c r="P462" s="12">
        <v>-28435.439999999999</v>
      </c>
      <c r="Q462" s="1" t="s">
        <v>15</v>
      </c>
      <c r="R462" s="5">
        <v>0</v>
      </c>
      <c r="S462">
        <f>VLOOKUP(K462,'MIS COMPROBANTES'!E:Q,13,FALSE)</f>
        <v>28435.439999999999</v>
      </c>
    </row>
    <row r="463" spans="1:19" x14ac:dyDescent="0.25">
      <c r="A463" s="3">
        <v>45469</v>
      </c>
      <c r="B463" s="1" t="s">
        <v>129</v>
      </c>
      <c r="C463" s="1" t="s">
        <v>130</v>
      </c>
      <c r="D463" s="1" t="s">
        <v>18</v>
      </c>
      <c r="E463" s="1" t="s">
        <v>615</v>
      </c>
      <c r="F463" s="4">
        <v>12792</v>
      </c>
      <c r="G463" s="1" t="s">
        <v>31</v>
      </c>
      <c r="H463" s="1" t="s">
        <v>521</v>
      </c>
      <c r="I463" s="6">
        <v>6004</v>
      </c>
      <c r="J463" s="6">
        <v>1780512</v>
      </c>
      <c r="K463" s="1" t="str">
        <f t="shared" si="7"/>
        <v>3050111624260041780512</v>
      </c>
      <c r="L463" s="5">
        <v>3</v>
      </c>
      <c r="M463" s="12">
        <v>0</v>
      </c>
      <c r="N463" s="12">
        <v>0</v>
      </c>
      <c r="O463" s="12">
        <v>-687.95</v>
      </c>
      <c r="P463" s="12">
        <v>0</v>
      </c>
      <c r="Q463" s="1" t="s">
        <v>15</v>
      </c>
      <c r="R463" s="5">
        <v>0</v>
      </c>
      <c r="S463">
        <f>VLOOKUP(K463,'MIS COMPROBANTES'!E:Q,13,FALSE)</f>
        <v>28435.439999999999</v>
      </c>
    </row>
    <row r="464" spans="1:19" x14ac:dyDescent="0.25">
      <c r="A464" s="3">
        <v>45470</v>
      </c>
      <c r="B464" s="1" t="s">
        <v>522</v>
      </c>
      <c r="C464" s="1" t="s">
        <v>523</v>
      </c>
      <c r="D464" s="1" t="s">
        <v>18</v>
      </c>
      <c r="E464" s="1" t="s">
        <v>691</v>
      </c>
      <c r="F464" s="4">
        <v>12611</v>
      </c>
      <c r="G464" s="1" t="s">
        <v>19</v>
      </c>
      <c r="H464" s="1" t="s">
        <v>524</v>
      </c>
      <c r="I464" s="6">
        <v>10</v>
      </c>
      <c r="J464" s="6">
        <v>45043</v>
      </c>
      <c r="K464" s="1" t="str">
        <f t="shared" si="7"/>
        <v>305529105121045043</v>
      </c>
      <c r="L464" s="5">
        <v>21</v>
      </c>
      <c r="M464" s="12">
        <v>0</v>
      </c>
      <c r="N464" s="12">
        <v>27512000</v>
      </c>
      <c r="O464" s="12">
        <v>5777520</v>
      </c>
      <c r="P464" s="12">
        <v>34665120</v>
      </c>
      <c r="Q464" s="1" t="s">
        <v>15</v>
      </c>
      <c r="R464" s="5">
        <v>550240</v>
      </c>
      <c r="S464">
        <f>VLOOKUP(K464,'MIS COMPROBANTES'!E:Q,13,FALSE)</f>
        <v>34665120</v>
      </c>
    </row>
    <row r="465" spans="1:19" x14ac:dyDescent="0.25">
      <c r="A465" s="3">
        <v>45470</v>
      </c>
      <c r="B465" s="1" t="s">
        <v>522</v>
      </c>
      <c r="C465" s="1" t="s">
        <v>523</v>
      </c>
      <c r="D465" s="1" t="s">
        <v>18</v>
      </c>
      <c r="E465" s="1" t="s">
        <v>691</v>
      </c>
      <c r="F465" s="4">
        <v>12611</v>
      </c>
      <c r="G465" s="1" t="s">
        <v>19</v>
      </c>
      <c r="H465" s="1" t="s">
        <v>524</v>
      </c>
      <c r="I465" s="6">
        <v>10</v>
      </c>
      <c r="J465" s="6">
        <v>45043</v>
      </c>
      <c r="K465" s="1" t="str">
        <f t="shared" si="7"/>
        <v>305529105121045043</v>
      </c>
      <c r="L465" s="5">
        <v>3</v>
      </c>
      <c r="M465" s="12">
        <v>0</v>
      </c>
      <c r="N465" s="12">
        <v>0</v>
      </c>
      <c r="O465" s="12">
        <v>825360</v>
      </c>
      <c r="P465" s="12">
        <v>0</v>
      </c>
      <c r="Q465" s="1" t="s">
        <v>15</v>
      </c>
      <c r="R465" s="5">
        <v>0</v>
      </c>
      <c r="S465">
        <f>VLOOKUP(K465,'MIS COMPROBANTES'!E:Q,13,FALSE)</f>
        <v>34665120</v>
      </c>
    </row>
    <row r="466" spans="1:19" x14ac:dyDescent="0.25">
      <c r="A466" s="3">
        <v>45470</v>
      </c>
      <c r="B466" s="1" t="s">
        <v>318</v>
      </c>
      <c r="C466" s="1" t="s">
        <v>319</v>
      </c>
      <c r="D466" s="1" t="s">
        <v>18</v>
      </c>
      <c r="E466" s="1" t="s">
        <v>658</v>
      </c>
      <c r="F466" s="4">
        <v>12658</v>
      </c>
      <c r="G466" s="1" t="s">
        <v>19</v>
      </c>
      <c r="H466" s="1" t="s">
        <v>525</v>
      </c>
      <c r="I466" s="6">
        <v>10</v>
      </c>
      <c r="J466" s="6">
        <v>77605</v>
      </c>
      <c r="K466" s="1" t="str">
        <f t="shared" si="7"/>
        <v>307091141031077605</v>
      </c>
      <c r="L466" s="5">
        <v>21</v>
      </c>
      <c r="M466" s="12">
        <v>2274.7199999999998</v>
      </c>
      <c r="N466" s="12">
        <v>14648.96</v>
      </c>
      <c r="O466" s="12">
        <v>3076.28</v>
      </c>
      <c r="P466" s="12">
        <v>19999.96</v>
      </c>
      <c r="Q466" s="1" t="s">
        <v>15</v>
      </c>
      <c r="R466" s="5">
        <v>0</v>
      </c>
      <c r="S466" t="e">
        <f>VLOOKUP(K466,'MIS COMPROBANTES'!E:Q,13,FALSE)</f>
        <v>#N/A</v>
      </c>
    </row>
    <row r="467" spans="1:19" x14ac:dyDescent="0.25">
      <c r="A467" s="3">
        <v>45470</v>
      </c>
      <c r="B467" s="1" t="s">
        <v>318</v>
      </c>
      <c r="C467" s="1" t="s">
        <v>319</v>
      </c>
      <c r="D467" s="1" t="s">
        <v>18</v>
      </c>
      <c r="E467" s="1" t="s">
        <v>658</v>
      </c>
      <c r="F467" s="4">
        <v>12689</v>
      </c>
      <c r="G467" s="1" t="s">
        <v>19</v>
      </c>
      <c r="H467" s="1" t="s">
        <v>526</v>
      </c>
      <c r="I467" s="6">
        <v>12</v>
      </c>
      <c r="J467" s="6">
        <v>48518</v>
      </c>
      <c r="K467" s="1" t="str">
        <f t="shared" si="7"/>
        <v>307091141031248518</v>
      </c>
      <c r="L467" s="5">
        <v>21</v>
      </c>
      <c r="M467" s="12">
        <v>1495.23</v>
      </c>
      <c r="N467" s="12">
        <v>15293.16</v>
      </c>
      <c r="O467" s="12">
        <v>3211.56</v>
      </c>
      <c r="P467" s="12">
        <v>19999.95</v>
      </c>
      <c r="Q467" s="1" t="s">
        <v>15</v>
      </c>
      <c r="R467" s="5">
        <v>0</v>
      </c>
      <c r="S467" t="e">
        <f>VLOOKUP(K467,'MIS COMPROBANTES'!E:Q,13,FALSE)</f>
        <v>#N/A</v>
      </c>
    </row>
    <row r="468" spans="1:19" x14ac:dyDescent="0.25">
      <c r="A468" s="3">
        <v>45470</v>
      </c>
      <c r="B468" s="1" t="s">
        <v>255</v>
      </c>
      <c r="C468" s="1" t="s">
        <v>256</v>
      </c>
      <c r="D468" s="1" t="s">
        <v>18</v>
      </c>
      <c r="E468" s="1" t="s">
        <v>646</v>
      </c>
      <c r="F468" s="4">
        <v>12784</v>
      </c>
      <c r="G468" s="1" t="s">
        <v>19</v>
      </c>
      <c r="H468" s="1" t="s">
        <v>527</v>
      </c>
      <c r="I468" s="6">
        <v>12</v>
      </c>
      <c r="J468" s="6">
        <v>54848</v>
      </c>
      <c r="K468" s="1" t="str">
        <f t="shared" si="7"/>
        <v>307089380211254848</v>
      </c>
      <c r="L468" s="5">
        <v>21</v>
      </c>
      <c r="M468" s="12">
        <v>0</v>
      </c>
      <c r="N468" s="12">
        <v>5605480</v>
      </c>
      <c r="O468" s="12">
        <v>1177150.8</v>
      </c>
      <c r="P468" s="12">
        <v>6894740.4000000004</v>
      </c>
      <c r="Q468" s="1" t="s">
        <v>15</v>
      </c>
      <c r="R468" s="5">
        <v>112109.6</v>
      </c>
      <c r="S468">
        <f>VLOOKUP(K468,'MIS COMPROBANTES'!E:Q,13,FALSE)</f>
        <v>6894740.4000000004</v>
      </c>
    </row>
    <row r="469" spans="1:19" x14ac:dyDescent="0.25">
      <c r="A469" s="3">
        <v>45470</v>
      </c>
      <c r="B469" s="1" t="s">
        <v>226</v>
      </c>
      <c r="C469" s="1" t="s">
        <v>227</v>
      </c>
      <c r="D469" s="1" t="s">
        <v>18</v>
      </c>
      <c r="E469" s="1" t="s">
        <v>639</v>
      </c>
      <c r="F469" s="4">
        <v>12867</v>
      </c>
      <c r="G469" s="1" t="s">
        <v>19</v>
      </c>
      <c r="H469" s="1" t="s">
        <v>528</v>
      </c>
      <c r="I469" s="6">
        <v>18</v>
      </c>
      <c r="J469" s="6">
        <v>5797</v>
      </c>
      <c r="K469" s="1" t="str">
        <f t="shared" si="7"/>
        <v>30624419193185797</v>
      </c>
      <c r="L469" s="5">
        <v>21</v>
      </c>
      <c r="M469" s="12">
        <v>0</v>
      </c>
      <c r="N469" s="12">
        <v>6720000</v>
      </c>
      <c r="O469" s="12">
        <v>1411200</v>
      </c>
      <c r="P469" s="12">
        <v>8467200</v>
      </c>
      <c r="Q469" s="1" t="s">
        <v>15</v>
      </c>
      <c r="R469" s="5">
        <v>134400</v>
      </c>
      <c r="S469">
        <f>VLOOKUP(K469,'MIS COMPROBANTES'!E:Q,13,FALSE)</f>
        <v>8467200</v>
      </c>
    </row>
    <row r="470" spans="1:19" x14ac:dyDescent="0.25">
      <c r="A470" s="3">
        <v>45470</v>
      </c>
      <c r="B470" s="1" t="s">
        <v>226</v>
      </c>
      <c r="C470" s="1" t="s">
        <v>227</v>
      </c>
      <c r="D470" s="1" t="s">
        <v>18</v>
      </c>
      <c r="E470" s="1" t="s">
        <v>639</v>
      </c>
      <c r="F470" s="4">
        <v>12867</v>
      </c>
      <c r="G470" s="1" t="s">
        <v>19</v>
      </c>
      <c r="H470" s="1" t="s">
        <v>528</v>
      </c>
      <c r="I470" s="6">
        <v>18</v>
      </c>
      <c r="J470" s="6">
        <v>5797</v>
      </c>
      <c r="K470" s="1" t="str">
        <f t="shared" si="7"/>
        <v>30624419193185797</v>
      </c>
      <c r="L470" s="5">
        <v>3</v>
      </c>
      <c r="M470" s="12">
        <v>0</v>
      </c>
      <c r="N470" s="12">
        <v>0</v>
      </c>
      <c r="O470" s="12">
        <v>201600</v>
      </c>
      <c r="P470" s="12">
        <v>0</v>
      </c>
      <c r="Q470" s="1" t="s">
        <v>15</v>
      </c>
      <c r="R470" s="5">
        <v>0</v>
      </c>
      <c r="S470">
        <f>VLOOKUP(K470,'MIS COMPROBANTES'!E:Q,13,FALSE)</f>
        <v>8467200</v>
      </c>
    </row>
    <row r="471" spans="1:19" x14ac:dyDescent="0.25">
      <c r="A471" s="3">
        <v>45470</v>
      </c>
      <c r="B471" s="1" t="s">
        <v>338</v>
      </c>
      <c r="C471" s="1" t="s">
        <v>339</v>
      </c>
      <c r="D471" s="1" t="s">
        <v>18</v>
      </c>
      <c r="E471" s="1" t="s">
        <v>662</v>
      </c>
      <c r="F471" s="4">
        <v>12610</v>
      </c>
      <c r="G471" s="1" t="s">
        <v>19</v>
      </c>
      <c r="H471" s="1" t="s">
        <v>529</v>
      </c>
      <c r="I471" s="6">
        <v>20</v>
      </c>
      <c r="J471" s="6">
        <v>1765</v>
      </c>
      <c r="K471" s="1" t="str">
        <f t="shared" si="7"/>
        <v>30594465497201765</v>
      </c>
      <c r="L471" s="5">
        <v>21</v>
      </c>
      <c r="M471" s="12">
        <v>0</v>
      </c>
      <c r="N471" s="12">
        <v>1042471.76</v>
      </c>
      <c r="O471" s="12">
        <v>218919.07</v>
      </c>
      <c r="P471" s="12">
        <v>1261390.83</v>
      </c>
      <c r="Q471" s="1" t="s">
        <v>15</v>
      </c>
      <c r="R471" s="5">
        <v>0</v>
      </c>
      <c r="S471">
        <f>VLOOKUP(K471,'MIS COMPROBANTES'!E:Q,13,FALSE)</f>
        <v>1261390.83</v>
      </c>
    </row>
    <row r="472" spans="1:19" x14ac:dyDescent="0.25">
      <c r="A472" s="3">
        <v>45470</v>
      </c>
      <c r="B472" s="1" t="s">
        <v>29</v>
      </c>
      <c r="C472" s="1" t="s">
        <v>30</v>
      </c>
      <c r="D472" s="1" t="s">
        <v>18</v>
      </c>
      <c r="E472" s="1" t="s">
        <v>587</v>
      </c>
      <c r="F472" s="4">
        <v>12729</v>
      </c>
      <c r="G472" s="1" t="s">
        <v>19</v>
      </c>
      <c r="H472" s="1" t="s">
        <v>530</v>
      </c>
      <c r="I472" s="6">
        <v>161</v>
      </c>
      <c r="J472" s="6">
        <v>201030</v>
      </c>
      <c r="K472" s="1" t="str">
        <f t="shared" si="7"/>
        <v>30566108352161201030</v>
      </c>
      <c r="L472" s="5">
        <v>21</v>
      </c>
      <c r="M472" s="12">
        <v>0</v>
      </c>
      <c r="N472" s="12">
        <v>4082880.26</v>
      </c>
      <c r="O472" s="12">
        <v>857404.85</v>
      </c>
      <c r="P472" s="12">
        <v>5124014.7300000004</v>
      </c>
      <c r="Q472" s="1" t="s">
        <v>15</v>
      </c>
      <c r="R472" s="5">
        <v>183729.62</v>
      </c>
      <c r="S472">
        <f>VLOOKUP(K472,'MIS COMPROBANTES'!E:Q,13,FALSE)</f>
        <v>5124014.7300000004</v>
      </c>
    </row>
    <row r="473" spans="1:19" x14ac:dyDescent="0.25">
      <c r="A473" s="3">
        <v>45470</v>
      </c>
      <c r="B473" s="1" t="s">
        <v>44</v>
      </c>
      <c r="C473" s="1" t="s">
        <v>45</v>
      </c>
      <c r="D473" s="1" t="s">
        <v>18</v>
      </c>
      <c r="E473" s="1" t="s">
        <v>591</v>
      </c>
      <c r="F473" s="4">
        <v>12592</v>
      </c>
      <c r="G473" s="1" t="s">
        <v>19</v>
      </c>
      <c r="H473" s="1" t="s">
        <v>531</v>
      </c>
      <c r="I473" s="6">
        <v>622</v>
      </c>
      <c r="J473" s="6">
        <v>291059</v>
      </c>
      <c r="K473" s="1" t="str">
        <f t="shared" si="7"/>
        <v>30682032630622291059</v>
      </c>
      <c r="L473" s="5">
        <v>21</v>
      </c>
      <c r="M473" s="12">
        <v>0</v>
      </c>
      <c r="N473" s="12">
        <v>696319.06</v>
      </c>
      <c r="O473" s="12">
        <v>146227</v>
      </c>
      <c r="P473" s="12">
        <v>894769.99</v>
      </c>
      <c r="Q473" s="1" t="s">
        <v>15</v>
      </c>
      <c r="R473" s="5">
        <v>31334.36</v>
      </c>
      <c r="S473">
        <f>VLOOKUP(K473,'MIS COMPROBANTES'!E:Q,13,FALSE)</f>
        <v>894769.99</v>
      </c>
    </row>
    <row r="474" spans="1:19" x14ac:dyDescent="0.25">
      <c r="A474" s="3">
        <v>45470</v>
      </c>
      <c r="B474" s="1" t="s">
        <v>44</v>
      </c>
      <c r="C474" s="1" t="s">
        <v>45</v>
      </c>
      <c r="D474" s="1" t="s">
        <v>18</v>
      </c>
      <c r="E474" s="1" t="s">
        <v>591</v>
      </c>
      <c r="F474" s="4">
        <v>12592</v>
      </c>
      <c r="G474" s="1" t="s">
        <v>19</v>
      </c>
      <c r="H474" s="1" t="s">
        <v>531</v>
      </c>
      <c r="I474" s="6">
        <v>622</v>
      </c>
      <c r="J474" s="6">
        <v>291059</v>
      </c>
      <c r="K474" s="1" t="str">
        <f t="shared" si="7"/>
        <v>30682032630622291059</v>
      </c>
      <c r="L474" s="5">
        <v>3</v>
      </c>
      <c r="M474" s="12">
        <v>0</v>
      </c>
      <c r="N474" s="12">
        <v>0</v>
      </c>
      <c r="O474" s="12">
        <v>20889.57</v>
      </c>
      <c r="P474" s="12">
        <v>0</v>
      </c>
      <c r="Q474" s="1" t="s">
        <v>15</v>
      </c>
      <c r="R474" s="5">
        <v>0</v>
      </c>
      <c r="S474">
        <f>VLOOKUP(K474,'MIS COMPROBANTES'!E:Q,13,FALSE)</f>
        <v>894769.99</v>
      </c>
    </row>
    <row r="475" spans="1:19" x14ac:dyDescent="0.25">
      <c r="A475" s="3">
        <v>45470</v>
      </c>
      <c r="B475" s="1" t="s">
        <v>532</v>
      </c>
      <c r="C475" s="1" t="s">
        <v>533</v>
      </c>
      <c r="D475" s="1" t="s">
        <v>18</v>
      </c>
      <c r="E475" s="1" t="s">
        <v>692</v>
      </c>
      <c r="F475" s="4">
        <v>12688</v>
      </c>
      <c r="G475" s="1" t="s">
        <v>19</v>
      </c>
      <c r="H475" s="1" t="s">
        <v>534</v>
      </c>
      <c r="I475" s="6">
        <v>2034</v>
      </c>
      <c r="J475" s="6">
        <v>156211</v>
      </c>
      <c r="K475" s="1" t="str">
        <f t="shared" si="7"/>
        <v>305161866702034156211</v>
      </c>
      <c r="L475" s="5">
        <v>21</v>
      </c>
      <c r="M475" s="12">
        <v>9789.76</v>
      </c>
      <c r="N475" s="12">
        <v>107942.33</v>
      </c>
      <c r="O475" s="12">
        <v>22667.89</v>
      </c>
      <c r="P475" s="12">
        <v>148936.19</v>
      </c>
      <c r="Q475" s="1" t="s">
        <v>15</v>
      </c>
      <c r="R475" s="5">
        <v>5297.94</v>
      </c>
      <c r="S475">
        <f>VLOOKUP(K475,'MIS COMPROBANTES'!E:Q,13,FALSE)</f>
        <v>148936.18</v>
      </c>
    </row>
    <row r="476" spans="1:19" x14ac:dyDescent="0.25">
      <c r="A476" s="3">
        <v>45470</v>
      </c>
      <c r="B476" s="1" t="s">
        <v>532</v>
      </c>
      <c r="C476" s="1" t="s">
        <v>533</v>
      </c>
      <c r="D476" s="1" t="s">
        <v>18</v>
      </c>
      <c r="E476" s="1" t="s">
        <v>692</v>
      </c>
      <c r="F476" s="4">
        <v>12688</v>
      </c>
      <c r="G476" s="1" t="s">
        <v>19</v>
      </c>
      <c r="H476" s="1" t="s">
        <v>534</v>
      </c>
      <c r="I476" s="6">
        <v>2034</v>
      </c>
      <c r="J476" s="6">
        <v>156211</v>
      </c>
      <c r="K476" s="1" t="str">
        <f t="shared" si="7"/>
        <v>305161866702034156211</v>
      </c>
      <c r="L476" s="5">
        <v>3</v>
      </c>
      <c r="M476" s="12">
        <v>0</v>
      </c>
      <c r="N476" s="12">
        <v>0</v>
      </c>
      <c r="O476" s="12">
        <v>3238.27</v>
      </c>
      <c r="P476" s="12">
        <v>0</v>
      </c>
      <c r="Q476" s="1" t="s">
        <v>15</v>
      </c>
      <c r="R476" s="5">
        <v>0</v>
      </c>
      <c r="S476">
        <f>VLOOKUP(K476,'MIS COMPROBANTES'!E:Q,13,FALSE)</f>
        <v>148936.18</v>
      </c>
    </row>
    <row r="477" spans="1:19" x14ac:dyDescent="0.25">
      <c r="A477" s="3">
        <v>45470</v>
      </c>
      <c r="B477" s="1" t="s">
        <v>129</v>
      </c>
      <c r="C477" s="1" t="s">
        <v>130</v>
      </c>
      <c r="D477" s="1" t="s">
        <v>18</v>
      </c>
      <c r="E477" s="1" t="s">
        <v>615</v>
      </c>
      <c r="F477" s="4">
        <v>12595</v>
      </c>
      <c r="G477" s="1" t="s">
        <v>19</v>
      </c>
      <c r="H477" s="1" t="s">
        <v>535</v>
      </c>
      <c r="I477" s="6">
        <v>6004</v>
      </c>
      <c r="J477" s="6">
        <v>3669438</v>
      </c>
      <c r="K477" s="1" t="str">
        <f t="shared" si="7"/>
        <v>3050111624260043669438</v>
      </c>
      <c r="L477" s="5">
        <v>21</v>
      </c>
      <c r="M477" s="12">
        <v>0</v>
      </c>
      <c r="N477" s="12">
        <v>438245.41</v>
      </c>
      <c r="O477" s="12">
        <v>92031.54</v>
      </c>
      <c r="P477" s="12">
        <v>552189.22</v>
      </c>
      <c r="Q477" s="1" t="s">
        <v>15</v>
      </c>
      <c r="R477" s="5">
        <v>8764.91</v>
      </c>
      <c r="S477">
        <f>VLOOKUP(K477,'MIS COMPROBANTES'!E:Q,13,FALSE)</f>
        <v>552189.22</v>
      </c>
    </row>
    <row r="478" spans="1:19" x14ac:dyDescent="0.25">
      <c r="A478" s="3">
        <v>45470</v>
      </c>
      <c r="B478" s="1" t="s">
        <v>129</v>
      </c>
      <c r="C478" s="1" t="s">
        <v>130</v>
      </c>
      <c r="D478" s="1" t="s">
        <v>18</v>
      </c>
      <c r="E478" s="1" t="s">
        <v>615</v>
      </c>
      <c r="F478" s="4">
        <v>12595</v>
      </c>
      <c r="G478" s="1" t="s">
        <v>19</v>
      </c>
      <c r="H478" s="1" t="s">
        <v>535</v>
      </c>
      <c r="I478" s="6">
        <v>6004</v>
      </c>
      <c r="J478" s="6">
        <v>3669438</v>
      </c>
      <c r="K478" s="1" t="str">
        <f t="shared" si="7"/>
        <v>3050111624260043669438</v>
      </c>
      <c r="L478" s="5">
        <v>3</v>
      </c>
      <c r="M478" s="12">
        <v>0</v>
      </c>
      <c r="N478" s="12">
        <v>0</v>
      </c>
      <c r="O478" s="12">
        <v>13147.36</v>
      </c>
      <c r="P478" s="12">
        <v>0</v>
      </c>
      <c r="Q478" s="1" t="s">
        <v>15</v>
      </c>
      <c r="R478" s="5">
        <v>0</v>
      </c>
      <c r="S478">
        <f>VLOOKUP(K478,'MIS COMPROBANTES'!E:Q,13,FALSE)</f>
        <v>552189.22</v>
      </c>
    </row>
    <row r="479" spans="1:19" x14ac:dyDescent="0.25">
      <c r="A479" s="3">
        <v>45470</v>
      </c>
      <c r="B479" s="1" t="s">
        <v>53</v>
      </c>
      <c r="C479" s="1" t="s">
        <v>54</v>
      </c>
      <c r="D479" s="1" t="s">
        <v>18</v>
      </c>
      <c r="E479" s="1" t="s">
        <v>594</v>
      </c>
      <c r="F479" s="4">
        <v>12594</v>
      </c>
      <c r="G479" s="1" t="s">
        <v>19</v>
      </c>
      <c r="H479" s="1" t="s">
        <v>536</v>
      </c>
      <c r="I479" s="6">
        <v>6156</v>
      </c>
      <c r="J479" s="6">
        <v>6836277</v>
      </c>
      <c r="K479" s="1" t="str">
        <f t="shared" si="7"/>
        <v>3054724233161566836277</v>
      </c>
      <c r="L479" s="5">
        <v>21</v>
      </c>
      <c r="M479" s="12">
        <v>0</v>
      </c>
      <c r="N479" s="12">
        <v>56843.16</v>
      </c>
      <c r="O479" s="12">
        <v>11937.06</v>
      </c>
      <c r="P479" s="12">
        <v>71003.009999999995</v>
      </c>
      <c r="Q479" s="1" t="s">
        <v>15</v>
      </c>
      <c r="R479" s="5">
        <v>1136.8599999999999</v>
      </c>
      <c r="S479">
        <f>VLOOKUP(K479,'MIS COMPROBANTES'!E:Q,13,FALSE)</f>
        <v>71003.009999999995</v>
      </c>
    </row>
    <row r="480" spans="1:19" x14ac:dyDescent="0.25">
      <c r="A480" s="3">
        <v>45470</v>
      </c>
      <c r="B480" s="1" t="s">
        <v>53</v>
      </c>
      <c r="C480" s="1" t="s">
        <v>54</v>
      </c>
      <c r="D480" s="1" t="s">
        <v>18</v>
      </c>
      <c r="E480" s="1" t="s">
        <v>594</v>
      </c>
      <c r="F480" s="4">
        <v>12594</v>
      </c>
      <c r="G480" s="1" t="s">
        <v>19</v>
      </c>
      <c r="H480" s="1" t="s">
        <v>536</v>
      </c>
      <c r="I480" s="6">
        <v>6156</v>
      </c>
      <c r="J480" s="6">
        <v>6836277</v>
      </c>
      <c r="K480" s="1" t="str">
        <f t="shared" si="7"/>
        <v>3054724233161566836277</v>
      </c>
      <c r="L480" s="5">
        <v>3</v>
      </c>
      <c r="M480" s="12">
        <v>0</v>
      </c>
      <c r="N480" s="12">
        <v>0</v>
      </c>
      <c r="O480" s="12">
        <v>1085.93</v>
      </c>
      <c r="P480" s="12">
        <v>0</v>
      </c>
      <c r="Q480" s="1" t="s">
        <v>15</v>
      </c>
      <c r="R480" s="5">
        <v>0</v>
      </c>
      <c r="S480">
        <f>VLOOKUP(K480,'MIS COMPROBANTES'!E:Q,13,FALSE)</f>
        <v>71003.009999999995</v>
      </c>
    </row>
    <row r="481" spans="1:19" x14ac:dyDescent="0.25">
      <c r="A481" s="3">
        <v>45470</v>
      </c>
      <c r="B481" s="1" t="s">
        <v>537</v>
      </c>
      <c r="C481" s="1" t="s">
        <v>538</v>
      </c>
      <c r="D481" s="1" t="s">
        <v>18</v>
      </c>
      <c r="E481" s="1" t="s">
        <v>693</v>
      </c>
      <c r="F481" s="4">
        <v>12578</v>
      </c>
      <c r="G481" s="1" t="s">
        <v>19</v>
      </c>
      <c r="H481" s="1" t="s">
        <v>539</v>
      </c>
      <c r="I481" s="6">
        <v>5</v>
      </c>
      <c r="J481" s="6">
        <v>39</v>
      </c>
      <c r="K481" s="1" t="str">
        <f t="shared" si="7"/>
        <v>20173190817539</v>
      </c>
      <c r="L481" s="5">
        <v>21</v>
      </c>
      <c r="M481" s="12">
        <v>0</v>
      </c>
      <c r="N481" s="12">
        <v>81000</v>
      </c>
      <c r="O481" s="12">
        <v>17010</v>
      </c>
      <c r="P481" s="12">
        <v>98010</v>
      </c>
      <c r="Q481" s="1" t="s">
        <v>15</v>
      </c>
      <c r="R481" s="5">
        <v>0</v>
      </c>
      <c r="S481">
        <f>VLOOKUP(K481,'MIS COMPROBANTES'!E:Q,13,FALSE)</f>
        <v>98010</v>
      </c>
    </row>
    <row r="482" spans="1:19" x14ac:dyDescent="0.25">
      <c r="A482" s="3">
        <v>45470</v>
      </c>
      <c r="B482" s="1" t="s">
        <v>193</v>
      </c>
      <c r="C482" s="1" t="s">
        <v>194</v>
      </c>
      <c r="D482" s="1" t="s">
        <v>18</v>
      </c>
      <c r="E482" s="1" t="s">
        <v>632</v>
      </c>
      <c r="F482" s="4">
        <v>12573</v>
      </c>
      <c r="G482" s="1" t="s">
        <v>31</v>
      </c>
      <c r="H482" s="1" t="s">
        <v>540</v>
      </c>
      <c r="I482" s="6">
        <v>115</v>
      </c>
      <c r="J482" s="6">
        <v>31665</v>
      </c>
      <c r="K482" s="1" t="str">
        <f t="shared" si="7"/>
        <v>3062964670811531665</v>
      </c>
      <c r="L482" s="5">
        <v>21</v>
      </c>
      <c r="M482" s="12">
        <v>0</v>
      </c>
      <c r="N482" s="12">
        <v>-37174.339999999997</v>
      </c>
      <c r="O482" s="12">
        <v>-7806.61</v>
      </c>
      <c r="P482" s="12">
        <v>-46096.18</v>
      </c>
      <c r="Q482" s="1" t="s">
        <v>15</v>
      </c>
      <c r="R482" s="5">
        <v>0</v>
      </c>
      <c r="S482">
        <f>VLOOKUP(K482,'MIS COMPROBANTES'!E:Q,13,FALSE)</f>
        <v>46096.18</v>
      </c>
    </row>
    <row r="483" spans="1:19" x14ac:dyDescent="0.25">
      <c r="A483" s="3">
        <v>45470</v>
      </c>
      <c r="B483" s="1" t="s">
        <v>193</v>
      </c>
      <c r="C483" s="1" t="s">
        <v>194</v>
      </c>
      <c r="D483" s="1" t="s">
        <v>18</v>
      </c>
      <c r="E483" s="1" t="s">
        <v>632</v>
      </c>
      <c r="F483" s="4">
        <v>12573</v>
      </c>
      <c r="G483" s="1" t="s">
        <v>31</v>
      </c>
      <c r="H483" s="1" t="s">
        <v>540</v>
      </c>
      <c r="I483" s="6">
        <v>115</v>
      </c>
      <c r="J483" s="6">
        <v>31665</v>
      </c>
      <c r="K483" s="1" t="str">
        <f t="shared" si="7"/>
        <v>3062964670811531665</v>
      </c>
      <c r="L483" s="5">
        <v>3</v>
      </c>
      <c r="M483" s="12">
        <v>0</v>
      </c>
      <c r="N483" s="12">
        <v>0</v>
      </c>
      <c r="O483" s="12">
        <v>-1115.23</v>
      </c>
      <c r="P483" s="12">
        <v>0</v>
      </c>
      <c r="Q483" s="1" t="s">
        <v>15</v>
      </c>
      <c r="R483" s="5">
        <v>0</v>
      </c>
      <c r="S483">
        <f>VLOOKUP(K483,'MIS COMPROBANTES'!E:Q,13,FALSE)</f>
        <v>46096.18</v>
      </c>
    </row>
    <row r="484" spans="1:19" x14ac:dyDescent="0.25">
      <c r="A484" s="3">
        <v>45470</v>
      </c>
      <c r="B484" s="1" t="s">
        <v>193</v>
      </c>
      <c r="C484" s="1" t="s">
        <v>194</v>
      </c>
      <c r="D484" s="1" t="s">
        <v>18</v>
      </c>
      <c r="E484" s="1" t="s">
        <v>632</v>
      </c>
      <c r="F484" s="4">
        <v>12839</v>
      </c>
      <c r="G484" s="1" t="s">
        <v>31</v>
      </c>
      <c r="H484" s="1" t="s">
        <v>541</v>
      </c>
      <c r="I484" s="6">
        <v>115</v>
      </c>
      <c r="J484" s="6">
        <v>31671</v>
      </c>
      <c r="K484" s="1" t="str">
        <f t="shared" si="7"/>
        <v>3062964670811531671</v>
      </c>
      <c r="L484" s="5">
        <v>21</v>
      </c>
      <c r="M484" s="12">
        <v>0</v>
      </c>
      <c r="N484" s="12">
        <v>-552691.64</v>
      </c>
      <c r="O484" s="12">
        <v>-116065.24</v>
      </c>
      <c r="P484" s="12">
        <v>-685337.63</v>
      </c>
      <c r="Q484" s="1" t="s">
        <v>15</v>
      </c>
      <c r="R484" s="5">
        <v>0</v>
      </c>
      <c r="S484">
        <f>VLOOKUP(K484,'MIS COMPROBANTES'!E:Q,13,FALSE)</f>
        <v>685337.63</v>
      </c>
    </row>
    <row r="485" spans="1:19" x14ac:dyDescent="0.25">
      <c r="A485" s="3">
        <v>45470</v>
      </c>
      <c r="B485" s="1" t="s">
        <v>193</v>
      </c>
      <c r="C485" s="1" t="s">
        <v>194</v>
      </c>
      <c r="D485" s="1" t="s">
        <v>18</v>
      </c>
      <c r="E485" s="1" t="s">
        <v>632</v>
      </c>
      <c r="F485" s="4">
        <v>12839</v>
      </c>
      <c r="G485" s="1" t="s">
        <v>31</v>
      </c>
      <c r="H485" s="1" t="s">
        <v>541</v>
      </c>
      <c r="I485" s="6">
        <v>115</v>
      </c>
      <c r="J485" s="6">
        <v>31671</v>
      </c>
      <c r="K485" s="1" t="str">
        <f t="shared" si="7"/>
        <v>3062964670811531671</v>
      </c>
      <c r="L485" s="5">
        <v>3</v>
      </c>
      <c r="M485" s="12">
        <v>0</v>
      </c>
      <c r="N485" s="12">
        <v>0</v>
      </c>
      <c r="O485" s="12">
        <v>-16580.75</v>
      </c>
      <c r="P485" s="12">
        <v>0</v>
      </c>
      <c r="Q485" s="1" t="s">
        <v>15</v>
      </c>
      <c r="R485" s="5">
        <v>0</v>
      </c>
      <c r="S485">
        <f>VLOOKUP(K485,'MIS COMPROBANTES'!E:Q,13,FALSE)</f>
        <v>685337.63</v>
      </c>
    </row>
    <row r="486" spans="1:19" x14ac:dyDescent="0.25">
      <c r="A486" s="3">
        <v>45470</v>
      </c>
      <c r="B486" s="1" t="s">
        <v>193</v>
      </c>
      <c r="C486" s="1" t="s">
        <v>194</v>
      </c>
      <c r="D486" s="1" t="s">
        <v>18</v>
      </c>
      <c r="E486" s="1" t="s">
        <v>632</v>
      </c>
      <c r="F486" s="4">
        <v>12868</v>
      </c>
      <c r="G486" s="1" t="s">
        <v>31</v>
      </c>
      <c r="H486" s="1" t="s">
        <v>542</v>
      </c>
      <c r="I486" s="6">
        <v>115</v>
      </c>
      <c r="J486" s="6">
        <v>31685</v>
      </c>
      <c r="K486" s="1" t="str">
        <f t="shared" si="7"/>
        <v>3062964670811531685</v>
      </c>
      <c r="L486" s="5">
        <v>21</v>
      </c>
      <c r="M486" s="12">
        <v>0</v>
      </c>
      <c r="N486" s="12">
        <v>-219132.95</v>
      </c>
      <c r="O486" s="12">
        <v>-46017.919999999998</v>
      </c>
      <c r="P486" s="12">
        <v>-265150.87</v>
      </c>
      <c r="Q486" s="1" t="s">
        <v>15</v>
      </c>
      <c r="R486" s="5">
        <v>0</v>
      </c>
      <c r="S486">
        <f>VLOOKUP(K486,'MIS COMPROBANTES'!E:Q,13,FALSE)</f>
        <v>265150.87</v>
      </c>
    </row>
    <row r="487" spans="1:19" x14ac:dyDescent="0.25">
      <c r="A487" s="3">
        <v>45470</v>
      </c>
      <c r="B487" s="1" t="s">
        <v>53</v>
      </c>
      <c r="C487" s="1" t="s">
        <v>54</v>
      </c>
      <c r="D487" s="1" t="s">
        <v>18</v>
      </c>
      <c r="E487" s="1" t="s">
        <v>594</v>
      </c>
      <c r="F487" s="4">
        <v>12824</v>
      </c>
      <c r="G487" s="1" t="s">
        <v>31</v>
      </c>
      <c r="H487" s="1" t="s">
        <v>543</v>
      </c>
      <c r="I487" s="6">
        <v>6162</v>
      </c>
      <c r="J487" s="6">
        <v>41536</v>
      </c>
      <c r="K487" s="1" t="str">
        <f t="shared" si="7"/>
        <v>30547242331616241536</v>
      </c>
      <c r="L487" s="5">
        <v>21</v>
      </c>
      <c r="M487" s="12">
        <v>0</v>
      </c>
      <c r="N487" s="12">
        <v>-99550.8</v>
      </c>
      <c r="O487" s="12">
        <v>-20905.669999999998</v>
      </c>
      <c r="P487" s="12">
        <v>-120456.47</v>
      </c>
      <c r="Q487" s="1" t="s">
        <v>15</v>
      </c>
      <c r="R487" s="5">
        <v>0</v>
      </c>
      <c r="S487">
        <f>VLOOKUP(K487,'MIS COMPROBANTES'!E:Q,13,FALSE)</f>
        <v>120456.47</v>
      </c>
    </row>
    <row r="488" spans="1:19" x14ac:dyDescent="0.25">
      <c r="A488" s="3">
        <v>45471</v>
      </c>
      <c r="B488" s="1" t="s">
        <v>544</v>
      </c>
      <c r="C488" s="1" t="s">
        <v>545</v>
      </c>
      <c r="D488" s="1" t="s">
        <v>546</v>
      </c>
      <c r="E488" s="1" t="s">
        <v>694</v>
      </c>
      <c r="F488" s="4">
        <v>12620</v>
      </c>
      <c r="G488" s="1" t="s">
        <v>19</v>
      </c>
      <c r="H488" s="1" t="s">
        <v>547</v>
      </c>
      <c r="I488" s="6">
        <v>2024</v>
      </c>
      <c r="J488" s="6">
        <v>15528523</v>
      </c>
      <c r="K488" s="1" t="str">
        <f t="shared" si="7"/>
        <v>33999242109202415528523</v>
      </c>
      <c r="L488" s="5">
        <v>0</v>
      </c>
      <c r="M488" s="12">
        <v>1082494.52</v>
      </c>
      <c r="N488" s="12">
        <v>0</v>
      </c>
      <c r="O488" s="12">
        <v>0</v>
      </c>
      <c r="P488" s="12">
        <v>1104144.32</v>
      </c>
      <c r="Q488" s="1" t="s">
        <v>15</v>
      </c>
      <c r="R488" s="5">
        <v>21649.8</v>
      </c>
      <c r="S488" t="e">
        <f>VLOOKUP(K488,'MIS COMPROBANTES'!E:Q,13,FALSE)</f>
        <v>#N/A</v>
      </c>
    </row>
    <row r="489" spans="1:19" x14ac:dyDescent="0.25">
      <c r="A489" s="3">
        <v>45471</v>
      </c>
      <c r="B489" s="1" t="s">
        <v>548</v>
      </c>
      <c r="C489" s="1" t="s">
        <v>549</v>
      </c>
      <c r="D489" s="1" t="s">
        <v>18</v>
      </c>
      <c r="E489" s="1" t="s">
        <v>695</v>
      </c>
      <c r="F489" s="4">
        <v>12725</v>
      </c>
      <c r="G489" s="1" t="s">
        <v>19</v>
      </c>
      <c r="H489" s="1" t="s">
        <v>550</v>
      </c>
      <c r="I489" s="6">
        <v>1</v>
      </c>
      <c r="J489" s="6">
        <v>569</v>
      </c>
      <c r="K489" s="1" t="str">
        <f t="shared" si="7"/>
        <v>337177102291569</v>
      </c>
      <c r="L489" s="5">
        <v>21</v>
      </c>
      <c r="M489" s="12">
        <v>0</v>
      </c>
      <c r="N489" s="12">
        <v>9750000</v>
      </c>
      <c r="O489" s="12">
        <v>2047500</v>
      </c>
      <c r="P489" s="12">
        <v>11797500</v>
      </c>
      <c r="Q489" s="1" t="s">
        <v>15</v>
      </c>
      <c r="R489" s="5">
        <v>0</v>
      </c>
      <c r="S489">
        <f>VLOOKUP(K489,'MIS COMPROBANTES'!E:Q,13,FALSE)</f>
        <v>11797500</v>
      </c>
    </row>
    <row r="490" spans="1:19" x14ac:dyDescent="0.25">
      <c r="A490" s="3">
        <v>45471</v>
      </c>
      <c r="B490" s="1" t="s">
        <v>551</v>
      </c>
      <c r="C490" s="1" t="s">
        <v>552</v>
      </c>
      <c r="D490" s="1" t="s">
        <v>18</v>
      </c>
      <c r="E490" s="1" t="s">
        <v>696</v>
      </c>
      <c r="F490" s="4">
        <v>12670</v>
      </c>
      <c r="G490" s="1" t="s">
        <v>19</v>
      </c>
      <c r="H490" s="1" t="s">
        <v>553</v>
      </c>
      <c r="I490" s="6">
        <v>2</v>
      </c>
      <c r="J490" s="6">
        <v>2221</v>
      </c>
      <c r="K490" s="1" t="str">
        <f t="shared" si="7"/>
        <v>2022241306122221</v>
      </c>
      <c r="L490" s="5">
        <v>21</v>
      </c>
      <c r="M490" s="12">
        <v>0</v>
      </c>
      <c r="N490" s="12">
        <v>39000</v>
      </c>
      <c r="O490" s="12">
        <v>8190</v>
      </c>
      <c r="P490" s="12">
        <v>47190</v>
      </c>
      <c r="Q490" s="1" t="s">
        <v>15</v>
      </c>
      <c r="R490" s="5">
        <v>0</v>
      </c>
      <c r="S490">
        <f>VLOOKUP(K490,'MIS COMPROBANTES'!E:Q,13,FALSE)</f>
        <v>47190</v>
      </c>
    </row>
    <row r="491" spans="1:19" x14ac:dyDescent="0.25">
      <c r="A491" s="3">
        <v>45471</v>
      </c>
      <c r="B491" s="1" t="s">
        <v>554</v>
      </c>
      <c r="C491" s="1" t="s">
        <v>555</v>
      </c>
      <c r="D491" s="1" t="s">
        <v>18</v>
      </c>
      <c r="E491" s="1" t="s">
        <v>697</v>
      </c>
      <c r="F491" s="4">
        <v>12746</v>
      </c>
      <c r="G491" s="1" t="s">
        <v>19</v>
      </c>
      <c r="H491" s="1" t="s">
        <v>556</v>
      </c>
      <c r="I491" s="6">
        <v>4</v>
      </c>
      <c r="J491" s="6">
        <v>4886</v>
      </c>
      <c r="K491" s="1" t="str">
        <f t="shared" si="7"/>
        <v>2005503657944886</v>
      </c>
      <c r="L491" s="5">
        <v>21</v>
      </c>
      <c r="M491" s="12">
        <v>0</v>
      </c>
      <c r="N491" s="12">
        <v>370509.3</v>
      </c>
      <c r="O491" s="12">
        <v>77806.95</v>
      </c>
      <c r="P491" s="12">
        <v>448316.25</v>
      </c>
      <c r="Q491" s="1" t="s">
        <v>15</v>
      </c>
      <c r="R491" s="5">
        <v>0</v>
      </c>
      <c r="S491">
        <f>VLOOKUP(K491,'MIS COMPROBANTES'!E:Q,13,FALSE)</f>
        <v>448316.25</v>
      </c>
    </row>
    <row r="492" spans="1:19" x14ac:dyDescent="0.25">
      <c r="A492" s="3">
        <v>45471</v>
      </c>
      <c r="B492" s="1" t="s">
        <v>229</v>
      </c>
      <c r="C492" s="1" t="s">
        <v>230</v>
      </c>
      <c r="D492" s="1" t="s">
        <v>18</v>
      </c>
      <c r="E492" s="1" t="s">
        <v>640</v>
      </c>
      <c r="F492" s="4">
        <v>12728</v>
      </c>
      <c r="G492" s="1" t="s">
        <v>19</v>
      </c>
      <c r="H492" s="1" t="s">
        <v>557</v>
      </c>
      <c r="I492" s="6">
        <v>46</v>
      </c>
      <c r="J492" s="6">
        <v>403798</v>
      </c>
      <c r="K492" s="1" t="str">
        <f t="shared" si="7"/>
        <v>3053214979346403798</v>
      </c>
      <c r="L492" s="5">
        <v>21</v>
      </c>
      <c r="M492" s="12">
        <v>0</v>
      </c>
      <c r="N492" s="12">
        <v>832500</v>
      </c>
      <c r="O492" s="12">
        <v>174825</v>
      </c>
      <c r="P492" s="12">
        <v>1048950</v>
      </c>
      <c r="Q492" s="1" t="s">
        <v>15</v>
      </c>
      <c r="R492" s="5">
        <v>16650</v>
      </c>
      <c r="S492">
        <f>VLOOKUP(K492,'MIS COMPROBANTES'!E:Q,13,FALSE)</f>
        <v>1048950</v>
      </c>
    </row>
    <row r="493" spans="1:19" x14ac:dyDescent="0.25">
      <c r="A493" s="3">
        <v>45471</v>
      </c>
      <c r="B493" s="1" t="s">
        <v>229</v>
      </c>
      <c r="C493" s="1" t="s">
        <v>230</v>
      </c>
      <c r="D493" s="1" t="s">
        <v>18</v>
      </c>
      <c r="E493" s="1" t="s">
        <v>640</v>
      </c>
      <c r="F493" s="4">
        <v>12728</v>
      </c>
      <c r="G493" s="1" t="s">
        <v>19</v>
      </c>
      <c r="H493" s="1" t="s">
        <v>557</v>
      </c>
      <c r="I493" s="6">
        <v>46</v>
      </c>
      <c r="J493" s="6">
        <v>403798</v>
      </c>
      <c r="K493" s="1" t="str">
        <f t="shared" si="7"/>
        <v>3053214979346403798</v>
      </c>
      <c r="L493" s="5">
        <v>3</v>
      </c>
      <c r="M493" s="12">
        <v>0</v>
      </c>
      <c r="N493" s="12">
        <v>0</v>
      </c>
      <c r="O493" s="12">
        <v>24975</v>
      </c>
      <c r="P493" s="12">
        <v>0</v>
      </c>
      <c r="Q493" s="1" t="s">
        <v>15</v>
      </c>
      <c r="R493" s="5">
        <v>0</v>
      </c>
      <c r="S493">
        <f>VLOOKUP(K493,'MIS COMPROBANTES'!E:Q,13,FALSE)</f>
        <v>1048950</v>
      </c>
    </row>
    <row r="494" spans="1:19" x14ac:dyDescent="0.25">
      <c r="A494" s="3">
        <v>45471</v>
      </c>
      <c r="B494" s="1" t="s">
        <v>151</v>
      </c>
      <c r="C494" s="1" t="s">
        <v>152</v>
      </c>
      <c r="D494" s="1" t="s">
        <v>18</v>
      </c>
      <c r="E494" s="1" t="s">
        <v>621</v>
      </c>
      <c r="F494" s="4">
        <v>12692</v>
      </c>
      <c r="G494" s="1" t="s">
        <v>19</v>
      </c>
      <c r="H494" s="1" t="s">
        <v>558</v>
      </c>
      <c r="I494" s="6">
        <v>100</v>
      </c>
      <c r="J494" s="6">
        <v>33850</v>
      </c>
      <c r="K494" s="1" t="str">
        <f t="shared" si="7"/>
        <v>3071575354110033850</v>
      </c>
      <c r="L494" s="5">
        <v>21</v>
      </c>
      <c r="M494" s="12">
        <v>7841.14</v>
      </c>
      <c r="N494" s="12">
        <v>67899.899999999994</v>
      </c>
      <c r="O494" s="12">
        <v>14258.98</v>
      </c>
      <c r="P494" s="12">
        <v>91358.02</v>
      </c>
      <c r="Q494" s="1" t="s">
        <v>15</v>
      </c>
      <c r="R494" s="5">
        <v>1358</v>
      </c>
      <c r="S494" t="e">
        <f>VLOOKUP(K494,'MIS COMPROBANTES'!E:Q,13,FALSE)</f>
        <v>#N/A</v>
      </c>
    </row>
    <row r="495" spans="1:19" x14ac:dyDescent="0.25">
      <c r="A495" s="3">
        <v>45471</v>
      </c>
      <c r="B495" s="1" t="s">
        <v>518</v>
      </c>
      <c r="C495" s="1" t="s">
        <v>519</v>
      </c>
      <c r="D495" s="1" t="s">
        <v>18</v>
      </c>
      <c r="E495" s="1" t="s">
        <v>690</v>
      </c>
      <c r="F495" s="4">
        <v>12883</v>
      </c>
      <c r="G495" s="1" t="s">
        <v>19</v>
      </c>
      <c r="H495" s="1" t="s">
        <v>559</v>
      </c>
      <c r="I495" s="6">
        <v>110</v>
      </c>
      <c r="J495" s="6">
        <v>89358</v>
      </c>
      <c r="K495" s="1" t="str">
        <f t="shared" si="7"/>
        <v>3071130359211089358</v>
      </c>
      <c r="L495" s="5">
        <v>21</v>
      </c>
      <c r="M495" s="12">
        <v>0</v>
      </c>
      <c r="N495" s="12">
        <v>1118809.76</v>
      </c>
      <c r="O495" s="12">
        <v>234950.05</v>
      </c>
      <c r="P495" s="12">
        <v>1437670.54</v>
      </c>
      <c r="Q495" s="1" t="s">
        <v>15</v>
      </c>
      <c r="R495" s="5">
        <v>50346.43</v>
      </c>
      <c r="S495">
        <f>VLOOKUP(K495,'MIS COMPROBANTES'!E:Q,13,FALSE)</f>
        <v>1437670.54</v>
      </c>
    </row>
    <row r="496" spans="1:19" x14ac:dyDescent="0.25">
      <c r="A496" s="3">
        <v>45471</v>
      </c>
      <c r="B496" s="1" t="s">
        <v>518</v>
      </c>
      <c r="C496" s="1" t="s">
        <v>519</v>
      </c>
      <c r="D496" s="1" t="s">
        <v>18</v>
      </c>
      <c r="E496" s="1" t="s">
        <v>690</v>
      </c>
      <c r="F496" s="4">
        <v>12883</v>
      </c>
      <c r="G496" s="1" t="s">
        <v>19</v>
      </c>
      <c r="H496" s="1" t="s">
        <v>559</v>
      </c>
      <c r="I496" s="6">
        <v>110</v>
      </c>
      <c r="J496" s="6">
        <v>89358</v>
      </c>
      <c r="K496" s="1" t="str">
        <f t="shared" si="7"/>
        <v>3071130359211089358</v>
      </c>
      <c r="L496" s="5">
        <v>3</v>
      </c>
      <c r="M496" s="12">
        <v>0</v>
      </c>
      <c r="N496" s="12">
        <v>0</v>
      </c>
      <c r="O496" s="12">
        <v>33564.300000000003</v>
      </c>
      <c r="P496" s="12">
        <v>0</v>
      </c>
      <c r="Q496" s="1" t="s">
        <v>15</v>
      </c>
      <c r="R496" s="5">
        <v>0</v>
      </c>
      <c r="S496">
        <f>VLOOKUP(K496,'MIS COMPROBANTES'!E:Q,13,FALSE)</f>
        <v>1437670.54</v>
      </c>
    </row>
    <row r="497" spans="1:19" x14ac:dyDescent="0.25">
      <c r="A497" s="3">
        <v>45471</v>
      </c>
      <c r="B497" s="1" t="s">
        <v>518</v>
      </c>
      <c r="C497" s="1" t="s">
        <v>519</v>
      </c>
      <c r="D497" s="1" t="s">
        <v>18</v>
      </c>
      <c r="E497" s="1" t="s">
        <v>690</v>
      </c>
      <c r="F497" s="4">
        <v>12881</v>
      </c>
      <c r="G497" s="1" t="s">
        <v>19</v>
      </c>
      <c r="H497" s="1" t="s">
        <v>560</v>
      </c>
      <c r="I497" s="6">
        <v>110</v>
      </c>
      <c r="J497" s="6">
        <v>89359</v>
      </c>
      <c r="K497" s="1" t="str">
        <f t="shared" si="7"/>
        <v>3071130359211089359</v>
      </c>
      <c r="L497" s="5">
        <v>21</v>
      </c>
      <c r="M497" s="12">
        <v>0</v>
      </c>
      <c r="N497" s="12">
        <v>2058472.4</v>
      </c>
      <c r="O497" s="12">
        <v>432279.2</v>
      </c>
      <c r="P497" s="12">
        <v>2645137.0299999998</v>
      </c>
      <c r="Q497" s="1" t="s">
        <v>15</v>
      </c>
      <c r="R497" s="5">
        <v>92631.26</v>
      </c>
      <c r="S497">
        <f>VLOOKUP(K497,'MIS COMPROBANTES'!E:Q,13,FALSE)</f>
        <v>2645137.0299999998</v>
      </c>
    </row>
    <row r="498" spans="1:19" x14ac:dyDescent="0.25">
      <c r="A498" s="3">
        <v>45471</v>
      </c>
      <c r="B498" s="1" t="s">
        <v>518</v>
      </c>
      <c r="C498" s="1" t="s">
        <v>519</v>
      </c>
      <c r="D498" s="1" t="s">
        <v>18</v>
      </c>
      <c r="E498" s="1" t="s">
        <v>690</v>
      </c>
      <c r="F498" s="4">
        <v>12881</v>
      </c>
      <c r="G498" s="1" t="s">
        <v>19</v>
      </c>
      <c r="H498" s="1" t="s">
        <v>560</v>
      </c>
      <c r="I498" s="6">
        <v>110</v>
      </c>
      <c r="J498" s="6">
        <v>89359</v>
      </c>
      <c r="K498" s="1" t="str">
        <f t="shared" si="7"/>
        <v>3071130359211089359</v>
      </c>
      <c r="L498" s="5">
        <v>3</v>
      </c>
      <c r="M498" s="12">
        <v>0</v>
      </c>
      <c r="N498" s="12">
        <v>0</v>
      </c>
      <c r="O498" s="12">
        <v>61754.17</v>
      </c>
      <c r="P498" s="12">
        <v>0</v>
      </c>
      <c r="Q498" s="1" t="s">
        <v>15</v>
      </c>
      <c r="R498" s="5">
        <v>0</v>
      </c>
      <c r="S498">
        <f>VLOOKUP(K498,'MIS COMPROBANTES'!E:Q,13,FALSE)</f>
        <v>2645137.0299999998</v>
      </c>
    </row>
    <row r="499" spans="1:19" x14ac:dyDescent="0.25">
      <c r="A499" s="3">
        <v>45471</v>
      </c>
      <c r="B499" s="1" t="s">
        <v>518</v>
      </c>
      <c r="C499" s="1" t="s">
        <v>519</v>
      </c>
      <c r="D499" s="1" t="s">
        <v>18</v>
      </c>
      <c r="E499" s="1" t="s">
        <v>690</v>
      </c>
      <c r="F499" s="4">
        <v>12885</v>
      </c>
      <c r="G499" s="1" t="s">
        <v>19</v>
      </c>
      <c r="H499" s="1" t="s">
        <v>561</v>
      </c>
      <c r="I499" s="6">
        <v>110</v>
      </c>
      <c r="J499" s="6">
        <v>89375</v>
      </c>
      <c r="K499" s="1" t="str">
        <f t="shared" si="7"/>
        <v>3071130359211089375</v>
      </c>
      <c r="L499" s="5">
        <v>21</v>
      </c>
      <c r="M499" s="12">
        <v>0</v>
      </c>
      <c r="N499" s="12">
        <v>12597786.84</v>
      </c>
      <c r="O499" s="12">
        <v>2645535.2400000002</v>
      </c>
      <c r="P499" s="12">
        <v>16188156.1</v>
      </c>
      <c r="Q499" s="1" t="s">
        <v>15</v>
      </c>
      <c r="R499" s="5">
        <v>566900.42000000004</v>
      </c>
      <c r="S499">
        <f>VLOOKUP(K499,'MIS COMPROBANTES'!E:Q,13,FALSE)</f>
        <v>16188156.1</v>
      </c>
    </row>
    <row r="500" spans="1:19" x14ac:dyDescent="0.25">
      <c r="A500" s="3">
        <v>45471</v>
      </c>
      <c r="B500" s="1" t="s">
        <v>518</v>
      </c>
      <c r="C500" s="1" t="s">
        <v>519</v>
      </c>
      <c r="D500" s="1" t="s">
        <v>18</v>
      </c>
      <c r="E500" s="1" t="s">
        <v>690</v>
      </c>
      <c r="F500" s="4">
        <v>12885</v>
      </c>
      <c r="G500" s="1" t="s">
        <v>19</v>
      </c>
      <c r="H500" s="1" t="s">
        <v>561</v>
      </c>
      <c r="I500" s="6">
        <v>110</v>
      </c>
      <c r="J500" s="6">
        <v>89375</v>
      </c>
      <c r="K500" s="1" t="str">
        <f t="shared" si="7"/>
        <v>3071130359211089375</v>
      </c>
      <c r="L500" s="5">
        <v>3</v>
      </c>
      <c r="M500" s="12">
        <v>0</v>
      </c>
      <c r="N500" s="12">
        <v>0</v>
      </c>
      <c r="O500" s="12">
        <v>377933.6</v>
      </c>
      <c r="P500" s="12">
        <v>0</v>
      </c>
      <c r="Q500" s="1" t="s">
        <v>15</v>
      </c>
      <c r="R500" s="5">
        <v>0</v>
      </c>
      <c r="S500">
        <f>VLOOKUP(K500,'MIS COMPROBANTES'!E:Q,13,FALSE)</f>
        <v>16188156.1</v>
      </c>
    </row>
    <row r="501" spans="1:19" x14ac:dyDescent="0.25">
      <c r="A501" s="3">
        <v>45471</v>
      </c>
      <c r="B501" s="1" t="s">
        <v>29</v>
      </c>
      <c r="C501" s="1" t="s">
        <v>30</v>
      </c>
      <c r="D501" s="1" t="s">
        <v>18</v>
      </c>
      <c r="E501" s="1" t="s">
        <v>587</v>
      </c>
      <c r="F501" s="4">
        <v>12730</v>
      </c>
      <c r="G501" s="1" t="s">
        <v>19</v>
      </c>
      <c r="H501" s="1" t="s">
        <v>562</v>
      </c>
      <c r="I501" s="6">
        <v>135</v>
      </c>
      <c r="J501" s="6">
        <v>26322</v>
      </c>
      <c r="K501" s="1" t="str">
        <f t="shared" si="7"/>
        <v>3056610835213526322</v>
      </c>
      <c r="L501" s="5">
        <v>21</v>
      </c>
      <c r="M501" s="12">
        <v>0</v>
      </c>
      <c r="N501" s="12">
        <v>17783416.690000001</v>
      </c>
      <c r="O501" s="12">
        <v>3734517.5</v>
      </c>
      <c r="P501" s="12">
        <v>22318187.940000001</v>
      </c>
      <c r="Q501" s="1" t="s">
        <v>15</v>
      </c>
      <c r="R501" s="5">
        <v>800253.75</v>
      </c>
      <c r="S501">
        <f>VLOOKUP(K501,'MIS COMPROBANTES'!E:Q,13,FALSE)</f>
        <v>22318187.940000001</v>
      </c>
    </row>
    <row r="502" spans="1:19" x14ac:dyDescent="0.25">
      <c r="A502" s="3">
        <v>45471</v>
      </c>
      <c r="B502" s="1" t="s">
        <v>261</v>
      </c>
      <c r="C502" s="1" t="s">
        <v>262</v>
      </c>
      <c r="D502" s="1" t="s">
        <v>18</v>
      </c>
      <c r="E502" s="1" t="s">
        <v>648</v>
      </c>
      <c r="F502" s="4">
        <v>12731</v>
      </c>
      <c r="G502" s="1" t="s">
        <v>19</v>
      </c>
      <c r="H502" s="1" t="s">
        <v>563</v>
      </c>
      <c r="I502" s="6">
        <v>437</v>
      </c>
      <c r="J502" s="6">
        <v>1678604</v>
      </c>
      <c r="K502" s="1" t="str">
        <f t="shared" si="7"/>
        <v>305010926964371678604</v>
      </c>
      <c r="L502" s="5">
        <v>21</v>
      </c>
      <c r="M502" s="12">
        <v>0</v>
      </c>
      <c r="N502" s="12">
        <v>2361465.52</v>
      </c>
      <c r="O502" s="12">
        <v>495907.76</v>
      </c>
      <c r="P502" s="12">
        <v>3034483.2</v>
      </c>
      <c r="Q502" s="1" t="s">
        <v>15</v>
      </c>
      <c r="R502" s="5">
        <v>106265.95</v>
      </c>
      <c r="S502">
        <f>VLOOKUP(K502,'MIS COMPROBANTES'!E:Q,13,FALSE)</f>
        <v>3034483.2</v>
      </c>
    </row>
    <row r="503" spans="1:19" x14ac:dyDescent="0.25">
      <c r="A503" s="3">
        <v>45471</v>
      </c>
      <c r="B503" s="1" t="s">
        <v>261</v>
      </c>
      <c r="C503" s="1" t="s">
        <v>262</v>
      </c>
      <c r="D503" s="1" t="s">
        <v>18</v>
      </c>
      <c r="E503" s="1" t="s">
        <v>648</v>
      </c>
      <c r="F503" s="4">
        <v>12731</v>
      </c>
      <c r="G503" s="1" t="s">
        <v>19</v>
      </c>
      <c r="H503" s="1" t="s">
        <v>563</v>
      </c>
      <c r="I503" s="6">
        <v>437</v>
      </c>
      <c r="J503" s="6">
        <v>1678604</v>
      </c>
      <c r="K503" s="1" t="str">
        <f t="shared" si="7"/>
        <v>305010926964371678604</v>
      </c>
      <c r="L503" s="5">
        <v>3</v>
      </c>
      <c r="M503" s="12">
        <v>0</v>
      </c>
      <c r="N503" s="12">
        <v>0</v>
      </c>
      <c r="O503" s="12">
        <v>70843.97</v>
      </c>
      <c r="P503" s="12">
        <v>0</v>
      </c>
      <c r="Q503" s="1" t="s">
        <v>15</v>
      </c>
      <c r="R503" s="5">
        <v>0</v>
      </c>
      <c r="S503">
        <f>VLOOKUP(K503,'MIS COMPROBANTES'!E:Q,13,FALSE)</f>
        <v>3034483.2</v>
      </c>
    </row>
    <row r="504" spans="1:19" x14ac:dyDescent="0.25">
      <c r="A504" s="3">
        <v>45471</v>
      </c>
      <c r="B504" s="1" t="s">
        <v>261</v>
      </c>
      <c r="C504" s="1" t="s">
        <v>262</v>
      </c>
      <c r="D504" s="1" t="s">
        <v>18</v>
      </c>
      <c r="E504" s="1" t="s">
        <v>648</v>
      </c>
      <c r="F504" s="4">
        <v>12732</v>
      </c>
      <c r="G504" s="1" t="s">
        <v>19</v>
      </c>
      <c r="H504" s="1" t="s">
        <v>564</v>
      </c>
      <c r="I504" s="6">
        <v>437</v>
      </c>
      <c r="J504" s="6">
        <v>1678605</v>
      </c>
      <c r="K504" s="1" t="str">
        <f t="shared" si="7"/>
        <v>305010926964371678605</v>
      </c>
      <c r="L504" s="5">
        <v>21</v>
      </c>
      <c r="M504" s="12">
        <v>0</v>
      </c>
      <c r="N504" s="12">
        <v>10680637.439999999</v>
      </c>
      <c r="O504" s="12">
        <v>2242933.87</v>
      </c>
      <c r="P504" s="12">
        <v>13724619.130000001</v>
      </c>
      <c r="Q504" s="1" t="s">
        <v>15</v>
      </c>
      <c r="R504" s="5">
        <v>480628.69</v>
      </c>
      <c r="S504">
        <f>VLOOKUP(K504,'MIS COMPROBANTES'!E:Q,13,FALSE)</f>
        <v>13724619.130000001</v>
      </c>
    </row>
    <row r="505" spans="1:19" x14ac:dyDescent="0.25">
      <c r="A505" s="3">
        <v>45471</v>
      </c>
      <c r="B505" s="1" t="s">
        <v>261</v>
      </c>
      <c r="C505" s="1" t="s">
        <v>262</v>
      </c>
      <c r="D505" s="1" t="s">
        <v>18</v>
      </c>
      <c r="E505" s="1" t="s">
        <v>648</v>
      </c>
      <c r="F505" s="4">
        <v>12732</v>
      </c>
      <c r="G505" s="1" t="s">
        <v>19</v>
      </c>
      <c r="H505" s="1" t="s">
        <v>564</v>
      </c>
      <c r="I505" s="6">
        <v>437</v>
      </c>
      <c r="J505" s="6">
        <v>1678605</v>
      </c>
      <c r="K505" s="1" t="str">
        <f t="shared" si="7"/>
        <v>305010926964371678605</v>
      </c>
      <c r="L505" s="5">
        <v>3</v>
      </c>
      <c r="M505" s="12">
        <v>0</v>
      </c>
      <c r="N505" s="12">
        <v>0</v>
      </c>
      <c r="O505" s="12">
        <v>320419.13</v>
      </c>
      <c r="P505" s="12">
        <v>0</v>
      </c>
      <c r="Q505" s="1" t="s">
        <v>15</v>
      </c>
      <c r="R505" s="5">
        <v>0</v>
      </c>
      <c r="S505">
        <f>VLOOKUP(K505,'MIS COMPROBANTES'!E:Q,13,FALSE)</f>
        <v>13724619.130000001</v>
      </c>
    </row>
    <row r="506" spans="1:19" x14ac:dyDescent="0.25">
      <c r="A506" s="3">
        <v>45471</v>
      </c>
      <c r="B506" s="1" t="s">
        <v>261</v>
      </c>
      <c r="C506" s="1" t="s">
        <v>262</v>
      </c>
      <c r="D506" s="1" t="s">
        <v>18</v>
      </c>
      <c r="E506" s="1" t="s">
        <v>648</v>
      </c>
      <c r="F506" s="4">
        <v>12733</v>
      </c>
      <c r="G506" s="1" t="s">
        <v>19</v>
      </c>
      <c r="H506" s="1" t="s">
        <v>565</v>
      </c>
      <c r="I506" s="6">
        <v>437</v>
      </c>
      <c r="J506" s="6">
        <v>1678606</v>
      </c>
      <c r="K506" s="1" t="str">
        <f t="shared" si="7"/>
        <v>305010926964371678606</v>
      </c>
      <c r="L506" s="5">
        <v>21</v>
      </c>
      <c r="M506" s="12">
        <v>0</v>
      </c>
      <c r="N506" s="12">
        <v>2156049.5499999998</v>
      </c>
      <c r="O506" s="12">
        <v>452770.41</v>
      </c>
      <c r="P506" s="12">
        <v>2770523.68</v>
      </c>
      <c r="Q506" s="1" t="s">
        <v>15</v>
      </c>
      <c r="R506" s="5">
        <v>97022.23</v>
      </c>
      <c r="S506">
        <f>VLOOKUP(K506,'MIS COMPROBANTES'!E:Q,13,FALSE)</f>
        <v>2770523.68</v>
      </c>
    </row>
    <row r="507" spans="1:19" x14ac:dyDescent="0.25">
      <c r="A507" s="3">
        <v>45471</v>
      </c>
      <c r="B507" s="1" t="s">
        <v>261</v>
      </c>
      <c r="C507" s="1" t="s">
        <v>262</v>
      </c>
      <c r="D507" s="1" t="s">
        <v>18</v>
      </c>
      <c r="E507" s="1" t="s">
        <v>648</v>
      </c>
      <c r="F507" s="4">
        <v>12733</v>
      </c>
      <c r="G507" s="1" t="s">
        <v>19</v>
      </c>
      <c r="H507" s="1" t="s">
        <v>565</v>
      </c>
      <c r="I507" s="6">
        <v>437</v>
      </c>
      <c r="J507" s="6">
        <v>1678606</v>
      </c>
      <c r="K507" s="1" t="str">
        <f t="shared" si="7"/>
        <v>305010926964371678606</v>
      </c>
      <c r="L507" s="5">
        <v>3</v>
      </c>
      <c r="M507" s="12">
        <v>0</v>
      </c>
      <c r="N507" s="12">
        <v>0</v>
      </c>
      <c r="O507" s="12">
        <v>64681.49</v>
      </c>
      <c r="P507" s="12">
        <v>0</v>
      </c>
      <c r="Q507" s="1" t="s">
        <v>15</v>
      </c>
      <c r="R507" s="5">
        <v>0</v>
      </c>
      <c r="S507">
        <f>VLOOKUP(K507,'MIS COMPROBANTES'!E:Q,13,FALSE)</f>
        <v>2770523.68</v>
      </c>
    </row>
    <row r="508" spans="1:19" x14ac:dyDescent="0.25">
      <c r="A508" s="3">
        <v>45471</v>
      </c>
      <c r="B508" s="1" t="s">
        <v>97</v>
      </c>
      <c r="C508" s="1" t="s">
        <v>98</v>
      </c>
      <c r="D508" s="1" t="s">
        <v>18</v>
      </c>
      <c r="E508" s="1" t="s">
        <v>607</v>
      </c>
      <c r="F508" s="4">
        <v>12735</v>
      </c>
      <c r="G508" s="1" t="s">
        <v>19</v>
      </c>
      <c r="H508" s="1" t="s">
        <v>566</v>
      </c>
      <c r="I508" s="6">
        <v>2002</v>
      </c>
      <c r="J508" s="6">
        <v>292735</v>
      </c>
      <c r="K508" s="1" t="str">
        <f t="shared" si="7"/>
        <v>305007682622002292735</v>
      </c>
      <c r="L508" s="5">
        <v>21</v>
      </c>
      <c r="M508" s="12">
        <v>0</v>
      </c>
      <c r="N508" s="12">
        <v>6550917.71</v>
      </c>
      <c r="O508" s="12">
        <v>1375692.71</v>
      </c>
      <c r="P508" s="12">
        <v>8417929.25</v>
      </c>
      <c r="Q508" s="1" t="s">
        <v>15</v>
      </c>
      <c r="R508" s="5">
        <v>294791.3</v>
      </c>
      <c r="S508">
        <f>VLOOKUP(K508,'MIS COMPROBANTES'!E:Q,13,FALSE)</f>
        <v>8417929.25</v>
      </c>
    </row>
    <row r="509" spans="1:19" x14ac:dyDescent="0.25">
      <c r="A509" s="3">
        <v>45471</v>
      </c>
      <c r="B509" s="1" t="s">
        <v>97</v>
      </c>
      <c r="C509" s="1" t="s">
        <v>98</v>
      </c>
      <c r="D509" s="1" t="s">
        <v>18</v>
      </c>
      <c r="E509" s="1" t="s">
        <v>607</v>
      </c>
      <c r="F509" s="4">
        <v>12735</v>
      </c>
      <c r="G509" s="1" t="s">
        <v>19</v>
      </c>
      <c r="H509" s="1" t="s">
        <v>566</v>
      </c>
      <c r="I509" s="6">
        <v>2002</v>
      </c>
      <c r="J509" s="6">
        <v>292735</v>
      </c>
      <c r="K509" s="1" t="str">
        <f t="shared" ref="K509:K542" si="8">CONCATENATE(E509,I509,J509)</f>
        <v>305007682622002292735</v>
      </c>
      <c r="L509" s="5">
        <v>3</v>
      </c>
      <c r="M509" s="12">
        <v>0</v>
      </c>
      <c r="N509" s="12">
        <v>0</v>
      </c>
      <c r="O509" s="12">
        <v>196527.53</v>
      </c>
      <c r="P509" s="12">
        <v>0</v>
      </c>
      <c r="Q509" s="1" t="s">
        <v>15</v>
      </c>
      <c r="R509" s="5">
        <v>0</v>
      </c>
      <c r="S509">
        <f>VLOOKUP(K509,'MIS COMPROBANTES'!E:Q,13,FALSE)</f>
        <v>8417929.25</v>
      </c>
    </row>
    <row r="510" spans="1:19" x14ac:dyDescent="0.25">
      <c r="A510" s="3">
        <v>45471</v>
      </c>
      <c r="B510" s="1" t="s">
        <v>175</v>
      </c>
      <c r="C510" s="1" t="s">
        <v>176</v>
      </c>
      <c r="D510" s="1" t="s">
        <v>18</v>
      </c>
      <c r="E510" s="1" t="s">
        <v>627</v>
      </c>
      <c r="F510" s="4">
        <v>12793</v>
      </c>
      <c r="G510" s="1" t="s">
        <v>31</v>
      </c>
      <c r="H510" s="1" t="s">
        <v>567</v>
      </c>
      <c r="I510" s="6">
        <v>1</v>
      </c>
      <c r="J510" s="6">
        <v>399</v>
      </c>
      <c r="K510" s="1" t="str">
        <f t="shared" si="8"/>
        <v>307164230301399</v>
      </c>
      <c r="L510" s="5">
        <v>21</v>
      </c>
      <c r="M510" s="12">
        <v>0</v>
      </c>
      <c r="N510" s="12">
        <v>-20374</v>
      </c>
      <c r="O510" s="12">
        <v>-4278.54</v>
      </c>
      <c r="P510" s="12">
        <v>-24652.54</v>
      </c>
      <c r="Q510" s="1" t="s">
        <v>15</v>
      </c>
      <c r="R510" s="5">
        <v>0</v>
      </c>
      <c r="S510">
        <f>VLOOKUP(K510,'MIS COMPROBANTES'!E:Q,13,FALSE)</f>
        <v>24652.54</v>
      </c>
    </row>
    <row r="511" spans="1:19" x14ac:dyDescent="0.25">
      <c r="A511" s="3">
        <v>45471</v>
      </c>
      <c r="B511" s="1" t="s">
        <v>108</v>
      </c>
      <c r="C511" s="1" t="s">
        <v>109</v>
      </c>
      <c r="D511" s="1" t="s">
        <v>18</v>
      </c>
      <c r="E511" s="1" t="s">
        <v>609</v>
      </c>
      <c r="F511" s="4">
        <v>12598</v>
      </c>
      <c r="G511" s="1" t="s">
        <v>31</v>
      </c>
      <c r="H511" s="1" t="s">
        <v>568</v>
      </c>
      <c r="I511" s="6">
        <v>3</v>
      </c>
      <c r="J511" s="6">
        <v>114</v>
      </c>
      <c r="K511" s="1" t="str">
        <f t="shared" si="8"/>
        <v>307147464363114</v>
      </c>
      <c r="L511" s="5">
        <v>21</v>
      </c>
      <c r="M511" s="12">
        <v>0</v>
      </c>
      <c r="N511" s="12">
        <v>-1691427.88</v>
      </c>
      <c r="O511" s="12">
        <v>-355199.85</v>
      </c>
      <c r="P511" s="12">
        <v>-2046627.73</v>
      </c>
      <c r="Q511" s="1" t="s">
        <v>15</v>
      </c>
      <c r="R511" s="5">
        <v>0</v>
      </c>
      <c r="S511">
        <f>VLOOKUP(K511,'MIS COMPROBANTES'!E:Q,13,FALSE)</f>
        <v>2046627.73</v>
      </c>
    </row>
    <row r="512" spans="1:19" x14ac:dyDescent="0.25">
      <c r="A512" s="3">
        <v>45471</v>
      </c>
      <c r="B512" s="1" t="s">
        <v>518</v>
      </c>
      <c r="C512" s="1" t="s">
        <v>519</v>
      </c>
      <c r="D512" s="1" t="s">
        <v>18</v>
      </c>
      <c r="E512" s="1" t="s">
        <v>690</v>
      </c>
      <c r="F512" s="4">
        <v>12882</v>
      </c>
      <c r="G512" s="1" t="s">
        <v>31</v>
      </c>
      <c r="H512" s="1" t="s">
        <v>569</v>
      </c>
      <c r="I512" s="6">
        <v>110</v>
      </c>
      <c r="J512" s="6">
        <v>95881</v>
      </c>
      <c r="K512" s="1" t="str">
        <f t="shared" si="8"/>
        <v>3071130359211095881</v>
      </c>
      <c r="L512" s="5">
        <v>21</v>
      </c>
      <c r="M512" s="12">
        <v>0</v>
      </c>
      <c r="N512" s="12">
        <v>-121861.57</v>
      </c>
      <c r="O512" s="12">
        <v>-25590.93</v>
      </c>
      <c r="P512" s="12">
        <v>-151108.34</v>
      </c>
      <c r="Q512" s="1" t="s">
        <v>15</v>
      </c>
      <c r="R512" s="5">
        <v>0</v>
      </c>
      <c r="S512">
        <f>VLOOKUP(K512,'MIS COMPROBANTES'!E:Q,13,FALSE)</f>
        <v>151108.34</v>
      </c>
    </row>
    <row r="513" spans="1:19" x14ac:dyDescent="0.25">
      <c r="A513" s="3">
        <v>45471</v>
      </c>
      <c r="B513" s="1" t="s">
        <v>518</v>
      </c>
      <c r="C513" s="1" t="s">
        <v>519</v>
      </c>
      <c r="D513" s="1" t="s">
        <v>18</v>
      </c>
      <c r="E513" s="1" t="s">
        <v>690</v>
      </c>
      <c r="F513" s="4">
        <v>12882</v>
      </c>
      <c r="G513" s="1" t="s">
        <v>31</v>
      </c>
      <c r="H513" s="1" t="s">
        <v>569</v>
      </c>
      <c r="I513" s="6">
        <v>110</v>
      </c>
      <c r="J513" s="6">
        <v>95881</v>
      </c>
      <c r="K513" s="1" t="str">
        <f t="shared" si="8"/>
        <v>3071130359211095881</v>
      </c>
      <c r="L513" s="5">
        <v>3</v>
      </c>
      <c r="M513" s="12">
        <v>0</v>
      </c>
      <c r="N513" s="12">
        <v>0</v>
      </c>
      <c r="O513" s="12">
        <v>-3655.84</v>
      </c>
      <c r="P513" s="12">
        <v>0</v>
      </c>
      <c r="Q513" s="1" t="s">
        <v>15</v>
      </c>
      <c r="R513" s="5">
        <v>0</v>
      </c>
      <c r="S513">
        <f>VLOOKUP(K513,'MIS COMPROBANTES'!E:Q,13,FALSE)</f>
        <v>151108.34</v>
      </c>
    </row>
    <row r="514" spans="1:19" x14ac:dyDescent="0.25">
      <c r="A514" s="3">
        <v>45471</v>
      </c>
      <c r="B514" s="1" t="s">
        <v>518</v>
      </c>
      <c r="C514" s="1" t="s">
        <v>519</v>
      </c>
      <c r="D514" s="1" t="s">
        <v>18</v>
      </c>
      <c r="E514" s="1" t="s">
        <v>690</v>
      </c>
      <c r="F514" s="4">
        <v>12884</v>
      </c>
      <c r="G514" s="1" t="s">
        <v>31</v>
      </c>
      <c r="H514" s="1" t="s">
        <v>570</v>
      </c>
      <c r="I514" s="6">
        <v>110</v>
      </c>
      <c r="J514" s="6">
        <v>95883</v>
      </c>
      <c r="K514" s="1" t="str">
        <f t="shared" si="8"/>
        <v>3071130359211095883</v>
      </c>
      <c r="L514" s="5">
        <v>21</v>
      </c>
      <c r="M514" s="12">
        <v>0</v>
      </c>
      <c r="N514" s="12">
        <v>-66233.539999999994</v>
      </c>
      <c r="O514" s="12">
        <v>-13909.04</v>
      </c>
      <c r="P514" s="12">
        <v>-80142.58</v>
      </c>
      <c r="Q514" s="1" t="s">
        <v>15</v>
      </c>
      <c r="R514" s="5">
        <v>0</v>
      </c>
      <c r="S514">
        <f>VLOOKUP(K514,'MIS COMPROBANTES'!E:Q,13,FALSE)</f>
        <v>80142.58</v>
      </c>
    </row>
    <row r="515" spans="1:19" x14ac:dyDescent="0.25">
      <c r="A515" s="3">
        <v>45471</v>
      </c>
      <c r="B515" s="1" t="s">
        <v>518</v>
      </c>
      <c r="C515" s="1" t="s">
        <v>519</v>
      </c>
      <c r="D515" s="1" t="s">
        <v>18</v>
      </c>
      <c r="E515" s="1" t="s">
        <v>690</v>
      </c>
      <c r="F515" s="4">
        <v>12886</v>
      </c>
      <c r="G515" s="1" t="s">
        <v>31</v>
      </c>
      <c r="H515" s="1" t="s">
        <v>571</v>
      </c>
      <c r="I515" s="6">
        <v>110</v>
      </c>
      <c r="J515" s="6">
        <v>95891</v>
      </c>
      <c r="K515" s="1" t="str">
        <f t="shared" si="8"/>
        <v>3071130359211095891</v>
      </c>
      <c r="L515" s="5">
        <v>21</v>
      </c>
      <c r="M515" s="12">
        <v>0</v>
      </c>
      <c r="N515" s="12">
        <v>-1446346.24</v>
      </c>
      <c r="O515" s="12">
        <v>-303732.71000000002</v>
      </c>
      <c r="P515" s="12">
        <v>-1793469.33</v>
      </c>
      <c r="Q515" s="1" t="s">
        <v>15</v>
      </c>
      <c r="R515" s="5">
        <v>0</v>
      </c>
      <c r="S515">
        <f>VLOOKUP(K515,'MIS COMPROBANTES'!E:Q,13,FALSE)</f>
        <v>1793469.33</v>
      </c>
    </row>
    <row r="516" spans="1:19" x14ac:dyDescent="0.25">
      <c r="A516" s="3">
        <v>45471</v>
      </c>
      <c r="B516" s="1" t="s">
        <v>518</v>
      </c>
      <c r="C516" s="1" t="s">
        <v>519</v>
      </c>
      <c r="D516" s="1" t="s">
        <v>18</v>
      </c>
      <c r="E516" s="1" t="s">
        <v>690</v>
      </c>
      <c r="F516" s="4">
        <v>12886</v>
      </c>
      <c r="G516" s="1" t="s">
        <v>31</v>
      </c>
      <c r="H516" s="1" t="s">
        <v>571</v>
      </c>
      <c r="I516" s="6">
        <v>110</v>
      </c>
      <c r="J516" s="6">
        <v>95891</v>
      </c>
      <c r="K516" s="1" t="str">
        <f t="shared" si="8"/>
        <v>3071130359211095891</v>
      </c>
      <c r="L516" s="5">
        <v>3</v>
      </c>
      <c r="M516" s="12">
        <v>0</v>
      </c>
      <c r="N516" s="12">
        <v>0</v>
      </c>
      <c r="O516" s="12">
        <v>-43390.38</v>
      </c>
      <c r="P516" s="12">
        <v>0</v>
      </c>
      <c r="Q516" s="1" t="s">
        <v>15</v>
      </c>
      <c r="R516" s="5">
        <v>0</v>
      </c>
      <c r="S516">
        <f>VLOOKUP(K516,'MIS COMPROBANTES'!E:Q,13,FALSE)</f>
        <v>1793469.33</v>
      </c>
    </row>
    <row r="517" spans="1:19" x14ac:dyDescent="0.25">
      <c r="A517" s="3">
        <v>45472</v>
      </c>
      <c r="B517" s="1" t="s">
        <v>129</v>
      </c>
      <c r="C517" s="1" t="s">
        <v>130</v>
      </c>
      <c r="D517" s="1" t="s">
        <v>18</v>
      </c>
      <c r="E517" s="1" t="s">
        <v>615</v>
      </c>
      <c r="F517" s="4">
        <v>12822</v>
      </c>
      <c r="G517" s="1" t="s">
        <v>31</v>
      </c>
      <c r="H517" s="1" t="s">
        <v>572</v>
      </c>
      <c r="I517" s="6">
        <v>6010</v>
      </c>
      <c r="J517" s="6">
        <v>56022</v>
      </c>
      <c r="K517" s="1" t="str">
        <f t="shared" si="8"/>
        <v>30501116242601056022</v>
      </c>
      <c r="L517" s="5">
        <v>21</v>
      </c>
      <c r="M517" s="12">
        <v>0</v>
      </c>
      <c r="N517" s="12">
        <v>-159748.20000000001</v>
      </c>
      <c r="O517" s="12">
        <v>-33547.120000000003</v>
      </c>
      <c r="P517" s="12">
        <v>-193295.32</v>
      </c>
      <c r="Q517" s="1" t="s">
        <v>15</v>
      </c>
      <c r="R517" s="5">
        <v>0</v>
      </c>
      <c r="S517">
        <f>VLOOKUP(K517,'MIS COMPROBANTES'!E:Q,13,FALSE)</f>
        <v>193295.32</v>
      </c>
    </row>
    <row r="518" spans="1:19" x14ac:dyDescent="0.25">
      <c r="A518" s="3">
        <v>45473</v>
      </c>
      <c r="B518" s="1" t="s">
        <v>276</v>
      </c>
      <c r="C518" s="1" t="s">
        <v>277</v>
      </c>
      <c r="D518" s="1" t="s">
        <v>18</v>
      </c>
      <c r="E518" s="1" t="s">
        <v>649</v>
      </c>
      <c r="F518" s="4">
        <v>12649</v>
      </c>
      <c r="G518" s="1" t="s">
        <v>19</v>
      </c>
      <c r="H518" s="1" t="s">
        <v>573</v>
      </c>
      <c r="I518" s="6">
        <v>2024</v>
      </c>
      <c r="J518" s="6">
        <v>30062024</v>
      </c>
      <c r="K518" s="1" t="str">
        <f>CONCATENATE(E518,I518,J518)</f>
        <v>30500001735202430062024</v>
      </c>
      <c r="L518" s="5">
        <v>21</v>
      </c>
      <c r="M518" s="12">
        <v>37.700000000000003</v>
      </c>
      <c r="N518" s="12">
        <v>27442.98</v>
      </c>
      <c r="O518" s="12">
        <v>5070.24</v>
      </c>
      <c r="P518" s="12">
        <v>34078.559999999998</v>
      </c>
      <c r="Q518" s="1" t="s">
        <v>15</v>
      </c>
      <c r="R518" s="5">
        <v>472.5</v>
      </c>
      <c r="S518" t="e">
        <f>VLOOKUP(K518,'MIS COMPROBANTES'!E:Q,13,FALSE)</f>
        <v>#N/A</v>
      </c>
    </row>
    <row r="519" spans="1:19" x14ac:dyDescent="0.25">
      <c r="A519" s="3">
        <v>45473</v>
      </c>
      <c r="B519" s="1" t="s">
        <v>276</v>
      </c>
      <c r="C519" s="1" t="s">
        <v>277</v>
      </c>
      <c r="D519" s="1" t="s">
        <v>18</v>
      </c>
      <c r="E519" s="1" t="s">
        <v>649</v>
      </c>
      <c r="F519" s="4">
        <v>12649</v>
      </c>
      <c r="G519" s="1" t="s">
        <v>19</v>
      </c>
      <c r="H519" s="1" t="s">
        <v>573</v>
      </c>
      <c r="I519" s="6">
        <v>2024</v>
      </c>
      <c r="J519" s="6">
        <v>30062024</v>
      </c>
      <c r="K519" s="1" t="str">
        <f t="shared" si="8"/>
        <v>30500001735202430062024</v>
      </c>
      <c r="L519" s="5">
        <v>10.5</v>
      </c>
      <c r="M519" s="12">
        <v>0</v>
      </c>
      <c r="N519" s="12">
        <v>0</v>
      </c>
      <c r="O519" s="12">
        <v>346.39</v>
      </c>
      <c r="P519" s="12">
        <v>0</v>
      </c>
      <c r="Q519" s="1" t="s">
        <v>15</v>
      </c>
      <c r="R519" s="5">
        <v>0</v>
      </c>
    </row>
    <row r="520" spans="1:19" x14ac:dyDescent="0.25">
      <c r="A520" s="3">
        <v>45473</v>
      </c>
      <c r="B520" s="1" t="s">
        <v>276</v>
      </c>
      <c r="C520" s="1" t="s">
        <v>277</v>
      </c>
      <c r="D520" s="1" t="s">
        <v>18</v>
      </c>
      <c r="E520" s="1" t="s">
        <v>649</v>
      </c>
      <c r="F520" s="4">
        <v>12649</v>
      </c>
      <c r="G520" s="1" t="s">
        <v>19</v>
      </c>
      <c r="H520" s="1" t="s">
        <v>573</v>
      </c>
      <c r="I520" s="6">
        <v>2024</v>
      </c>
      <c r="J520" s="6">
        <v>30062024</v>
      </c>
      <c r="K520" s="1" t="str">
        <f t="shared" si="8"/>
        <v>30500001735202430062024</v>
      </c>
      <c r="L520" s="5">
        <v>3</v>
      </c>
      <c r="M520" s="12">
        <v>0</v>
      </c>
      <c r="N520" s="12">
        <v>0</v>
      </c>
      <c r="O520" s="12">
        <v>708.75</v>
      </c>
      <c r="P520" s="12">
        <v>0</v>
      </c>
      <c r="Q520" s="1" t="s">
        <v>15</v>
      </c>
      <c r="R520" s="5">
        <v>0</v>
      </c>
    </row>
    <row r="521" spans="1:19" x14ac:dyDescent="0.25">
      <c r="A521" s="3">
        <v>45473</v>
      </c>
      <c r="B521" s="1" t="s">
        <v>544</v>
      </c>
      <c r="C521" s="1" t="s">
        <v>545</v>
      </c>
      <c r="D521" s="1" t="s">
        <v>546</v>
      </c>
      <c r="E521" s="1" t="s">
        <v>694</v>
      </c>
      <c r="F521" s="4">
        <v>12650</v>
      </c>
      <c r="G521" s="1" t="s">
        <v>19</v>
      </c>
      <c r="H521" s="1" t="s">
        <v>573</v>
      </c>
      <c r="I521" s="6">
        <v>2024</v>
      </c>
      <c r="J521" s="6">
        <v>30062024</v>
      </c>
      <c r="K521" s="1" t="str">
        <f t="shared" si="8"/>
        <v>33999242109202430062024</v>
      </c>
      <c r="L521" s="5">
        <v>0</v>
      </c>
      <c r="M521" s="12">
        <v>30695.35</v>
      </c>
      <c r="N521" s="12">
        <v>0</v>
      </c>
      <c r="O521" s="12">
        <v>0</v>
      </c>
      <c r="P521" s="12">
        <v>111564.85</v>
      </c>
      <c r="Q521" s="1" t="s">
        <v>15</v>
      </c>
      <c r="R521" s="5">
        <v>80869.5</v>
      </c>
    </row>
    <row r="522" spans="1:19" x14ac:dyDescent="0.25">
      <c r="A522" s="3">
        <v>45473</v>
      </c>
      <c r="B522" s="1" t="s">
        <v>16</v>
      </c>
      <c r="C522" s="1" t="s">
        <v>17</v>
      </c>
      <c r="D522" s="1" t="s">
        <v>18</v>
      </c>
      <c r="E522" s="1" t="s">
        <v>584</v>
      </c>
      <c r="F522" s="4">
        <v>12651</v>
      </c>
      <c r="G522" s="1" t="s">
        <v>19</v>
      </c>
      <c r="H522" s="1" t="s">
        <v>573</v>
      </c>
      <c r="I522" s="6">
        <v>2024</v>
      </c>
      <c r="J522" s="6">
        <v>30062024</v>
      </c>
      <c r="K522" s="1" t="str">
        <f t="shared" si="8"/>
        <v>30500008454202430062024</v>
      </c>
      <c r="L522" s="5">
        <v>21</v>
      </c>
      <c r="M522" s="12">
        <v>356.4</v>
      </c>
      <c r="N522" s="12">
        <v>1982686.65</v>
      </c>
      <c r="O522" s="12">
        <v>410610.44</v>
      </c>
      <c r="P522" s="12">
        <v>2453615.98</v>
      </c>
      <c r="Q522" s="1" t="s">
        <v>15</v>
      </c>
      <c r="R522" s="5">
        <v>39402.699999999997</v>
      </c>
    </row>
    <row r="523" spans="1:19" x14ac:dyDescent="0.25">
      <c r="A523" s="3">
        <v>45473</v>
      </c>
      <c r="B523" s="1" t="s">
        <v>16</v>
      </c>
      <c r="C523" s="1" t="s">
        <v>17</v>
      </c>
      <c r="D523" s="1" t="s">
        <v>18</v>
      </c>
      <c r="E523" s="1" t="s">
        <v>584</v>
      </c>
      <c r="F523" s="4">
        <v>12651</v>
      </c>
      <c r="G523" s="1" t="s">
        <v>19</v>
      </c>
      <c r="H523" s="1" t="s">
        <v>573</v>
      </c>
      <c r="I523" s="6">
        <v>2024</v>
      </c>
      <c r="J523" s="6">
        <v>30062024</v>
      </c>
      <c r="K523" s="1" t="str">
        <f t="shared" si="8"/>
        <v>30500008454202430062024</v>
      </c>
      <c r="L523" s="5">
        <v>10.5</v>
      </c>
      <c r="M523" s="12">
        <v>0</v>
      </c>
      <c r="N523" s="12">
        <v>0</v>
      </c>
      <c r="O523" s="12">
        <v>2876.88</v>
      </c>
      <c r="P523" s="12">
        <v>0</v>
      </c>
      <c r="Q523" s="1" t="s">
        <v>15</v>
      </c>
      <c r="R523" s="5">
        <v>0</v>
      </c>
    </row>
    <row r="524" spans="1:19" x14ac:dyDescent="0.25">
      <c r="A524" s="3">
        <v>45473</v>
      </c>
      <c r="B524" s="1" t="s">
        <v>16</v>
      </c>
      <c r="C524" s="1" t="s">
        <v>17</v>
      </c>
      <c r="D524" s="1" t="s">
        <v>18</v>
      </c>
      <c r="E524" s="1" t="s">
        <v>584</v>
      </c>
      <c r="F524" s="4">
        <v>12651</v>
      </c>
      <c r="G524" s="1" t="s">
        <v>19</v>
      </c>
      <c r="H524" s="1" t="s">
        <v>573</v>
      </c>
      <c r="I524" s="6">
        <v>2024</v>
      </c>
      <c r="J524" s="6">
        <v>30062024</v>
      </c>
      <c r="K524" s="1" t="str">
        <f t="shared" si="8"/>
        <v>30500008454202430062024</v>
      </c>
      <c r="L524" s="5">
        <v>3</v>
      </c>
      <c r="M524" s="12">
        <v>0</v>
      </c>
      <c r="N524" s="12">
        <v>0</v>
      </c>
      <c r="O524" s="12">
        <v>17271.93</v>
      </c>
      <c r="P524" s="12">
        <v>0</v>
      </c>
      <c r="Q524" s="1" t="s">
        <v>15</v>
      </c>
      <c r="R524" s="5">
        <v>0</v>
      </c>
    </row>
    <row r="525" spans="1:19" x14ac:dyDescent="0.25">
      <c r="A525" s="3">
        <v>45473</v>
      </c>
      <c r="B525" s="1" t="s">
        <v>16</v>
      </c>
      <c r="C525" s="1" t="s">
        <v>17</v>
      </c>
      <c r="D525" s="1" t="s">
        <v>18</v>
      </c>
      <c r="E525" s="1" t="s">
        <v>584</v>
      </c>
      <c r="F525" s="4">
        <v>12651</v>
      </c>
      <c r="G525" s="1" t="s">
        <v>19</v>
      </c>
      <c r="H525" s="1" t="s">
        <v>573</v>
      </c>
      <c r="I525" s="6">
        <v>2024</v>
      </c>
      <c r="J525" s="6">
        <v>30062024</v>
      </c>
      <c r="K525" s="1" t="str">
        <f t="shared" si="8"/>
        <v>30500008454202430062024</v>
      </c>
      <c r="L525" s="5">
        <v>1.5</v>
      </c>
      <c r="M525" s="12">
        <v>0</v>
      </c>
      <c r="N525" s="12">
        <v>0</v>
      </c>
      <c r="O525" s="12">
        <v>410.98</v>
      </c>
      <c r="P525" s="12">
        <v>0</v>
      </c>
      <c r="Q525" s="1" t="s">
        <v>15</v>
      </c>
      <c r="R525" s="5">
        <v>0</v>
      </c>
    </row>
    <row r="526" spans="1:19" x14ac:dyDescent="0.25">
      <c r="A526" s="3">
        <v>45473</v>
      </c>
      <c r="B526" s="1" t="s">
        <v>21</v>
      </c>
      <c r="C526" s="1" t="s">
        <v>22</v>
      </c>
      <c r="D526" s="1" t="s">
        <v>18</v>
      </c>
      <c r="E526" s="1" t="s">
        <v>585</v>
      </c>
      <c r="F526" s="4">
        <v>12720</v>
      </c>
      <c r="G526" s="1" t="s">
        <v>19</v>
      </c>
      <c r="H526" s="1" t="s">
        <v>573</v>
      </c>
      <c r="I526" s="6">
        <v>2024</v>
      </c>
      <c r="J526" s="6">
        <v>30062024</v>
      </c>
      <c r="K526" s="1" t="str">
        <f t="shared" si="8"/>
        <v>30604731018202430062024</v>
      </c>
      <c r="L526" s="5">
        <v>21</v>
      </c>
      <c r="M526" s="12">
        <v>21872.54</v>
      </c>
      <c r="N526" s="12">
        <v>39299.24</v>
      </c>
      <c r="O526" s="12">
        <v>7587.3</v>
      </c>
      <c r="P526" s="12">
        <v>70029.179999999993</v>
      </c>
      <c r="Q526" s="1" t="s">
        <v>15</v>
      </c>
      <c r="R526" s="5">
        <v>0</v>
      </c>
    </row>
    <row r="527" spans="1:19" x14ac:dyDescent="0.25">
      <c r="A527" s="3">
        <v>45473</v>
      </c>
      <c r="B527" s="1" t="s">
        <v>21</v>
      </c>
      <c r="C527" s="1" t="s">
        <v>22</v>
      </c>
      <c r="D527" s="1" t="s">
        <v>18</v>
      </c>
      <c r="E527" s="1" t="s">
        <v>585</v>
      </c>
      <c r="F527" s="4">
        <v>12720</v>
      </c>
      <c r="G527" s="1" t="s">
        <v>19</v>
      </c>
      <c r="H527" s="1" t="s">
        <v>573</v>
      </c>
      <c r="I527" s="6">
        <v>2024</v>
      </c>
      <c r="J527" s="6">
        <v>30062024</v>
      </c>
      <c r="K527" s="1" t="str">
        <f t="shared" si="8"/>
        <v>30604731018202430062024</v>
      </c>
      <c r="L527" s="5">
        <v>10.5</v>
      </c>
      <c r="M527" s="12">
        <v>0</v>
      </c>
      <c r="N527" s="12">
        <v>0</v>
      </c>
      <c r="O527" s="12">
        <v>332.77</v>
      </c>
      <c r="P527" s="12">
        <v>0</v>
      </c>
      <c r="Q527" s="1" t="s">
        <v>15</v>
      </c>
      <c r="R527" s="5">
        <v>0</v>
      </c>
    </row>
    <row r="528" spans="1:19" x14ac:dyDescent="0.25">
      <c r="A528" s="3">
        <v>45473</v>
      </c>
      <c r="B528" s="1" t="s">
        <v>21</v>
      </c>
      <c r="C528" s="1" t="s">
        <v>22</v>
      </c>
      <c r="D528" s="1" t="s">
        <v>18</v>
      </c>
      <c r="E528" s="1" t="s">
        <v>585</v>
      </c>
      <c r="F528" s="4">
        <v>12720</v>
      </c>
      <c r="G528" s="1" t="s">
        <v>19</v>
      </c>
      <c r="H528" s="1" t="s">
        <v>573</v>
      </c>
      <c r="I528" s="6">
        <v>2024</v>
      </c>
      <c r="J528" s="6">
        <v>30062024</v>
      </c>
      <c r="K528" s="1" t="str">
        <f t="shared" si="8"/>
        <v>30604731018202430062024</v>
      </c>
      <c r="L528" s="5">
        <v>3</v>
      </c>
      <c r="M528" s="12">
        <v>0</v>
      </c>
      <c r="N528" s="12">
        <v>0</v>
      </c>
      <c r="O528" s="12">
        <v>937.33</v>
      </c>
      <c r="P528" s="12">
        <v>0</v>
      </c>
      <c r="Q528" s="1" t="s">
        <v>15</v>
      </c>
      <c r="R528" s="5">
        <v>0</v>
      </c>
    </row>
    <row r="529" spans="1:18" x14ac:dyDescent="0.25">
      <c r="A529" s="3">
        <v>45473</v>
      </c>
      <c r="B529" s="1" t="s">
        <v>574</v>
      </c>
      <c r="C529" s="1" t="s">
        <v>575</v>
      </c>
      <c r="D529" s="1" t="s">
        <v>18</v>
      </c>
      <c r="E529" s="1" t="s">
        <v>698</v>
      </c>
      <c r="F529" s="4">
        <v>12816</v>
      </c>
      <c r="G529" s="1" t="s">
        <v>19</v>
      </c>
      <c r="H529" s="1" t="s">
        <v>576</v>
      </c>
      <c r="I529" s="6">
        <v>50</v>
      </c>
      <c r="J529" s="6">
        <v>3682372</v>
      </c>
      <c r="K529" s="1" t="str">
        <f t="shared" si="8"/>
        <v>30714112836503682372</v>
      </c>
      <c r="L529" s="5">
        <v>21</v>
      </c>
      <c r="M529" s="12">
        <v>0</v>
      </c>
      <c r="N529" s="12">
        <v>11830.58</v>
      </c>
      <c r="O529" s="12">
        <v>2484.42</v>
      </c>
      <c r="P529" s="12">
        <v>15202.29</v>
      </c>
      <c r="Q529" s="1" t="s">
        <v>15</v>
      </c>
      <c r="R529" s="5">
        <v>532.37</v>
      </c>
    </row>
    <row r="530" spans="1:18" x14ac:dyDescent="0.25">
      <c r="A530" s="3">
        <v>45473</v>
      </c>
      <c r="B530" s="1" t="s">
        <v>574</v>
      </c>
      <c r="C530" s="1" t="s">
        <v>575</v>
      </c>
      <c r="D530" s="1" t="s">
        <v>18</v>
      </c>
      <c r="E530" s="1" t="s">
        <v>698</v>
      </c>
      <c r="F530" s="4">
        <v>12816</v>
      </c>
      <c r="G530" s="1" t="s">
        <v>19</v>
      </c>
      <c r="H530" s="1" t="s">
        <v>576</v>
      </c>
      <c r="I530" s="6">
        <v>50</v>
      </c>
      <c r="J530" s="6">
        <v>3682372</v>
      </c>
      <c r="K530" s="1" t="str">
        <f t="shared" si="8"/>
        <v>30714112836503682372</v>
      </c>
      <c r="L530" s="5">
        <v>3</v>
      </c>
      <c r="M530" s="12">
        <v>0</v>
      </c>
      <c r="N530" s="12">
        <v>0</v>
      </c>
      <c r="O530" s="12">
        <v>354.92</v>
      </c>
      <c r="P530" s="12">
        <v>0</v>
      </c>
      <c r="Q530" s="1" t="s">
        <v>15</v>
      </c>
      <c r="R530" s="5">
        <v>0</v>
      </c>
    </row>
    <row r="531" spans="1:18" x14ac:dyDescent="0.25">
      <c r="A531" s="3">
        <v>45473</v>
      </c>
      <c r="B531" s="1" t="s">
        <v>574</v>
      </c>
      <c r="C531" s="1" t="s">
        <v>575</v>
      </c>
      <c r="D531" s="1" t="s">
        <v>18</v>
      </c>
      <c r="E531" s="1" t="s">
        <v>698</v>
      </c>
      <c r="F531" s="4">
        <v>12817</v>
      </c>
      <c r="G531" s="1" t="s">
        <v>19</v>
      </c>
      <c r="H531" s="1" t="s">
        <v>577</v>
      </c>
      <c r="I531" s="6">
        <v>50</v>
      </c>
      <c r="J531" s="6">
        <v>3683114</v>
      </c>
      <c r="K531" s="1" t="str">
        <f t="shared" si="8"/>
        <v>30714112836503683114</v>
      </c>
      <c r="L531" s="5">
        <v>21</v>
      </c>
      <c r="M531" s="12">
        <v>0</v>
      </c>
      <c r="N531" s="12">
        <v>6198.35</v>
      </c>
      <c r="O531" s="12">
        <v>1301.6500000000001</v>
      </c>
      <c r="P531" s="12">
        <v>7964.88</v>
      </c>
      <c r="Q531" s="1" t="s">
        <v>15</v>
      </c>
      <c r="R531" s="5">
        <v>278.93</v>
      </c>
    </row>
    <row r="532" spans="1:18" x14ac:dyDescent="0.25">
      <c r="A532" s="3">
        <v>45473</v>
      </c>
      <c r="B532" s="1" t="s">
        <v>574</v>
      </c>
      <c r="C532" s="1" t="s">
        <v>575</v>
      </c>
      <c r="D532" s="1" t="s">
        <v>18</v>
      </c>
      <c r="E532" s="1" t="s">
        <v>698</v>
      </c>
      <c r="F532" s="4">
        <v>12817</v>
      </c>
      <c r="G532" s="1" t="s">
        <v>19</v>
      </c>
      <c r="H532" s="1" t="s">
        <v>577</v>
      </c>
      <c r="I532" s="6">
        <v>50</v>
      </c>
      <c r="J532" s="6">
        <v>3683114</v>
      </c>
      <c r="K532" s="1" t="str">
        <f t="shared" si="8"/>
        <v>30714112836503683114</v>
      </c>
      <c r="L532" s="5">
        <v>3</v>
      </c>
      <c r="M532" s="12">
        <v>0</v>
      </c>
      <c r="N532" s="12">
        <v>0</v>
      </c>
      <c r="O532" s="12">
        <v>185.95</v>
      </c>
      <c r="P532" s="12">
        <v>0</v>
      </c>
      <c r="Q532" s="1" t="s">
        <v>15</v>
      </c>
      <c r="R532" s="5">
        <v>0</v>
      </c>
    </row>
    <row r="533" spans="1:18" x14ac:dyDescent="0.25">
      <c r="A533" s="3">
        <v>45473</v>
      </c>
      <c r="B533" s="1" t="s">
        <v>386</v>
      </c>
      <c r="C533" s="1" t="s">
        <v>387</v>
      </c>
      <c r="D533" s="1" t="s">
        <v>18</v>
      </c>
      <c r="E533" s="1" t="s">
        <v>669</v>
      </c>
      <c r="F533" s="4">
        <v>12808</v>
      </c>
      <c r="G533" s="1" t="s">
        <v>19</v>
      </c>
      <c r="H533" s="1" t="s">
        <v>578</v>
      </c>
      <c r="I533" s="6">
        <v>113</v>
      </c>
      <c r="J533" s="6">
        <v>3682066</v>
      </c>
      <c r="K533" s="1" t="str">
        <f t="shared" si="8"/>
        <v>305772071901133682066</v>
      </c>
      <c r="L533" s="5">
        <v>21</v>
      </c>
      <c r="M533" s="12">
        <v>0</v>
      </c>
      <c r="N533" s="12">
        <v>826.45</v>
      </c>
      <c r="O533" s="12">
        <v>173.55</v>
      </c>
      <c r="P533" s="12">
        <v>1000</v>
      </c>
      <c r="Q533" s="1" t="s">
        <v>15</v>
      </c>
      <c r="R533" s="5">
        <v>0</v>
      </c>
    </row>
    <row r="534" spans="1:18" x14ac:dyDescent="0.25">
      <c r="A534" s="3">
        <v>45473</v>
      </c>
      <c r="B534" s="1" t="s">
        <v>386</v>
      </c>
      <c r="C534" s="1" t="s">
        <v>387</v>
      </c>
      <c r="D534" s="1" t="s">
        <v>18</v>
      </c>
      <c r="E534" s="1" t="s">
        <v>669</v>
      </c>
      <c r="F534" s="4">
        <v>12809</v>
      </c>
      <c r="G534" s="1" t="s">
        <v>19</v>
      </c>
      <c r="H534" s="1" t="s">
        <v>579</v>
      </c>
      <c r="I534" s="6">
        <v>113</v>
      </c>
      <c r="J534" s="6">
        <v>3682971</v>
      </c>
      <c r="K534" s="1" t="str">
        <f t="shared" si="8"/>
        <v>305772071901133682971</v>
      </c>
      <c r="L534" s="5">
        <v>21</v>
      </c>
      <c r="M534" s="12">
        <v>0</v>
      </c>
      <c r="N534" s="12">
        <v>49431.41</v>
      </c>
      <c r="O534" s="12">
        <v>10380.59</v>
      </c>
      <c r="P534" s="12">
        <v>62283.57</v>
      </c>
      <c r="Q534" s="1" t="s">
        <v>15</v>
      </c>
      <c r="R534" s="5">
        <v>988.63</v>
      </c>
    </row>
    <row r="535" spans="1:18" x14ac:dyDescent="0.25">
      <c r="A535" s="3">
        <v>45473</v>
      </c>
      <c r="B535" s="1" t="s">
        <v>386</v>
      </c>
      <c r="C535" s="1" t="s">
        <v>387</v>
      </c>
      <c r="D535" s="1" t="s">
        <v>18</v>
      </c>
      <c r="E535" s="1" t="s">
        <v>669</v>
      </c>
      <c r="F535" s="4">
        <v>12809</v>
      </c>
      <c r="G535" s="1" t="s">
        <v>19</v>
      </c>
      <c r="H535" s="1" t="s">
        <v>579</v>
      </c>
      <c r="I535" s="6">
        <v>113</v>
      </c>
      <c r="J535" s="6">
        <v>3682971</v>
      </c>
      <c r="K535" s="1" t="str">
        <f t="shared" si="8"/>
        <v>305772071901133682971</v>
      </c>
      <c r="L535" s="5">
        <v>3</v>
      </c>
      <c r="M535" s="12">
        <v>0</v>
      </c>
      <c r="N535" s="12">
        <v>0</v>
      </c>
      <c r="O535" s="12">
        <v>1482.94</v>
      </c>
      <c r="P535" s="12">
        <v>0</v>
      </c>
      <c r="Q535" s="1" t="s">
        <v>15</v>
      </c>
      <c r="R535" s="5">
        <v>0</v>
      </c>
    </row>
    <row r="536" spans="1:18" x14ac:dyDescent="0.25">
      <c r="A536" s="3">
        <v>45473</v>
      </c>
      <c r="B536" s="1" t="s">
        <v>386</v>
      </c>
      <c r="C536" s="1" t="s">
        <v>387</v>
      </c>
      <c r="D536" s="1" t="s">
        <v>18</v>
      </c>
      <c r="E536" s="1" t="s">
        <v>669</v>
      </c>
      <c r="F536" s="4">
        <v>12810</v>
      </c>
      <c r="G536" s="1" t="s">
        <v>19</v>
      </c>
      <c r="H536" s="1" t="s">
        <v>580</v>
      </c>
      <c r="I536" s="6">
        <v>113</v>
      </c>
      <c r="J536" s="6">
        <v>3683763</v>
      </c>
      <c r="K536" s="1" t="str">
        <f t="shared" si="8"/>
        <v>305772071901133683763</v>
      </c>
      <c r="L536" s="5">
        <v>21</v>
      </c>
      <c r="M536" s="12">
        <v>0</v>
      </c>
      <c r="N536" s="12">
        <v>6446.28</v>
      </c>
      <c r="O536" s="12">
        <v>1353.72</v>
      </c>
      <c r="P536" s="12">
        <v>8122.32</v>
      </c>
      <c r="Q536" s="1" t="s">
        <v>15</v>
      </c>
      <c r="R536" s="5">
        <v>128.93</v>
      </c>
    </row>
    <row r="537" spans="1:18" x14ac:dyDescent="0.25">
      <c r="A537" s="3">
        <v>45473</v>
      </c>
      <c r="B537" s="1" t="s">
        <v>386</v>
      </c>
      <c r="C537" s="1" t="s">
        <v>387</v>
      </c>
      <c r="D537" s="1" t="s">
        <v>18</v>
      </c>
      <c r="E537" s="1" t="s">
        <v>669</v>
      </c>
      <c r="F537" s="4">
        <v>12810</v>
      </c>
      <c r="G537" s="1" t="s">
        <v>19</v>
      </c>
      <c r="H537" s="1" t="s">
        <v>580</v>
      </c>
      <c r="I537" s="6">
        <v>113</v>
      </c>
      <c r="J537" s="6">
        <v>3683763</v>
      </c>
      <c r="K537" s="1" t="str">
        <f t="shared" si="8"/>
        <v>305772071901133683763</v>
      </c>
      <c r="L537" s="5">
        <v>3</v>
      </c>
      <c r="M537" s="12">
        <v>0</v>
      </c>
      <c r="N537" s="12">
        <v>0</v>
      </c>
      <c r="O537" s="12">
        <v>193.39</v>
      </c>
      <c r="P537" s="12">
        <v>0</v>
      </c>
      <c r="Q537" s="1" t="s">
        <v>15</v>
      </c>
      <c r="R537" s="5">
        <v>0</v>
      </c>
    </row>
    <row r="538" spans="1:18" x14ac:dyDescent="0.25">
      <c r="A538" s="3">
        <v>45473</v>
      </c>
      <c r="B538" s="1" t="s">
        <v>82</v>
      </c>
      <c r="C538" s="1" t="s">
        <v>83</v>
      </c>
      <c r="D538" s="1" t="s">
        <v>18</v>
      </c>
      <c r="E538" s="1" t="s">
        <v>603</v>
      </c>
      <c r="F538" s="4">
        <v>12805</v>
      </c>
      <c r="G538" s="1" t="s">
        <v>19</v>
      </c>
      <c r="H538" s="1" t="s">
        <v>581</v>
      </c>
      <c r="I538" s="6">
        <v>5011</v>
      </c>
      <c r="J538" s="6">
        <v>647289</v>
      </c>
      <c r="K538" s="1" t="str">
        <f t="shared" si="8"/>
        <v>305748764745011647289</v>
      </c>
      <c r="L538" s="5">
        <v>21</v>
      </c>
      <c r="M538" s="12">
        <v>0.22</v>
      </c>
      <c r="N538" s="12">
        <v>55316.44</v>
      </c>
      <c r="O538" s="12">
        <v>11616.45</v>
      </c>
      <c r="P538" s="12">
        <v>73847.67</v>
      </c>
      <c r="Q538" s="1" t="s">
        <v>15</v>
      </c>
      <c r="R538" s="5">
        <v>6914.56</v>
      </c>
    </row>
    <row r="539" spans="1:18" x14ac:dyDescent="0.25">
      <c r="A539" s="3">
        <v>45473</v>
      </c>
      <c r="B539" s="1" t="s">
        <v>82</v>
      </c>
      <c r="C539" s="1" t="s">
        <v>83</v>
      </c>
      <c r="D539" s="1" t="s">
        <v>18</v>
      </c>
      <c r="E539" s="1" t="s">
        <v>603</v>
      </c>
      <c r="F539" s="4">
        <v>12804</v>
      </c>
      <c r="G539" s="1" t="s">
        <v>19</v>
      </c>
      <c r="H539" s="1" t="s">
        <v>582</v>
      </c>
      <c r="I539" s="6">
        <v>5014</v>
      </c>
      <c r="J539" s="6">
        <v>628600</v>
      </c>
      <c r="K539" s="1" t="str">
        <f t="shared" si="8"/>
        <v>305748764745014628600</v>
      </c>
      <c r="L539" s="5">
        <v>21</v>
      </c>
      <c r="M539" s="12">
        <v>0.05</v>
      </c>
      <c r="N539" s="12">
        <v>14343.9</v>
      </c>
      <c r="O539" s="12">
        <v>3012.22</v>
      </c>
      <c r="P539" s="12">
        <v>19149.16</v>
      </c>
      <c r="Q539" s="1" t="s">
        <v>15</v>
      </c>
      <c r="R539" s="5">
        <v>1792.99</v>
      </c>
    </row>
    <row r="540" spans="1:18" x14ac:dyDescent="0.25">
      <c r="A540" s="3">
        <v>45473</v>
      </c>
      <c r="B540" s="1" t="s">
        <v>233</v>
      </c>
      <c r="C540" s="1" t="s">
        <v>234</v>
      </c>
      <c r="D540" s="1" t="s">
        <v>18</v>
      </c>
      <c r="E540" s="1" t="s">
        <v>641</v>
      </c>
      <c r="F540" s="4">
        <v>12759</v>
      </c>
      <c r="G540" s="1" t="s">
        <v>19</v>
      </c>
      <c r="H540" s="1" t="s">
        <v>583</v>
      </c>
      <c r="I540" s="6">
        <v>6364</v>
      </c>
      <c r="J540" s="6">
        <v>8420649</v>
      </c>
      <c r="K540" s="1" t="str">
        <f t="shared" si="8"/>
        <v>3063945373863648420649</v>
      </c>
      <c r="L540" s="5">
        <v>21</v>
      </c>
      <c r="M540" s="12">
        <v>59.93</v>
      </c>
      <c r="N540" s="12">
        <v>268225.51</v>
      </c>
      <c r="O540" s="12">
        <v>55997.45</v>
      </c>
      <c r="P540" s="12">
        <v>339662.15</v>
      </c>
      <c r="Q540" s="1" t="s">
        <v>15</v>
      </c>
      <c r="R540" s="5">
        <v>6908.32</v>
      </c>
    </row>
    <row r="541" spans="1:18" x14ac:dyDescent="0.25">
      <c r="A541" s="3">
        <v>45473</v>
      </c>
      <c r="B541" s="1" t="s">
        <v>233</v>
      </c>
      <c r="C541" s="1" t="s">
        <v>234</v>
      </c>
      <c r="D541" s="1" t="s">
        <v>18</v>
      </c>
      <c r="E541" s="1" t="s">
        <v>641</v>
      </c>
      <c r="F541" s="4">
        <v>12759</v>
      </c>
      <c r="G541" s="1" t="s">
        <v>19</v>
      </c>
      <c r="H541" s="1" t="s">
        <v>583</v>
      </c>
      <c r="I541" s="6">
        <v>6364</v>
      </c>
      <c r="J541" s="6">
        <v>8420649</v>
      </c>
      <c r="K541" s="1" t="str">
        <f t="shared" si="8"/>
        <v>3063945373863648420649</v>
      </c>
      <c r="L541" s="5">
        <v>27</v>
      </c>
      <c r="M541" s="12">
        <v>0</v>
      </c>
      <c r="N541" s="12">
        <v>0</v>
      </c>
      <c r="O541" s="12">
        <v>424.17</v>
      </c>
      <c r="P541" s="12">
        <v>0</v>
      </c>
      <c r="Q541" s="1" t="s">
        <v>15</v>
      </c>
      <c r="R541" s="5">
        <v>0</v>
      </c>
    </row>
    <row r="542" spans="1:18" x14ac:dyDescent="0.25">
      <c r="A542" s="3">
        <v>45473</v>
      </c>
      <c r="B542" s="1" t="s">
        <v>233</v>
      </c>
      <c r="C542" s="1" t="s">
        <v>234</v>
      </c>
      <c r="D542" s="1" t="s">
        <v>18</v>
      </c>
      <c r="E542" s="1" t="s">
        <v>641</v>
      </c>
      <c r="F542" s="4">
        <v>12759</v>
      </c>
      <c r="G542" s="1" t="s">
        <v>19</v>
      </c>
      <c r="H542" s="1" t="s">
        <v>583</v>
      </c>
      <c r="I542" s="6">
        <v>6364</v>
      </c>
      <c r="J542" s="6">
        <v>8420649</v>
      </c>
      <c r="K542" s="1" t="str">
        <f t="shared" si="8"/>
        <v>3063945373863648420649</v>
      </c>
      <c r="L542" s="5">
        <v>3</v>
      </c>
      <c r="M542" s="12">
        <v>0</v>
      </c>
      <c r="N542" s="12">
        <v>0</v>
      </c>
      <c r="O542" s="12">
        <v>8046.77</v>
      </c>
      <c r="P542" s="12">
        <v>0</v>
      </c>
      <c r="Q542" s="1" t="s">
        <v>15</v>
      </c>
      <c r="R542" s="5">
        <v>0</v>
      </c>
    </row>
  </sheetData>
  <autoFilter ref="A1:S536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314"/>
  <sheetViews>
    <sheetView workbookViewId="0">
      <selection activeCell="P208" sqref="P208:P302"/>
    </sheetView>
  </sheetViews>
  <sheetFormatPr baseColWidth="10" defaultRowHeight="15" x14ac:dyDescent="0.25"/>
  <cols>
    <col min="1" max="1" width="10.7109375" bestFit="1" customWidth="1"/>
    <col min="2" max="2" width="19.42578125" bestFit="1" customWidth="1"/>
    <col min="3" max="3" width="17" bestFit="1" customWidth="1"/>
    <col min="4" max="4" width="16.5703125" bestFit="1" customWidth="1"/>
    <col min="5" max="5" width="23.28515625" bestFit="1" customWidth="1"/>
    <col min="6" max="6" width="19" hidden="1" customWidth="1"/>
    <col min="7" max="7" width="17.85546875" hidden="1" customWidth="1"/>
    <col min="8" max="8" width="17.85546875" bestFit="1" customWidth="1"/>
    <col min="9" max="9" width="28.140625" customWidth="1"/>
    <col min="10" max="10" width="14.28515625" hidden="1" customWidth="1"/>
    <col min="11" max="11" width="10.7109375" hidden="1" customWidth="1"/>
    <col min="12" max="12" width="15" style="12" customWidth="1"/>
    <col min="13" max="13" width="24.7109375" style="12" bestFit="1" customWidth="1"/>
    <col min="14" max="14" width="19.7109375" style="12" bestFit="1" customWidth="1"/>
    <col min="15" max="15" width="17.28515625" style="12" bestFit="1" customWidth="1"/>
    <col min="16" max="16" width="14.5703125" style="12" bestFit="1" customWidth="1"/>
    <col min="17" max="17" width="15.5703125" style="12" bestFit="1" customWidth="1"/>
    <col min="18" max="18" width="12" bestFit="1" customWidth="1"/>
  </cols>
  <sheetData>
    <row r="1" spans="1:18" x14ac:dyDescent="0.25">
      <c r="A1" s="8" t="s">
        <v>700</v>
      </c>
      <c r="B1" s="8" t="s">
        <v>701</v>
      </c>
      <c r="C1" s="8" t="s">
        <v>702</v>
      </c>
      <c r="D1" s="8" t="s">
        <v>703</v>
      </c>
      <c r="E1" s="8" t="s">
        <v>699</v>
      </c>
      <c r="F1" s="8" t="s">
        <v>704</v>
      </c>
      <c r="G1" s="8" t="s">
        <v>705</v>
      </c>
      <c r="H1" s="8" t="s">
        <v>706</v>
      </c>
      <c r="I1" s="8" t="s">
        <v>707</v>
      </c>
      <c r="J1" s="8" t="s">
        <v>708</v>
      </c>
      <c r="K1" s="8" t="s">
        <v>709</v>
      </c>
      <c r="L1" s="10" t="s">
        <v>710</v>
      </c>
      <c r="M1" s="10" t="s">
        <v>711</v>
      </c>
      <c r="N1" s="10" t="s">
        <v>712</v>
      </c>
      <c r="O1" s="10" t="s">
        <v>713</v>
      </c>
      <c r="P1" s="10" t="s">
        <v>714</v>
      </c>
      <c r="Q1" s="10" t="s">
        <v>715</v>
      </c>
    </row>
    <row r="2" spans="1:18" hidden="1" x14ac:dyDescent="0.25">
      <c r="A2" s="7" t="s">
        <v>763</v>
      </c>
      <c r="B2" s="7" t="s">
        <v>717</v>
      </c>
      <c r="C2" s="9">
        <v>20</v>
      </c>
      <c r="D2" s="9">
        <v>1747</v>
      </c>
      <c r="E2" s="7" t="str">
        <f t="shared" ref="E2:E65" si="0">CONCATENATE(H2,C2,D2)</f>
        <v>30594465497201747</v>
      </c>
      <c r="F2" s="9">
        <v>74247383955164</v>
      </c>
      <c r="G2" s="7" t="s">
        <v>718</v>
      </c>
      <c r="H2" s="9">
        <v>30594465497</v>
      </c>
      <c r="I2" s="7" t="s">
        <v>764</v>
      </c>
      <c r="J2" s="9">
        <v>1</v>
      </c>
      <c r="K2" s="7" t="s">
        <v>719</v>
      </c>
      <c r="L2" s="11">
        <v>497578.08</v>
      </c>
      <c r="M2" s="11">
        <v>0</v>
      </c>
      <c r="N2" s="11">
        <v>0</v>
      </c>
      <c r="O2" s="11">
        <v>0</v>
      </c>
      <c r="P2" s="11">
        <v>104491.4</v>
      </c>
      <c r="Q2" s="11">
        <v>602069.48</v>
      </c>
      <c r="R2">
        <f>VLOOKUP(E2,'IVA COMPRAS'!K:P,6,FALSE)</f>
        <v>602069.48</v>
      </c>
    </row>
    <row r="3" spans="1:18" hidden="1" x14ac:dyDescent="0.25">
      <c r="A3" s="7" t="s">
        <v>783</v>
      </c>
      <c r="B3" s="7" t="s">
        <v>717</v>
      </c>
      <c r="C3" s="9">
        <v>20</v>
      </c>
      <c r="D3" s="9">
        <v>1765</v>
      </c>
      <c r="E3" s="7" t="str">
        <f t="shared" si="0"/>
        <v>30594465497201765</v>
      </c>
      <c r="F3" s="9">
        <v>74267863513493</v>
      </c>
      <c r="G3" s="7" t="s">
        <v>718</v>
      </c>
      <c r="H3" s="9">
        <v>30594465497</v>
      </c>
      <c r="I3" s="7" t="s">
        <v>764</v>
      </c>
      <c r="J3" s="9">
        <v>1</v>
      </c>
      <c r="K3" s="7" t="s">
        <v>719</v>
      </c>
      <c r="L3" s="11">
        <v>1042471.76</v>
      </c>
      <c r="M3" s="11">
        <v>0</v>
      </c>
      <c r="N3" s="11">
        <v>0</v>
      </c>
      <c r="O3" s="11">
        <v>0</v>
      </c>
      <c r="P3" s="11">
        <v>218919.07</v>
      </c>
      <c r="Q3" s="11">
        <v>1261390.83</v>
      </c>
      <c r="R3">
        <f>VLOOKUP(E3,'IVA COMPRAS'!K:P,6,FALSE)</f>
        <v>1261390.83</v>
      </c>
    </row>
    <row r="4" spans="1:18" hidden="1" x14ac:dyDescent="0.25">
      <c r="A4" s="7" t="s">
        <v>731</v>
      </c>
      <c r="B4" s="7" t="s">
        <v>717</v>
      </c>
      <c r="C4" s="9">
        <v>3</v>
      </c>
      <c r="D4" s="9">
        <v>1398</v>
      </c>
      <c r="E4" s="7" t="str">
        <f t="shared" si="0"/>
        <v>3071474643631398</v>
      </c>
      <c r="F4" s="9">
        <v>74236315053296</v>
      </c>
      <c r="G4" s="7" t="s">
        <v>718</v>
      </c>
      <c r="H4" s="9">
        <v>30714746436</v>
      </c>
      <c r="I4" s="7" t="s">
        <v>109</v>
      </c>
      <c r="J4" s="9">
        <v>1</v>
      </c>
      <c r="K4" s="7" t="s">
        <v>719</v>
      </c>
      <c r="L4" s="11">
        <v>247070.52</v>
      </c>
      <c r="M4" s="11">
        <v>0</v>
      </c>
      <c r="N4" s="11">
        <v>0</v>
      </c>
      <c r="O4" s="11">
        <v>0</v>
      </c>
      <c r="P4" s="11">
        <v>51884.81</v>
      </c>
      <c r="Q4" s="11">
        <v>298955.33</v>
      </c>
      <c r="R4">
        <f>VLOOKUP(E4,'IVA COMPRAS'!K:P,6,FALSE)</f>
        <v>298955.33</v>
      </c>
    </row>
    <row r="5" spans="1:18" hidden="1" x14ac:dyDescent="0.25">
      <c r="A5" s="7" t="s">
        <v>731</v>
      </c>
      <c r="B5" s="7" t="s">
        <v>722</v>
      </c>
      <c r="C5" s="9">
        <v>3</v>
      </c>
      <c r="D5" s="9">
        <v>110</v>
      </c>
      <c r="E5" s="7" t="str">
        <f t="shared" si="0"/>
        <v>307147464363110</v>
      </c>
      <c r="F5" s="9">
        <v>74236314737611</v>
      </c>
      <c r="G5" s="7" t="s">
        <v>718</v>
      </c>
      <c r="H5" s="9">
        <v>30714746436</v>
      </c>
      <c r="I5" s="7" t="s">
        <v>109</v>
      </c>
      <c r="J5" s="9">
        <v>1</v>
      </c>
      <c r="K5" s="7" t="s">
        <v>719</v>
      </c>
      <c r="L5" s="11">
        <v>81378.960000000006</v>
      </c>
      <c r="M5" s="11">
        <v>0</v>
      </c>
      <c r="N5" s="11">
        <v>0</v>
      </c>
      <c r="O5" s="11">
        <v>0</v>
      </c>
      <c r="P5" s="11">
        <v>17089.580000000002</v>
      </c>
      <c r="Q5" s="11">
        <v>98468.54</v>
      </c>
      <c r="R5">
        <f>VLOOKUP(E5,'IVA COMPRAS'!K:P,6,FALSE)</f>
        <v>-98468.54</v>
      </c>
    </row>
    <row r="6" spans="1:18" hidden="1" x14ac:dyDescent="0.25">
      <c r="A6" s="7" t="s">
        <v>747</v>
      </c>
      <c r="B6" s="7" t="s">
        <v>717</v>
      </c>
      <c r="C6" s="9">
        <v>3</v>
      </c>
      <c r="D6" s="9">
        <v>1406</v>
      </c>
      <c r="E6" s="7" t="str">
        <f t="shared" si="0"/>
        <v>3071474643631406</v>
      </c>
      <c r="F6" s="9">
        <v>74236598158189</v>
      </c>
      <c r="G6" s="7" t="s">
        <v>718</v>
      </c>
      <c r="H6" s="9">
        <v>30714746436</v>
      </c>
      <c r="I6" s="7" t="s">
        <v>109</v>
      </c>
      <c r="J6" s="9">
        <v>1</v>
      </c>
      <c r="K6" s="7" t="s">
        <v>719</v>
      </c>
      <c r="L6" s="11">
        <v>2055110.8</v>
      </c>
      <c r="M6" s="11">
        <v>0</v>
      </c>
      <c r="N6" s="11">
        <v>0</v>
      </c>
      <c r="O6" s="11">
        <v>0</v>
      </c>
      <c r="P6" s="11">
        <v>431573.27</v>
      </c>
      <c r="Q6" s="11">
        <v>2486684.0699999998</v>
      </c>
      <c r="R6">
        <f>VLOOKUP(E6,'IVA COMPRAS'!K:P,6,FALSE)</f>
        <v>2486684.0699999998</v>
      </c>
    </row>
    <row r="7" spans="1:18" hidden="1" x14ac:dyDescent="0.25">
      <c r="A7" s="7" t="s">
        <v>747</v>
      </c>
      <c r="B7" s="7" t="s">
        <v>717</v>
      </c>
      <c r="C7" s="9">
        <v>3</v>
      </c>
      <c r="D7" s="9">
        <v>1407</v>
      </c>
      <c r="E7" s="7" t="str">
        <f t="shared" si="0"/>
        <v>3071474643631407</v>
      </c>
      <c r="F7" s="9">
        <v>74236602128219</v>
      </c>
      <c r="G7" s="7" t="s">
        <v>718</v>
      </c>
      <c r="H7" s="9">
        <v>30714746436</v>
      </c>
      <c r="I7" s="7" t="s">
        <v>109</v>
      </c>
      <c r="J7" s="9">
        <v>1</v>
      </c>
      <c r="K7" s="7" t="s">
        <v>719</v>
      </c>
      <c r="L7" s="11">
        <v>23936204.170000002</v>
      </c>
      <c r="M7" s="11">
        <v>0</v>
      </c>
      <c r="N7" s="11">
        <v>0</v>
      </c>
      <c r="O7" s="11">
        <v>0</v>
      </c>
      <c r="P7" s="11">
        <v>5026602.88</v>
      </c>
      <c r="Q7" s="11">
        <v>28962807.050000001</v>
      </c>
      <c r="R7">
        <f>VLOOKUP(E7,'IVA COMPRAS'!K:P,6,FALSE)</f>
        <v>28962807.050000001</v>
      </c>
    </row>
    <row r="8" spans="1:18" hidden="1" x14ac:dyDescent="0.25">
      <c r="A8" s="7" t="s">
        <v>772</v>
      </c>
      <c r="B8" s="7" t="s">
        <v>717</v>
      </c>
      <c r="C8" s="9">
        <v>3</v>
      </c>
      <c r="D8" s="9">
        <v>1416</v>
      </c>
      <c r="E8" s="7" t="str">
        <f t="shared" si="0"/>
        <v>3071474643631416</v>
      </c>
      <c r="F8" s="9">
        <v>74256008538726</v>
      </c>
      <c r="G8" s="7" t="s">
        <v>718</v>
      </c>
      <c r="H8" s="9">
        <v>30714746436</v>
      </c>
      <c r="I8" s="7" t="s">
        <v>109</v>
      </c>
      <c r="J8" s="9">
        <v>1</v>
      </c>
      <c r="K8" s="7" t="s">
        <v>719</v>
      </c>
      <c r="L8" s="11">
        <v>297418.06</v>
      </c>
      <c r="M8" s="11">
        <v>0</v>
      </c>
      <c r="N8" s="11">
        <v>0</v>
      </c>
      <c r="O8" s="11">
        <v>0</v>
      </c>
      <c r="P8" s="11">
        <v>62457.79</v>
      </c>
      <c r="Q8" s="11">
        <v>359875.85</v>
      </c>
      <c r="R8">
        <f>VLOOKUP(E8,'IVA COMPRAS'!K:P,6,FALSE)</f>
        <v>359875.85</v>
      </c>
    </row>
    <row r="9" spans="1:18" hidden="1" x14ac:dyDescent="0.25">
      <c r="A9" s="7" t="s">
        <v>772</v>
      </c>
      <c r="B9" s="7" t="s">
        <v>717</v>
      </c>
      <c r="C9" s="9">
        <v>3</v>
      </c>
      <c r="D9" s="9">
        <v>1417</v>
      </c>
      <c r="E9" s="7" t="str">
        <f t="shared" si="0"/>
        <v>3071474643631417</v>
      </c>
      <c r="F9" s="9">
        <v>74256008948455</v>
      </c>
      <c r="G9" s="7" t="s">
        <v>718</v>
      </c>
      <c r="H9" s="9">
        <v>30714746436</v>
      </c>
      <c r="I9" s="7" t="s">
        <v>109</v>
      </c>
      <c r="J9" s="9">
        <v>1</v>
      </c>
      <c r="K9" s="7" t="s">
        <v>719</v>
      </c>
      <c r="L9" s="11">
        <v>978927.88</v>
      </c>
      <c r="M9" s="11">
        <v>0</v>
      </c>
      <c r="N9" s="11">
        <v>0</v>
      </c>
      <c r="O9" s="11">
        <v>0</v>
      </c>
      <c r="P9" s="11">
        <v>205574.85</v>
      </c>
      <c r="Q9" s="11">
        <v>1184502.73</v>
      </c>
      <c r="R9">
        <f>VLOOKUP(E9,'IVA COMPRAS'!K:P,6,FALSE)</f>
        <v>1184502.73</v>
      </c>
    </row>
    <row r="10" spans="1:18" hidden="1" x14ac:dyDescent="0.25">
      <c r="A10" s="7" t="s">
        <v>786</v>
      </c>
      <c r="B10" s="7" t="s">
        <v>722</v>
      </c>
      <c r="C10" s="9">
        <v>3</v>
      </c>
      <c r="D10" s="9">
        <v>114</v>
      </c>
      <c r="E10" s="7" t="str">
        <f t="shared" si="0"/>
        <v>307147464363114</v>
      </c>
      <c r="F10" s="9">
        <v>74266978052704</v>
      </c>
      <c r="G10" s="7" t="s">
        <v>718</v>
      </c>
      <c r="H10" s="9">
        <v>30714746436</v>
      </c>
      <c r="I10" s="7" t="s">
        <v>109</v>
      </c>
      <c r="J10" s="9">
        <v>1</v>
      </c>
      <c r="K10" s="7" t="s">
        <v>719</v>
      </c>
      <c r="L10" s="11">
        <v>1691427.88</v>
      </c>
      <c r="M10" s="11">
        <v>0</v>
      </c>
      <c r="N10" s="11">
        <v>0</v>
      </c>
      <c r="O10" s="11">
        <v>0</v>
      </c>
      <c r="P10" s="11">
        <v>355199.85</v>
      </c>
      <c r="Q10" s="11">
        <v>2046627.73</v>
      </c>
      <c r="R10">
        <f>VLOOKUP(E10,'IVA COMPRAS'!K:P,6,FALSE)</f>
        <v>-2046627.73</v>
      </c>
    </row>
    <row r="11" spans="1:18" hidden="1" x14ac:dyDescent="0.25">
      <c r="A11" s="7" t="s">
        <v>765</v>
      </c>
      <c r="B11" s="7" t="s">
        <v>717</v>
      </c>
      <c r="C11" s="9">
        <v>12</v>
      </c>
      <c r="D11" s="9">
        <v>1795</v>
      </c>
      <c r="E11" s="7" t="str">
        <f t="shared" si="0"/>
        <v>30709151041121795</v>
      </c>
      <c r="F11" s="9">
        <v>74241504243336</v>
      </c>
      <c r="G11" s="7" t="s">
        <v>718</v>
      </c>
      <c r="H11" s="9">
        <v>30709151041</v>
      </c>
      <c r="I11" s="7" t="s">
        <v>766</v>
      </c>
      <c r="J11" s="9">
        <v>1</v>
      </c>
      <c r="K11" s="7" t="s">
        <v>719</v>
      </c>
      <c r="L11" s="11">
        <v>812296.8</v>
      </c>
      <c r="M11" s="11">
        <v>0</v>
      </c>
      <c r="N11" s="11">
        <v>0</v>
      </c>
      <c r="O11" s="11">
        <v>0</v>
      </c>
      <c r="P11" s="11">
        <v>170582.33</v>
      </c>
      <c r="Q11" s="11">
        <v>982879.13</v>
      </c>
      <c r="R11">
        <f>VLOOKUP(E11,'IVA COMPRAS'!K:P,6,FALSE)</f>
        <v>982879.13</v>
      </c>
    </row>
    <row r="12" spans="1:18" hidden="1" x14ac:dyDescent="0.25">
      <c r="A12" s="7" t="s">
        <v>786</v>
      </c>
      <c r="B12" s="7" t="s">
        <v>717</v>
      </c>
      <c r="C12" s="9">
        <v>1</v>
      </c>
      <c r="D12" s="9">
        <v>569</v>
      </c>
      <c r="E12" s="7" t="str">
        <f t="shared" si="0"/>
        <v>337177102291569</v>
      </c>
      <c r="F12" s="9">
        <v>74269943893605</v>
      </c>
      <c r="G12" s="7" t="s">
        <v>718</v>
      </c>
      <c r="H12" s="9">
        <v>33717710229</v>
      </c>
      <c r="I12" s="7" t="s">
        <v>549</v>
      </c>
      <c r="J12" s="9">
        <v>1</v>
      </c>
      <c r="K12" s="7" t="s">
        <v>719</v>
      </c>
      <c r="L12" s="11">
        <v>9750000</v>
      </c>
      <c r="M12" s="11">
        <v>0</v>
      </c>
      <c r="N12" s="11">
        <v>0</v>
      </c>
      <c r="O12" s="11">
        <v>0</v>
      </c>
      <c r="P12" s="11">
        <v>2047500</v>
      </c>
      <c r="Q12" s="11">
        <v>11797500</v>
      </c>
      <c r="R12">
        <f>VLOOKUP(E12,'IVA COMPRAS'!K:P,6,FALSE)</f>
        <v>11797500</v>
      </c>
    </row>
    <row r="13" spans="1:18" hidden="1" x14ac:dyDescent="0.25">
      <c r="A13" s="7" t="s">
        <v>716</v>
      </c>
      <c r="B13" s="7" t="s">
        <v>717</v>
      </c>
      <c r="C13" s="9">
        <v>1326</v>
      </c>
      <c r="D13" s="9">
        <v>1005423</v>
      </c>
      <c r="E13" s="7" t="str">
        <f t="shared" si="0"/>
        <v>3066328849713261005423</v>
      </c>
      <c r="F13" s="9">
        <v>74227115981874</v>
      </c>
      <c r="G13" s="7" t="s">
        <v>718</v>
      </c>
      <c r="H13" s="9">
        <v>30663288497</v>
      </c>
      <c r="I13" s="7" t="s">
        <v>48</v>
      </c>
      <c r="J13" s="9">
        <v>1</v>
      </c>
      <c r="K13" s="7" t="s">
        <v>719</v>
      </c>
      <c r="L13" s="11">
        <v>23510</v>
      </c>
      <c r="M13" s="11">
        <v>0</v>
      </c>
      <c r="N13" s="11">
        <v>0</v>
      </c>
      <c r="O13" s="11">
        <v>0</v>
      </c>
      <c r="P13" s="11">
        <v>4949.1000000000004</v>
      </c>
      <c r="Q13" s="11">
        <v>29634.6</v>
      </c>
      <c r="R13">
        <f>VLOOKUP(E13,'IVA COMPRAS'!K:P,6,FALSE)</f>
        <v>29634.6</v>
      </c>
    </row>
    <row r="14" spans="1:18" hidden="1" x14ac:dyDescent="0.25">
      <c r="A14" s="7" t="s">
        <v>738</v>
      </c>
      <c r="B14" s="7" t="s">
        <v>717</v>
      </c>
      <c r="C14" s="9">
        <v>16</v>
      </c>
      <c r="D14" s="9">
        <v>6153</v>
      </c>
      <c r="E14" s="7" t="str">
        <f t="shared" si="0"/>
        <v>33540545419166153</v>
      </c>
      <c r="F14" s="9">
        <v>74239485413614</v>
      </c>
      <c r="G14" s="7" t="s">
        <v>718</v>
      </c>
      <c r="H14" s="9">
        <v>33540545419</v>
      </c>
      <c r="I14" s="7" t="s">
        <v>740</v>
      </c>
      <c r="J14" s="9">
        <v>1</v>
      </c>
      <c r="K14" s="7" t="s">
        <v>719</v>
      </c>
      <c r="L14" s="11">
        <v>100000</v>
      </c>
      <c r="M14" s="11">
        <v>0</v>
      </c>
      <c r="N14" s="11">
        <v>0</v>
      </c>
      <c r="O14" s="11">
        <v>0</v>
      </c>
      <c r="P14" s="11">
        <v>21000</v>
      </c>
      <c r="Q14" s="11">
        <v>121000</v>
      </c>
      <c r="R14">
        <f>VLOOKUP(E14,'IVA COMPRAS'!K:P,6,FALSE)</f>
        <v>121000</v>
      </c>
    </row>
    <row r="15" spans="1:18" hidden="1" x14ac:dyDescent="0.25">
      <c r="A15" s="7" t="s">
        <v>788</v>
      </c>
      <c r="B15" s="7" t="s">
        <v>717</v>
      </c>
      <c r="C15" s="9">
        <v>50</v>
      </c>
      <c r="D15" s="9">
        <v>3682372</v>
      </c>
      <c r="E15" s="7" t="str">
        <f t="shared" si="0"/>
        <v>30714112836503682372</v>
      </c>
      <c r="F15" s="9">
        <v>74276451144727</v>
      </c>
      <c r="G15" s="7" t="s">
        <v>718</v>
      </c>
      <c r="H15" s="9">
        <v>30714112836</v>
      </c>
      <c r="I15" s="7" t="s">
        <v>575</v>
      </c>
      <c r="J15" s="9">
        <v>1</v>
      </c>
      <c r="K15" s="7" t="s">
        <v>719</v>
      </c>
      <c r="L15" s="11">
        <v>11830.58</v>
      </c>
      <c r="M15" s="11">
        <v>0</v>
      </c>
      <c r="N15" s="11">
        <v>0</v>
      </c>
      <c r="O15" s="11">
        <v>0</v>
      </c>
      <c r="P15" s="11">
        <v>2484.42</v>
      </c>
      <c r="Q15" s="11">
        <v>15202.29</v>
      </c>
      <c r="R15">
        <f>VLOOKUP(E15,'IVA COMPRAS'!K:P,6,FALSE)</f>
        <v>15202.29</v>
      </c>
    </row>
    <row r="16" spans="1:18" hidden="1" x14ac:dyDescent="0.25">
      <c r="A16" s="7" t="s">
        <v>788</v>
      </c>
      <c r="B16" s="7" t="s">
        <v>717</v>
      </c>
      <c r="C16" s="9">
        <v>50</v>
      </c>
      <c r="D16" s="9">
        <v>3683114</v>
      </c>
      <c r="E16" s="7" t="str">
        <f t="shared" si="0"/>
        <v>30714112836503683114</v>
      </c>
      <c r="F16" s="9">
        <v>74276451233801</v>
      </c>
      <c r="G16" s="7" t="s">
        <v>718</v>
      </c>
      <c r="H16" s="9">
        <v>30714112836</v>
      </c>
      <c r="I16" s="7" t="s">
        <v>575</v>
      </c>
      <c r="J16" s="9">
        <v>1</v>
      </c>
      <c r="K16" s="7" t="s">
        <v>719</v>
      </c>
      <c r="L16" s="11">
        <v>6198.35</v>
      </c>
      <c r="M16" s="11">
        <v>0</v>
      </c>
      <c r="N16" s="11">
        <v>0</v>
      </c>
      <c r="O16" s="11">
        <v>0</v>
      </c>
      <c r="P16" s="11">
        <v>1301.6500000000001</v>
      </c>
      <c r="Q16" s="11">
        <v>7964.88</v>
      </c>
      <c r="R16">
        <f>VLOOKUP(E16,'IVA COMPRAS'!K:P,6,FALSE)</f>
        <v>7964.88</v>
      </c>
    </row>
    <row r="17" spans="1:18" hidden="1" x14ac:dyDescent="0.25">
      <c r="A17" s="7" t="s">
        <v>731</v>
      </c>
      <c r="B17" s="7" t="s">
        <v>717</v>
      </c>
      <c r="C17" s="9">
        <v>711</v>
      </c>
      <c r="D17" s="9">
        <v>5776565</v>
      </c>
      <c r="E17" s="7" t="str">
        <f t="shared" si="0"/>
        <v>306772371197115776565</v>
      </c>
      <c r="F17" s="9">
        <v>34229520942503</v>
      </c>
      <c r="G17" s="7" t="s">
        <v>718</v>
      </c>
      <c r="H17" s="9">
        <v>30677237119</v>
      </c>
      <c r="I17" s="7" t="s">
        <v>733</v>
      </c>
      <c r="J17" s="9">
        <v>1</v>
      </c>
      <c r="K17" s="7" t="s">
        <v>719</v>
      </c>
      <c r="L17" s="11">
        <v>12355.38</v>
      </c>
      <c r="M17" s="11">
        <v>0</v>
      </c>
      <c r="N17" s="11">
        <v>370.66</v>
      </c>
      <c r="O17" s="11">
        <v>0</v>
      </c>
      <c r="P17" s="11">
        <v>2594.62</v>
      </c>
      <c r="Q17" s="11">
        <v>15876.65</v>
      </c>
      <c r="R17">
        <f>VLOOKUP(E17,'IVA COMPRAS'!K:P,6,FALSE)</f>
        <v>15876.65</v>
      </c>
    </row>
    <row r="18" spans="1:18" hidden="1" x14ac:dyDescent="0.25">
      <c r="A18" s="7" t="s">
        <v>731</v>
      </c>
      <c r="B18" s="7" t="s">
        <v>717</v>
      </c>
      <c r="C18" s="9">
        <v>711</v>
      </c>
      <c r="D18" s="9">
        <v>5779436</v>
      </c>
      <c r="E18" s="7" t="str">
        <f t="shared" si="0"/>
        <v>306772371197115779436</v>
      </c>
      <c r="F18" s="9">
        <v>34229520942503</v>
      </c>
      <c r="G18" s="7" t="s">
        <v>718</v>
      </c>
      <c r="H18" s="9">
        <v>30677237119</v>
      </c>
      <c r="I18" s="7" t="s">
        <v>733</v>
      </c>
      <c r="J18" s="9">
        <v>1</v>
      </c>
      <c r="K18" s="7" t="s">
        <v>719</v>
      </c>
      <c r="L18" s="11">
        <v>60000.23</v>
      </c>
      <c r="M18" s="11">
        <v>0</v>
      </c>
      <c r="N18" s="11">
        <v>1800.01</v>
      </c>
      <c r="O18" s="11">
        <v>0</v>
      </c>
      <c r="P18" s="11">
        <v>12599.77</v>
      </c>
      <c r="Q18" s="11">
        <v>77100.02</v>
      </c>
      <c r="R18">
        <f>VLOOKUP(E18,'IVA COMPRAS'!K:P,6,FALSE)</f>
        <v>77100.02</v>
      </c>
    </row>
    <row r="19" spans="1:18" hidden="1" x14ac:dyDescent="0.25">
      <c r="A19" s="7" t="s">
        <v>731</v>
      </c>
      <c r="B19" s="7" t="s">
        <v>717</v>
      </c>
      <c r="C19" s="9">
        <v>711</v>
      </c>
      <c r="D19" s="9">
        <v>5781253</v>
      </c>
      <c r="E19" s="7" t="str">
        <f t="shared" si="0"/>
        <v>306772371197115781253</v>
      </c>
      <c r="F19" s="9">
        <v>34229520942503</v>
      </c>
      <c r="G19" s="7" t="s">
        <v>718</v>
      </c>
      <c r="H19" s="9">
        <v>30677237119</v>
      </c>
      <c r="I19" s="7" t="s">
        <v>733</v>
      </c>
      <c r="J19" s="9">
        <v>1</v>
      </c>
      <c r="K19" s="7" t="s">
        <v>719</v>
      </c>
      <c r="L19" s="11">
        <v>66611.740000000005</v>
      </c>
      <c r="M19" s="11">
        <v>0</v>
      </c>
      <c r="N19" s="11">
        <v>1998.35</v>
      </c>
      <c r="O19" s="11">
        <v>0</v>
      </c>
      <c r="P19" s="11">
        <v>13988.26</v>
      </c>
      <c r="Q19" s="11">
        <v>85595.87</v>
      </c>
      <c r="R19">
        <f>VLOOKUP(E19,'IVA COMPRAS'!K:P,6,FALSE)</f>
        <v>85595.87</v>
      </c>
    </row>
    <row r="20" spans="1:18" hidden="1" x14ac:dyDescent="0.25">
      <c r="A20" s="7" t="s">
        <v>770</v>
      </c>
      <c r="B20" s="7" t="s">
        <v>717</v>
      </c>
      <c r="C20" s="9">
        <v>711</v>
      </c>
      <c r="D20" s="9">
        <v>5836637</v>
      </c>
      <c r="E20" s="7" t="str">
        <f t="shared" si="0"/>
        <v>306772371197115836637</v>
      </c>
      <c r="F20" s="9">
        <v>34249649282246</v>
      </c>
      <c r="G20" s="7" t="s">
        <v>718</v>
      </c>
      <c r="H20" s="9">
        <v>30677237119</v>
      </c>
      <c r="I20" s="7" t="s">
        <v>733</v>
      </c>
      <c r="J20" s="9">
        <v>1</v>
      </c>
      <c r="K20" s="7" t="s">
        <v>719</v>
      </c>
      <c r="L20" s="11">
        <v>56694.47</v>
      </c>
      <c r="M20" s="11">
        <v>0</v>
      </c>
      <c r="N20" s="11">
        <v>1700.83</v>
      </c>
      <c r="O20" s="11">
        <v>0</v>
      </c>
      <c r="P20" s="11">
        <v>11905.53</v>
      </c>
      <c r="Q20" s="11">
        <v>72852.08</v>
      </c>
      <c r="R20">
        <f>VLOOKUP(E20,'IVA COMPRAS'!K:P,6,FALSE)</f>
        <v>72852.08</v>
      </c>
    </row>
    <row r="21" spans="1:18" hidden="1" x14ac:dyDescent="0.25">
      <c r="A21" s="7" t="s">
        <v>770</v>
      </c>
      <c r="B21" s="7" t="s">
        <v>717</v>
      </c>
      <c r="C21" s="9">
        <v>711</v>
      </c>
      <c r="D21" s="9">
        <v>5838441</v>
      </c>
      <c r="E21" s="7" t="str">
        <f t="shared" si="0"/>
        <v>306772371197115838441</v>
      </c>
      <c r="F21" s="9">
        <v>34249649282246</v>
      </c>
      <c r="G21" s="7" t="s">
        <v>718</v>
      </c>
      <c r="H21" s="9">
        <v>30677237119</v>
      </c>
      <c r="I21" s="7" t="s">
        <v>733</v>
      </c>
      <c r="J21" s="9">
        <v>1</v>
      </c>
      <c r="K21" s="7" t="s">
        <v>719</v>
      </c>
      <c r="L21" s="11">
        <v>61653.08</v>
      </c>
      <c r="M21" s="11">
        <v>0</v>
      </c>
      <c r="N21" s="11">
        <v>1849.59</v>
      </c>
      <c r="O21" s="11">
        <v>0</v>
      </c>
      <c r="P21" s="11">
        <v>12946.92</v>
      </c>
      <c r="Q21" s="11">
        <v>79223.98</v>
      </c>
      <c r="R21">
        <f>VLOOKUP(E21,'IVA COMPRAS'!K:P,6,FALSE)</f>
        <v>79223.98</v>
      </c>
    </row>
    <row r="22" spans="1:18" hidden="1" x14ac:dyDescent="0.25">
      <c r="A22" s="7" t="s">
        <v>770</v>
      </c>
      <c r="B22" s="7" t="s">
        <v>717</v>
      </c>
      <c r="C22" s="9">
        <v>711</v>
      </c>
      <c r="D22" s="9">
        <v>5833794</v>
      </c>
      <c r="E22" s="7" t="str">
        <f t="shared" si="0"/>
        <v>306772371197115833794</v>
      </c>
      <c r="F22" s="9">
        <v>34249649282246</v>
      </c>
      <c r="G22" s="7" t="s">
        <v>718</v>
      </c>
      <c r="H22" s="9">
        <v>30677237119</v>
      </c>
      <c r="I22" s="7" t="s">
        <v>733</v>
      </c>
      <c r="J22" s="9">
        <v>1</v>
      </c>
      <c r="K22" s="7" t="s">
        <v>719</v>
      </c>
      <c r="L22" s="11">
        <v>17190.12</v>
      </c>
      <c r="M22" s="11">
        <v>0</v>
      </c>
      <c r="N22" s="11">
        <v>515.70000000000005</v>
      </c>
      <c r="O22" s="11">
        <v>0</v>
      </c>
      <c r="P22" s="11">
        <v>3609.88</v>
      </c>
      <c r="Q22" s="11">
        <v>22089.25</v>
      </c>
      <c r="R22">
        <f>VLOOKUP(E22,'IVA COMPRAS'!K:P,6,FALSE)</f>
        <v>22089.25</v>
      </c>
    </row>
    <row r="23" spans="1:18" hidden="1" x14ac:dyDescent="0.25">
      <c r="A23" s="7" t="s">
        <v>726</v>
      </c>
      <c r="B23" s="7" t="s">
        <v>717</v>
      </c>
      <c r="C23" s="9">
        <v>5011</v>
      </c>
      <c r="D23" s="9">
        <v>629607</v>
      </c>
      <c r="E23" s="7" t="str">
        <f t="shared" si="0"/>
        <v>305748764745011629607</v>
      </c>
      <c r="F23" s="9">
        <v>74224097557602</v>
      </c>
      <c r="G23" s="7" t="s">
        <v>718</v>
      </c>
      <c r="H23" s="9">
        <v>30574876474</v>
      </c>
      <c r="I23" s="7" t="s">
        <v>83</v>
      </c>
      <c r="J23" s="9">
        <v>1</v>
      </c>
      <c r="K23" s="7" t="s">
        <v>719</v>
      </c>
      <c r="L23" s="11">
        <v>23824.87</v>
      </c>
      <c r="M23" s="11">
        <v>0</v>
      </c>
      <c r="N23" s="11">
        <v>0</v>
      </c>
      <c r="O23" s="11">
        <v>0</v>
      </c>
      <c r="P23" s="11">
        <v>5003.1899999999996</v>
      </c>
      <c r="Q23" s="11">
        <v>31925.29</v>
      </c>
      <c r="R23">
        <f>VLOOKUP(E23,'IVA COMPRAS'!K:P,6,FALSE)</f>
        <v>31925.31</v>
      </c>
    </row>
    <row r="24" spans="1:18" hidden="1" x14ac:dyDescent="0.25">
      <c r="A24" s="7" t="s">
        <v>726</v>
      </c>
      <c r="B24" s="7" t="s">
        <v>717</v>
      </c>
      <c r="C24" s="9">
        <v>5014</v>
      </c>
      <c r="D24" s="9">
        <v>619500</v>
      </c>
      <c r="E24" s="7" t="str">
        <f t="shared" si="0"/>
        <v>305748764745014619500</v>
      </c>
      <c r="F24" s="9">
        <v>74224099537491</v>
      </c>
      <c r="G24" s="7" t="s">
        <v>718</v>
      </c>
      <c r="H24" s="9">
        <v>30574876474</v>
      </c>
      <c r="I24" s="7" t="s">
        <v>83</v>
      </c>
      <c r="J24" s="9">
        <v>1</v>
      </c>
      <c r="K24" s="7" t="s">
        <v>719</v>
      </c>
      <c r="L24" s="11">
        <v>15131.1</v>
      </c>
      <c r="M24" s="11">
        <v>0</v>
      </c>
      <c r="N24" s="11">
        <v>0</v>
      </c>
      <c r="O24" s="11">
        <v>0</v>
      </c>
      <c r="P24" s="11">
        <v>3177.52</v>
      </c>
      <c r="Q24" s="11">
        <v>20275.66</v>
      </c>
      <c r="R24">
        <f>VLOOKUP(E24,'IVA COMPRAS'!K:P,6,FALSE)</f>
        <v>20275.669999999998</v>
      </c>
    </row>
    <row r="25" spans="1:18" hidden="1" x14ac:dyDescent="0.25">
      <c r="A25" s="7" t="s">
        <v>770</v>
      </c>
      <c r="B25" s="7" t="s">
        <v>717</v>
      </c>
      <c r="C25" s="9">
        <v>5014</v>
      </c>
      <c r="D25" s="9">
        <v>624249</v>
      </c>
      <c r="E25" s="7" t="str">
        <f t="shared" si="0"/>
        <v>305748764745014624249</v>
      </c>
      <c r="F25" s="9">
        <v>74244768908208</v>
      </c>
      <c r="G25" s="7" t="s">
        <v>718</v>
      </c>
      <c r="H25" s="9">
        <v>30574876474</v>
      </c>
      <c r="I25" s="7" t="s">
        <v>83</v>
      </c>
      <c r="J25" s="9">
        <v>1</v>
      </c>
      <c r="K25" s="7" t="s">
        <v>719</v>
      </c>
      <c r="L25" s="11">
        <v>44824.85</v>
      </c>
      <c r="M25" s="11">
        <v>0</v>
      </c>
      <c r="N25" s="11">
        <v>0</v>
      </c>
      <c r="O25" s="11">
        <v>0</v>
      </c>
      <c r="P25" s="11">
        <v>9413.19</v>
      </c>
      <c r="Q25" s="11">
        <v>59841.15</v>
      </c>
      <c r="R25">
        <f>VLOOKUP(E25,'IVA COMPRAS'!K:P,6,FALSE)</f>
        <v>59841.15</v>
      </c>
    </row>
    <row r="26" spans="1:18" hidden="1" x14ac:dyDescent="0.25">
      <c r="A26" s="7" t="s">
        <v>770</v>
      </c>
      <c r="B26" s="7" t="s">
        <v>717</v>
      </c>
      <c r="C26" s="9">
        <v>5011</v>
      </c>
      <c r="D26" s="9">
        <v>638662</v>
      </c>
      <c r="E26" s="7" t="str">
        <f t="shared" si="0"/>
        <v>305748764745011638662</v>
      </c>
      <c r="F26" s="9">
        <v>74244732488159</v>
      </c>
      <c r="G26" s="7" t="s">
        <v>718</v>
      </c>
      <c r="H26" s="9">
        <v>30574876474</v>
      </c>
      <c r="I26" s="7" t="s">
        <v>83</v>
      </c>
      <c r="J26" s="9">
        <v>1</v>
      </c>
      <c r="K26" s="7" t="s">
        <v>719</v>
      </c>
      <c r="L26" s="11">
        <v>26005.599999999999</v>
      </c>
      <c r="M26" s="11">
        <v>0</v>
      </c>
      <c r="N26" s="11">
        <v>0</v>
      </c>
      <c r="O26" s="11">
        <v>0</v>
      </c>
      <c r="P26" s="11">
        <v>5461.16</v>
      </c>
      <c r="Q26" s="11">
        <v>34717.449999999997</v>
      </c>
      <c r="R26">
        <f>VLOOKUP(E26,'IVA COMPRAS'!K:P,6,FALSE)</f>
        <v>34717.440000000002</v>
      </c>
    </row>
    <row r="27" spans="1:18" hidden="1" x14ac:dyDescent="0.25">
      <c r="A27" s="7" t="s">
        <v>788</v>
      </c>
      <c r="B27" s="7" t="s">
        <v>717</v>
      </c>
      <c r="C27" s="9">
        <v>5011</v>
      </c>
      <c r="D27" s="9">
        <v>647289</v>
      </c>
      <c r="E27" s="7" t="str">
        <f t="shared" si="0"/>
        <v>305748764745011647289</v>
      </c>
      <c r="F27" s="9">
        <v>74274397585782</v>
      </c>
      <c r="G27" s="7" t="s">
        <v>718</v>
      </c>
      <c r="H27" s="9">
        <v>30574876474</v>
      </c>
      <c r="I27" s="7" t="s">
        <v>83</v>
      </c>
      <c r="J27" s="9">
        <v>1</v>
      </c>
      <c r="K27" s="7" t="s">
        <v>719</v>
      </c>
      <c r="L27" s="11">
        <v>55316.66</v>
      </c>
      <c r="M27" s="11">
        <v>0</v>
      </c>
      <c r="N27" s="11">
        <v>0</v>
      </c>
      <c r="O27" s="11">
        <v>0</v>
      </c>
      <c r="P27" s="11">
        <v>11616.45</v>
      </c>
      <c r="Q27" s="11">
        <v>73847.67</v>
      </c>
      <c r="R27">
        <f>VLOOKUP(E27,'IVA COMPRAS'!K:P,6,FALSE)</f>
        <v>73847.67</v>
      </c>
    </row>
    <row r="28" spans="1:18" hidden="1" x14ac:dyDescent="0.25">
      <c r="A28" s="7" t="s">
        <v>788</v>
      </c>
      <c r="B28" s="7" t="s">
        <v>717</v>
      </c>
      <c r="C28" s="9">
        <v>5014</v>
      </c>
      <c r="D28" s="9">
        <v>628600</v>
      </c>
      <c r="E28" s="7" t="str">
        <f t="shared" si="0"/>
        <v>305748764745014628600</v>
      </c>
      <c r="F28" s="9">
        <v>74274404862167</v>
      </c>
      <c r="G28" s="7" t="s">
        <v>718</v>
      </c>
      <c r="H28" s="9">
        <v>30574876474</v>
      </c>
      <c r="I28" s="7" t="s">
        <v>83</v>
      </c>
      <c r="J28" s="9">
        <v>1</v>
      </c>
      <c r="K28" s="7" t="s">
        <v>719</v>
      </c>
      <c r="L28" s="11">
        <v>14343.95</v>
      </c>
      <c r="M28" s="11">
        <v>0</v>
      </c>
      <c r="N28" s="11">
        <v>0</v>
      </c>
      <c r="O28" s="11">
        <v>0</v>
      </c>
      <c r="P28" s="11">
        <v>3012.22</v>
      </c>
      <c r="Q28" s="11">
        <v>19149.16</v>
      </c>
      <c r="R28">
        <f>VLOOKUP(E28,'IVA COMPRAS'!K:P,6,FALSE)</f>
        <v>19149.16</v>
      </c>
    </row>
    <row r="29" spans="1:18" hidden="1" x14ac:dyDescent="0.25">
      <c r="A29" s="7" t="s">
        <v>752</v>
      </c>
      <c r="B29" s="7" t="s">
        <v>717</v>
      </c>
      <c r="C29" s="9">
        <v>4</v>
      </c>
      <c r="D29" s="9">
        <v>1473</v>
      </c>
      <c r="E29" s="7" t="str">
        <f t="shared" si="0"/>
        <v>2024334867741473</v>
      </c>
      <c r="F29" s="9">
        <v>74247045632486</v>
      </c>
      <c r="G29" s="7" t="s">
        <v>718</v>
      </c>
      <c r="H29" s="9">
        <v>20243348677</v>
      </c>
      <c r="I29" s="7" t="s">
        <v>248</v>
      </c>
      <c r="J29" s="9">
        <v>1</v>
      </c>
      <c r="K29" s="7" t="s">
        <v>719</v>
      </c>
      <c r="L29" s="11">
        <v>2567200</v>
      </c>
      <c r="M29" s="11">
        <v>0</v>
      </c>
      <c r="N29" s="11">
        <v>0</v>
      </c>
      <c r="O29" s="11">
        <v>0</v>
      </c>
      <c r="P29" s="11">
        <v>292866</v>
      </c>
      <c r="Q29" s="11">
        <v>2860066</v>
      </c>
      <c r="R29">
        <f>VLOOKUP(E29,'IVA COMPRAS'!K:P,6,FALSE)</f>
        <v>2860066</v>
      </c>
    </row>
    <row r="30" spans="1:18" hidden="1" x14ac:dyDescent="0.25">
      <c r="A30" s="7" t="s">
        <v>752</v>
      </c>
      <c r="B30" s="7" t="s">
        <v>717</v>
      </c>
      <c r="C30" s="9">
        <v>4</v>
      </c>
      <c r="D30" s="9">
        <v>1471</v>
      </c>
      <c r="E30" s="7" t="str">
        <f t="shared" si="0"/>
        <v>2024334867741471</v>
      </c>
      <c r="F30" s="9">
        <v>74247044956821</v>
      </c>
      <c r="G30" s="7" t="s">
        <v>718</v>
      </c>
      <c r="H30" s="9">
        <v>20243348677</v>
      </c>
      <c r="I30" s="7" t="s">
        <v>248</v>
      </c>
      <c r="J30" s="9">
        <v>1</v>
      </c>
      <c r="K30" s="7" t="s">
        <v>719</v>
      </c>
      <c r="L30" s="11">
        <v>2094500</v>
      </c>
      <c r="M30" s="11">
        <v>0</v>
      </c>
      <c r="N30" s="11">
        <v>0</v>
      </c>
      <c r="O30" s="11">
        <v>0</v>
      </c>
      <c r="P30" s="11">
        <v>237195</v>
      </c>
      <c r="Q30" s="11">
        <v>2331695</v>
      </c>
      <c r="R30">
        <f>VLOOKUP(E30,'IVA COMPRAS'!K:P,6,FALSE)</f>
        <v>2331695</v>
      </c>
    </row>
    <row r="31" spans="1:18" hidden="1" x14ac:dyDescent="0.25">
      <c r="A31" s="7" t="s">
        <v>752</v>
      </c>
      <c r="B31" s="7" t="s">
        <v>717</v>
      </c>
      <c r="C31" s="9">
        <v>4</v>
      </c>
      <c r="D31" s="9">
        <v>1472</v>
      </c>
      <c r="E31" s="7" t="str">
        <f t="shared" si="0"/>
        <v>2024334867741472</v>
      </c>
      <c r="F31" s="9">
        <v>74247045345266</v>
      </c>
      <c r="G31" s="7" t="s">
        <v>718</v>
      </c>
      <c r="H31" s="9">
        <v>20243348677</v>
      </c>
      <c r="I31" s="7" t="s">
        <v>248</v>
      </c>
      <c r="J31" s="9">
        <v>1</v>
      </c>
      <c r="K31" s="7" t="s">
        <v>719</v>
      </c>
      <c r="L31" s="11">
        <v>1190000</v>
      </c>
      <c r="M31" s="11">
        <v>0</v>
      </c>
      <c r="N31" s="11">
        <v>0</v>
      </c>
      <c r="O31" s="11">
        <v>0</v>
      </c>
      <c r="P31" s="11">
        <v>124950</v>
      </c>
      <c r="Q31" s="11">
        <v>1314950</v>
      </c>
      <c r="R31">
        <f>VLOOKUP(E31,'IVA COMPRAS'!K:P,6,FALSE)</f>
        <v>1314950</v>
      </c>
    </row>
    <row r="32" spans="1:18" hidden="1" x14ac:dyDescent="0.25">
      <c r="A32" s="7" t="s">
        <v>747</v>
      </c>
      <c r="B32" s="7" t="s">
        <v>717</v>
      </c>
      <c r="C32" s="9">
        <v>115</v>
      </c>
      <c r="D32" s="9">
        <v>143617</v>
      </c>
      <c r="E32" s="7" t="str">
        <f t="shared" si="0"/>
        <v>30629646708115143617</v>
      </c>
      <c r="F32" s="9">
        <v>74238616108938</v>
      </c>
      <c r="G32" s="7" t="s">
        <v>718</v>
      </c>
      <c r="H32" s="9">
        <v>30629646708</v>
      </c>
      <c r="I32" s="7" t="s">
        <v>748</v>
      </c>
      <c r="J32" s="9">
        <v>1</v>
      </c>
      <c r="K32" s="7" t="s">
        <v>719</v>
      </c>
      <c r="L32" s="11">
        <v>416307.71</v>
      </c>
      <c r="M32" s="11">
        <v>0</v>
      </c>
      <c r="N32" s="11">
        <v>0</v>
      </c>
      <c r="O32" s="11">
        <v>0</v>
      </c>
      <c r="P32" s="11">
        <v>43712.31</v>
      </c>
      <c r="Q32" s="11">
        <v>484998.5</v>
      </c>
      <c r="R32">
        <f>VLOOKUP(E32,'IVA COMPRAS'!K:P,6,FALSE)</f>
        <v>484998.5</v>
      </c>
    </row>
    <row r="33" spans="1:18" hidden="1" x14ac:dyDescent="0.25">
      <c r="A33" s="7" t="s">
        <v>747</v>
      </c>
      <c r="B33" s="7" t="s">
        <v>717</v>
      </c>
      <c r="C33" s="9">
        <v>115</v>
      </c>
      <c r="D33" s="9">
        <v>143618</v>
      </c>
      <c r="E33" s="7" t="str">
        <f t="shared" si="0"/>
        <v>30629646708115143618</v>
      </c>
      <c r="F33" s="9">
        <v>74238616113135</v>
      </c>
      <c r="G33" s="7" t="s">
        <v>718</v>
      </c>
      <c r="H33" s="9">
        <v>30629646708</v>
      </c>
      <c r="I33" s="7" t="s">
        <v>748</v>
      </c>
      <c r="J33" s="9">
        <v>1</v>
      </c>
      <c r="K33" s="7" t="s">
        <v>719</v>
      </c>
      <c r="L33" s="11">
        <v>2821865.05</v>
      </c>
      <c r="M33" s="11">
        <v>0</v>
      </c>
      <c r="N33" s="11">
        <v>0</v>
      </c>
      <c r="O33" s="11">
        <v>0</v>
      </c>
      <c r="P33" s="11">
        <v>592591.66</v>
      </c>
      <c r="Q33" s="11">
        <v>3626096.61</v>
      </c>
      <c r="R33">
        <f>VLOOKUP(E33,'IVA COMPRAS'!K:P,6,FALSE)</f>
        <v>3626096.61</v>
      </c>
    </row>
    <row r="34" spans="1:18" hidden="1" x14ac:dyDescent="0.25">
      <c r="A34" s="7" t="s">
        <v>747</v>
      </c>
      <c r="B34" s="7" t="s">
        <v>717</v>
      </c>
      <c r="C34" s="9">
        <v>115</v>
      </c>
      <c r="D34" s="9">
        <v>143622</v>
      </c>
      <c r="E34" s="7" t="str">
        <f t="shared" si="0"/>
        <v>30629646708115143622</v>
      </c>
      <c r="F34" s="9">
        <v>74238618817863</v>
      </c>
      <c r="G34" s="7" t="s">
        <v>718</v>
      </c>
      <c r="H34" s="9">
        <v>30629646708</v>
      </c>
      <c r="I34" s="7" t="s">
        <v>748</v>
      </c>
      <c r="J34" s="9">
        <v>1</v>
      </c>
      <c r="K34" s="7" t="s">
        <v>719</v>
      </c>
      <c r="L34" s="11">
        <v>1845068.52</v>
      </c>
      <c r="M34" s="11">
        <v>0</v>
      </c>
      <c r="N34" s="11">
        <v>0</v>
      </c>
      <c r="O34" s="11">
        <v>0</v>
      </c>
      <c r="P34" s="11">
        <v>387464.39</v>
      </c>
      <c r="Q34" s="11">
        <v>2370913.08</v>
      </c>
      <c r="R34">
        <f>VLOOKUP(E34,'IVA COMPRAS'!K:P,6,FALSE)</f>
        <v>2370913.08</v>
      </c>
    </row>
    <row r="35" spans="1:18" hidden="1" x14ac:dyDescent="0.25">
      <c r="A35" s="7" t="s">
        <v>759</v>
      </c>
      <c r="B35" s="7" t="s">
        <v>717</v>
      </c>
      <c r="C35" s="9">
        <v>115</v>
      </c>
      <c r="D35" s="9">
        <v>143823</v>
      </c>
      <c r="E35" s="7" t="str">
        <f t="shared" si="0"/>
        <v>30629646708115143823</v>
      </c>
      <c r="F35" s="9">
        <v>74248297068597</v>
      </c>
      <c r="G35" s="7" t="s">
        <v>718</v>
      </c>
      <c r="H35" s="9">
        <v>30629646708</v>
      </c>
      <c r="I35" s="7" t="s">
        <v>748</v>
      </c>
      <c r="J35" s="9">
        <v>1</v>
      </c>
      <c r="K35" s="7" t="s">
        <v>719</v>
      </c>
      <c r="L35" s="11">
        <v>169217.14</v>
      </c>
      <c r="M35" s="11">
        <v>0</v>
      </c>
      <c r="N35" s="11">
        <v>0</v>
      </c>
      <c r="O35" s="11">
        <v>0</v>
      </c>
      <c r="P35" s="11">
        <v>17767.8</v>
      </c>
      <c r="Q35" s="11">
        <v>191215.35</v>
      </c>
      <c r="R35">
        <f>VLOOKUP(E35,'IVA COMPRAS'!K:P,6,FALSE)</f>
        <v>191215.35</v>
      </c>
    </row>
    <row r="36" spans="1:18" hidden="1" x14ac:dyDescent="0.25">
      <c r="A36" s="7" t="s">
        <v>759</v>
      </c>
      <c r="B36" s="7" t="s">
        <v>717</v>
      </c>
      <c r="C36" s="9">
        <v>115</v>
      </c>
      <c r="D36" s="9">
        <v>143824</v>
      </c>
      <c r="E36" s="7" t="str">
        <f t="shared" si="0"/>
        <v>30629646708115143824</v>
      </c>
      <c r="F36" s="9">
        <v>74248297071616</v>
      </c>
      <c r="G36" s="7" t="s">
        <v>718</v>
      </c>
      <c r="H36" s="9">
        <v>30629646708</v>
      </c>
      <c r="I36" s="7" t="s">
        <v>748</v>
      </c>
      <c r="J36" s="9">
        <v>1</v>
      </c>
      <c r="K36" s="7" t="s">
        <v>719</v>
      </c>
      <c r="L36" s="11">
        <v>1051988.19</v>
      </c>
      <c r="M36" s="11">
        <v>0</v>
      </c>
      <c r="N36" s="11">
        <v>0</v>
      </c>
      <c r="O36" s="11">
        <v>0</v>
      </c>
      <c r="P36" s="11">
        <v>220917.52</v>
      </c>
      <c r="Q36" s="11">
        <v>1351804.82</v>
      </c>
      <c r="R36">
        <f>VLOOKUP(E36,'IVA COMPRAS'!K:P,6,FALSE)</f>
        <v>1351804.83</v>
      </c>
    </row>
    <row r="37" spans="1:18" hidden="1" x14ac:dyDescent="0.25">
      <c r="A37" s="7" t="s">
        <v>765</v>
      </c>
      <c r="B37" s="7" t="s">
        <v>717</v>
      </c>
      <c r="C37" s="9">
        <v>115</v>
      </c>
      <c r="D37" s="9">
        <v>144024</v>
      </c>
      <c r="E37" s="7" t="str">
        <f t="shared" si="0"/>
        <v>30629646708115144024</v>
      </c>
      <c r="F37" s="9">
        <v>74258873197639</v>
      </c>
      <c r="G37" s="7" t="s">
        <v>718</v>
      </c>
      <c r="H37" s="9">
        <v>30629646708</v>
      </c>
      <c r="I37" s="7" t="s">
        <v>748</v>
      </c>
      <c r="J37" s="9">
        <v>1</v>
      </c>
      <c r="K37" s="7" t="s">
        <v>719</v>
      </c>
      <c r="L37" s="11">
        <v>325425.14</v>
      </c>
      <c r="M37" s="11">
        <v>0</v>
      </c>
      <c r="N37" s="11">
        <v>0</v>
      </c>
      <c r="O37" s="11">
        <v>0</v>
      </c>
      <c r="P37" s="11">
        <v>34169.64</v>
      </c>
      <c r="Q37" s="11">
        <v>379120.34</v>
      </c>
      <c r="R37">
        <f>VLOOKUP(E37,'IVA COMPRAS'!K:P,6,FALSE)</f>
        <v>379120.34</v>
      </c>
    </row>
    <row r="38" spans="1:18" hidden="1" x14ac:dyDescent="0.25">
      <c r="A38" s="7" t="s">
        <v>765</v>
      </c>
      <c r="B38" s="7" t="s">
        <v>717</v>
      </c>
      <c r="C38" s="9">
        <v>115</v>
      </c>
      <c r="D38" s="9">
        <v>144025</v>
      </c>
      <c r="E38" s="7" t="str">
        <f t="shared" si="0"/>
        <v>30629646708115144025</v>
      </c>
      <c r="F38" s="9">
        <v>74258873198245</v>
      </c>
      <c r="G38" s="7" t="s">
        <v>718</v>
      </c>
      <c r="H38" s="9">
        <v>30629646708</v>
      </c>
      <c r="I38" s="7" t="s">
        <v>748</v>
      </c>
      <c r="J38" s="9">
        <v>1</v>
      </c>
      <c r="K38" s="7" t="s">
        <v>719</v>
      </c>
      <c r="L38" s="11">
        <v>2638771.19</v>
      </c>
      <c r="M38" s="11">
        <v>0</v>
      </c>
      <c r="N38" s="11">
        <v>0</v>
      </c>
      <c r="O38" s="11">
        <v>0</v>
      </c>
      <c r="P38" s="11">
        <v>554141.94999999995</v>
      </c>
      <c r="Q38" s="11">
        <v>3390820.95</v>
      </c>
      <c r="R38">
        <f>VLOOKUP(E38,'IVA COMPRAS'!K:P,6,FALSE)</f>
        <v>3390820.97</v>
      </c>
    </row>
    <row r="39" spans="1:18" hidden="1" x14ac:dyDescent="0.25">
      <c r="A39" s="7" t="s">
        <v>771</v>
      </c>
      <c r="B39" s="7" t="s">
        <v>722</v>
      </c>
      <c r="C39" s="9">
        <v>115</v>
      </c>
      <c r="D39" s="9">
        <v>31571</v>
      </c>
      <c r="E39" s="7" t="str">
        <f t="shared" si="0"/>
        <v>3062964670811531571</v>
      </c>
      <c r="F39" s="9">
        <v>74258886055131</v>
      </c>
      <c r="G39" s="7" t="s">
        <v>718</v>
      </c>
      <c r="H39" s="9">
        <v>30629646708</v>
      </c>
      <c r="I39" s="7" t="s">
        <v>748</v>
      </c>
      <c r="J39" s="9">
        <v>1</v>
      </c>
      <c r="K39" s="7" t="s">
        <v>719</v>
      </c>
      <c r="L39" s="11">
        <v>37651.14</v>
      </c>
      <c r="M39" s="11">
        <v>0</v>
      </c>
      <c r="N39" s="11">
        <v>0</v>
      </c>
      <c r="O39" s="11">
        <v>0</v>
      </c>
      <c r="P39" s="11">
        <v>7906.74</v>
      </c>
      <c r="Q39" s="11">
        <v>46687.41</v>
      </c>
      <c r="R39">
        <f>VLOOKUP(E39,'IVA COMPRAS'!K:P,6,FALSE)</f>
        <v>-46687.41</v>
      </c>
    </row>
    <row r="40" spans="1:18" x14ac:dyDescent="0.25">
      <c r="A40" s="7" t="s">
        <v>772</v>
      </c>
      <c r="B40" s="7" t="s">
        <v>773</v>
      </c>
      <c r="C40" s="9">
        <v>115</v>
      </c>
      <c r="D40" s="9">
        <v>4176</v>
      </c>
      <c r="E40" s="7" t="str">
        <f t="shared" si="0"/>
        <v>306296467081154176</v>
      </c>
      <c r="F40" s="9">
        <v>74258997704058</v>
      </c>
      <c r="G40" s="7" t="s">
        <v>718</v>
      </c>
      <c r="H40" s="9">
        <v>30629646708</v>
      </c>
      <c r="I40" s="7" t="s">
        <v>748</v>
      </c>
      <c r="J40" s="9">
        <v>1</v>
      </c>
      <c r="K40" s="7" t="s">
        <v>719</v>
      </c>
      <c r="L40" s="11">
        <v>37651.14</v>
      </c>
      <c r="M40" s="11">
        <v>0</v>
      </c>
      <c r="N40" s="11">
        <v>0</v>
      </c>
      <c r="O40" s="11">
        <v>0</v>
      </c>
      <c r="P40" s="11">
        <v>7906.74</v>
      </c>
      <c r="Q40" s="11">
        <v>46687.42</v>
      </c>
      <c r="R40" t="e">
        <f>VLOOKUP(E40,'IVA COMPRAS'!K:P,6,FALSE)</f>
        <v>#N/A</v>
      </c>
    </row>
    <row r="41" spans="1:18" hidden="1" x14ac:dyDescent="0.25">
      <c r="A41" s="7" t="s">
        <v>778</v>
      </c>
      <c r="B41" s="7" t="s">
        <v>717</v>
      </c>
      <c r="C41" s="9">
        <v>115</v>
      </c>
      <c r="D41" s="9">
        <v>144167</v>
      </c>
      <c r="E41" s="7" t="str">
        <f t="shared" si="0"/>
        <v>30629646708115144167</v>
      </c>
      <c r="F41" s="9">
        <v>74268502818258</v>
      </c>
      <c r="G41" s="7" t="s">
        <v>718</v>
      </c>
      <c r="H41" s="9">
        <v>30629646708</v>
      </c>
      <c r="I41" s="7" t="s">
        <v>748</v>
      </c>
      <c r="J41" s="9">
        <v>1</v>
      </c>
      <c r="K41" s="7" t="s">
        <v>719</v>
      </c>
      <c r="L41" s="11">
        <v>2535832.19</v>
      </c>
      <c r="M41" s="11">
        <v>0</v>
      </c>
      <c r="N41" s="11">
        <v>0</v>
      </c>
      <c r="O41" s="11">
        <v>0</v>
      </c>
      <c r="P41" s="11">
        <v>532524.76</v>
      </c>
      <c r="Q41" s="11">
        <v>3258544.34</v>
      </c>
      <c r="R41">
        <f>VLOOKUP(E41,'IVA COMPRAS'!K:P,6,FALSE)</f>
        <v>3258544.35</v>
      </c>
    </row>
    <row r="42" spans="1:18" hidden="1" x14ac:dyDescent="0.25">
      <c r="A42" s="7" t="s">
        <v>783</v>
      </c>
      <c r="B42" s="7" t="s">
        <v>722</v>
      </c>
      <c r="C42" s="9">
        <v>115</v>
      </c>
      <c r="D42" s="9">
        <v>31685</v>
      </c>
      <c r="E42" s="7" t="str">
        <f t="shared" si="0"/>
        <v>3062964670811531685</v>
      </c>
      <c r="F42" s="9">
        <v>74268879240395</v>
      </c>
      <c r="G42" s="7" t="s">
        <v>718</v>
      </c>
      <c r="H42" s="9">
        <v>30629646708</v>
      </c>
      <c r="I42" s="7" t="s">
        <v>748</v>
      </c>
      <c r="J42" s="9">
        <v>1</v>
      </c>
      <c r="K42" s="7" t="s">
        <v>719</v>
      </c>
      <c r="L42" s="11">
        <v>219132.95</v>
      </c>
      <c r="M42" s="11">
        <v>0</v>
      </c>
      <c r="N42" s="11">
        <v>0</v>
      </c>
      <c r="O42" s="11">
        <v>0</v>
      </c>
      <c r="P42" s="11">
        <v>46017.919999999998</v>
      </c>
      <c r="Q42" s="11">
        <v>265150.87</v>
      </c>
      <c r="R42">
        <f>VLOOKUP(E42,'IVA COMPRAS'!K:P,6,FALSE)</f>
        <v>-265150.87</v>
      </c>
    </row>
    <row r="43" spans="1:18" hidden="1" x14ac:dyDescent="0.25">
      <c r="A43" s="7" t="s">
        <v>783</v>
      </c>
      <c r="B43" s="7" t="s">
        <v>722</v>
      </c>
      <c r="C43" s="9">
        <v>115</v>
      </c>
      <c r="D43" s="9">
        <v>31665</v>
      </c>
      <c r="E43" s="7" t="str">
        <f t="shared" si="0"/>
        <v>3062964670811531665</v>
      </c>
      <c r="F43" s="9">
        <v>74268849016843</v>
      </c>
      <c r="G43" s="7" t="s">
        <v>718</v>
      </c>
      <c r="H43" s="9">
        <v>30629646708</v>
      </c>
      <c r="I43" s="7" t="s">
        <v>748</v>
      </c>
      <c r="J43" s="9">
        <v>1</v>
      </c>
      <c r="K43" s="7" t="s">
        <v>719</v>
      </c>
      <c r="L43" s="11">
        <v>37174.33</v>
      </c>
      <c r="M43" s="11">
        <v>0</v>
      </c>
      <c r="N43" s="11">
        <v>0</v>
      </c>
      <c r="O43" s="11">
        <v>0</v>
      </c>
      <c r="P43" s="11">
        <v>7806.61</v>
      </c>
      <c r="Q43" s="11">
        <v>46096.18</v>
      </c>
      <c r="R43">
        <f>VLOOKUP(E43,'IVA COMPRAS'!K:P,6,FALSE)</f>
        <v>-46096.18</v>
      </c>
    </row>
    <row r="44" spans="1:18" hidden="1" x14ac:dyDescent="0.25">
      <c r="A44" s="7" t="s">
        <v>783</v>
      </c>
      <c r="B44" s="7" t="s">
        <v>722</v>
      </c>
      <c r="C44" s="9">
        <v>115</v>
      </c>
      <c r="D44" s="9">
        <v>31671</v>
      </c>
      <c r="E44" s="7" t="str">
        <f t="shared" si="0"/>
        <v>3062964670811531671</v>
      </c>
      <c r="F44" s="9">
        <v>74268865354235</v>
      </c>
      <c r="G44" s="7" t="s">
        <v>718</v>
      </c>
      <c r="H44" s="9">
        <v>30629646708</v>
      </c>
      <c r="I44" s="7" t="s">
        <v>748</v>
      </c>
      <c r="J44" s="9">
        <v>1</v>
      </c>
      <c r="K44" s="7" t="s">
        <v>719</v>
      </c>
      <c r="L44" s="11">
        <v>552691.62</v>
      </c>
      <c r="M44" s="11">
        <v>0</v>
      </c>
      <c r="N44" s="11">
        <v>0</v>
      </c>
      <c r="O44" s="11">
        <v>0</v>
      </c>
      <c r="P44" s="11">
        <v>116065.24</v>
      </c>
      <c r="Q44" s="11">
        <v>685337.63</v>
      </c>
      <c r="R44">
        <f>VLOOKUP(E44,'IVA COMPRAS'!K:P,6,FALSE)</f>
        <v>-685337.63</v>
      </c>
    </row>
    <row r="45" spans="1:18" hidden="1" x14ac:dyDescent="0.25">
      <c r="A45" s="7" t="s">
        <v>759</v>
      </c>
      <c r="B45" s="7" t="s">
        <v>717</v>
      </c>
      <c r="C45" s="9">
        <v>1</v>
      </c>
      <c r="D45" s="9">
        <v>103</v>
      </c>
      <c r="E45" s="7" t="str">
        <f t="shared" si="0"/>
        <v>203019714791103</v>
      </c>
      <c r="F45" s="9">
        <v>74249290651317</v>
      </c>
      <c r="G45" s="7" t="s">
        <v>718</v>
      </c>
      <c r="H45" s="9">
        <v>20301971479</v>
      </c>
      <c r="I45" s="7" t="s">
        <v>311</v>
      </c>
      <c r="J45" s="9">
        <v>1</v>
      </c>
      <c r="K45" s="7" t="s">
        <v>719</v>
      </c>
      <c r="L45" s="11">
        <v>320000</v>
      </c>
      <c r="M45" s="11">
        <v>0</v>
      </c>
      <c r="N45" s="11">
        <v>0</v>
      </c>
      <c r="O45" s="11">
        <v>0</v>
      </c>
      <c r="P45" s="11">
        <v>67200</v>
      </c>
      <c r="Q45" s="11">
        <v>387200</v>
      </c>
      <c r="R45">
        <f>VLOOKUP(E45,'IVA COMPRAS'!K:P,6,FALSE)</f>
        <v>387200</v>
      </c>
    </row>
    <row r="46" spans="1:18" hidden="1" x14ac:dyDescent="0.25">
      <c r="A46" s="7" t="s">
        <v>772</v>
      </c>
      <c r="B46" s="7" t="s">
        <v>717</v>
      </c>
      <c r="C46" s="9">
        <v>1</v>
      </c>
      <c r="D46" s="9">
        <v>105</v>
      </c>
      <c r="E46" s="7" t="str">
        <f t="shared" si="0"/>
        <v>203019714791105</v>
      </c>
      <c r="F46" s="9">
        <v>74259091875524</v>
      </c>
      <c r="G46" s="7" t="s">
        <v>718</v>
      </c>
      <c r="H46" s="9">
        <v>20301971479</v>
      </c>
      <c r="I46" s="7" t="s">
        <v>311</v>
      </c>
      <c r="J46" s="9">
        <v>1</v>
      </c>
      <c r="K46" s="7" t="s">
        <v>719</v>
      </c>
      <c r="L46" s="11">
        <v>380000</v>
      </c>
      <c r="M46" s="11">
        <v>0</v>
      </c>
      <c r="N46" s="11">
        <v>0</v>
      </c>
      <c r="O46" s="11">
        <v>0</v>
      </c>
      <c r="P46" s="11">
        <v>79800</v>
      </c>
      <c r="Q46" s="11">
        <v>459800</v>
      </c>
      <c r="R46">
        <f>VLOOKUP(E46,'IVA COMPRAS'!K:P,6,FALSE)</f>
        <v>459800</v>
      </c>
    </row>
    <row r="47" spans="1:18" hidden="1" x14ac:dyDescent="0.25">
      <c r="A47" s="7" t="s">
        <v>779</v>
      </c>
      <c r="B47" s="7" t="s">
        <v>717</v>
      </c>
      <c r="C47" s="9">
        <v>12</v>
      </c>
      <c r="D47" s="9">
        <v>1953</v>
      </c>
      <c r="E47" s="7" t="str">
        <f t="shared" si="0"/>
        <v>30711969132121953</v>
      </c>
      <c r="F47" s="9">
        <v>74262575963797</v>
      </c>
      <c r="G47" s="7" t="s">
        <v>718</v>
      </c>
      <c r="H47" s="9">
        <v>30711969132</v>
      </c>
      <c r="I47" s="7" t="s">
        <v>780</v>
      </c>
      <c r="J47" s="9">
        <v>1</v>
      </c>
      <c r="K47" s="7" t="s">
        <v>719</v>
      </c>
      <c r="L47" s="11">
        <v>646019</v>
      </c>
      <c r="M47" s="11">
        <v>0</v>
      </c>
      <c r="N47" s="11">
        <v>0</v>
      </c>
      <c r="O47" s="11">
        <v>0</v>
      </c>
      <c r="P47" s="11">
        <v>135663.99</v>
      </c>
      <c r="Q47" s="15">
        <v>781682.99</v>
      </c>
      <c r="R47" t="s">
        <v>789</v>
      </c>
    </row>
    <row r="48" spans="1:18" hidden="1" x14ac:dyDescent="0.25">
      <c r="A48" s="7" t="s">
        <v>782</v>
      </c>
      <c r="B48" s="7" t="s">
        <v>722</v>
      </c>
      <c r="C48" s="9">
        <v>12</v>
      </c>
      <c r="D48" s="9">
        <v>513</v>
      </c>
      <c r="E48" s="7" t="str">
        <f t="shared" si="0"/>
        <v>3071196913212513</v>
      </c>
      <c r="F48" s="9">
        <v>74262702878565</v>
      </c>
      <c r="G48" s="7" t="s">
        <v>718</v>
      </c>
      <c r="H48" s="9">
        <v>30711969132</v>
      </c>
      <c r="I48" s="7" t="s">
        <v>780</v>
      </c>
      <c r="J48" s="9">
        <v>1</v>
      </c>
      <c r="K48" s="7" t="s">
        <v>719</v>
      </c>
      <c r="L48" s="11">
        <v>646019</v>
      </c>
      <c r="M48" s="11">
        <v>0</v>
      </c>
      <c r="N48" s="11">
        <v>0</v>
      </c>
      <c r="O48" s="11">
        <v>0</v>
      </c>
      <c r="P48" s="11">
        <v>135663.99</v>
      </c>
      <c r="Q48" s="15">
        <v>781682.99</v>
      </c>
      <c r="R48" t="s">
        <v>789</v>
      </c>
    </row>
    <row r="49" spans="1:18" hidden="1" x14ac:dyDescent="0.25">
      <c r="A49" s="7" t="s">
        <v>731</v>
      </c>
      <c r="B49" s="7" t="s">
        <v>717</v>
      </c>
      <c r="C49" s="9">
        <v>2</v>
      </c>
      <c r="D49" s="9">
        <v>1037</v>
      </c>
      <c r="E49" s="7" t="str">
        <f t="shared" si="0"/>
        <v>2314856169921037</v>
      </c>
      <c r="F49" s="9">
        <v>74239303170183</v>
      </c>
      <c r="G49" s="7" t="s">
        <v>718</v>
      </c>
      <c r="H49" s="9">
        <v>23148561699</v>
      </c>
      <c r="I49" s="7" t="s">
        <v>106</v>
      </c>
      <c r="J49" s="9">
        <v>1</v>
      </c>
      <c r="K49" s="7" t="s">
        <v>719</v>
      </c>
      <c r="L49" s="11">
        <v>396000</v>
      </c>
      <c r="M49" s="11">
        <v>0</v>
      </c>
      <c r="N49" s="11">
        <v>0</v>
      </c>
      <c r="O49" s="11">
        <v>0</v>
      </c>
      <c r="P49" s="11">
        <v>83160</v>
      </c>
      <c r="Q49" s="11">
        <v>479160</v>
      </c>
      <c r="R49">
        <f>VLOOKUP(E49,'IVA COMPRAS'!K:P,6,FALSE)</f>
        <v>479160</v>
      </c>
    </row>
    <row r="50" spans="1:18" hidden="1" x14ac:dyDescent="0.25">
      <c r="A50" s="7" t="s">
        <v>726</v>
      </c>
      <c r="B50" s="7" t="s">
        <v>730</v>
      </c>
      <c r="C50" s="9">
        <v>1</v>
      </c>
      <c r="D50" s="9">
        <v>35</v>
      </c>
      <c r="E50" s="7" t="str">
        <f t="shared" si="0"/>
        <v>27444490204135</v>
      </c>
      <c r="F50" s="9">
        <v>74234234739919</v>
      </c>
      <c r="G50" s="7" t="s">
        <v>718</v>
      </c>
      <c r="H50" s="9">
        <v>27444490204</v>
      </c>
      <c r="I50" s="7" t="s">
        <v>87</v>
      </c>
      <c r="J50" s="9">
        <v>1</v>
      </c>
      <c r="K50" s="7" t="s">
        <v>719</v>
      </c>
      <c r="L50" s="11"/>
      <c r="M50" s="11"/>
      <c r="N50" s="11"/>
      <c r="O50" s="11">
        <v>0</v>
      </c>
      <c r="P50" s="11"/>
      <c r="Q50" s="11">
        <v>350000</v>
      </c>
      <c r="R50">
        <f>VLOOKUP(E50,'IVA COMPRAS'!K:P,6,FALSE)</f>
        <v>350000</v>
      </c>
    </row>
    <row r="51" spans="1:18" hidden="1" x14ac:dyDescent="0.25">
      <c r="A51" s="7" t="s">
        <v>716</v>
      </c>
      <c r="B51" s="7" t="s">
        <v>722</v>
      </c>
      <c r="C51" s="9">
        <v>2009</v>
      </c>
      <c r="D51" s="9">
        <v>6273</v>
      </c>
      <c r="E51" s="7" t="str">
        <f t="shared" si="0"/>
        <v>3070086991820096273</v>
      </c>
      <c r="F51" s="9">
        <v>74238210429374</v>
      </c>
      <c r="G51" s="7" t="s">
        <v>718</v>
      </c>
      <c r="H51" s="9">
        <v>30700869918</v>
      </c>
      <c r="I51" s="7" t="s">
        <v>723</v>
      </c>
      <c r="J51" s="9">
        <v>1</v>
      </c>
      <c r="K51" s="7" t="s">
        <v>719</v>
      </c>
      <c r="L51" s="11">
        <v>164000</v>
      </c>
      <c r="M51" s="11">
        <v>0</v>
      </c>
      <c r="N51" s="11">
        <v>0</v>
      </c>
      <c r="O51" s="11">
        <v>0</v>
      </c>
      <c r="P51" s="11">
        <v>34440</v>
      </c>
      <c r="Q51" s="11">
        <v>198440</v>
      </c>
      <c r="R51">
        <f>VLOOKUP(E51,'IVA COMPRAS'!K:P,6,FALSE)</f>
        <v>-198440</v>
      </c>
    </row>
    <row r="52" spans="1:18" hidden="1" x14ac:dyDescent="0.25">
      <c r="A52" s="7" t="s">
        <v>752</v>
      </c>
      <c r="B52" s="7" t="s">
        <v>717</v>
      </c>
      <c r="C52" s="9">
        <v>2009</v>
      </c>
      <c r="D52" s="9">
        <v>38502</v>
      </c>
      <c r="E52" s="7" t="str">
        <f t="shared" si="0"/>
        <v>30700869918200938502</v>
      </c>
      <c r="F52" s="9">
        <v>74248029583152</v>
      </c>
      <c r="G52" s="7" t="s">
        <v>718</v>
      </c>
      <c r="H52" s="9">
        <v>30700869918</v>
      </c>
      <c r="I52" s="7" t="s">
        <v>723</v>
      </c>
      <c r="J52" s="9">
        <v>1</v>
      </c>
      <c r="K52" s="7" t="s">
        <v>719</v>
      </c>
      <c r="L52" s="11">
        <v>6156000</v>
      </c>
      <c r="M52" s="11">
        <v>0</v>
      </c>
      <c r="N52" s="11">
        <v>0</v>
      </c>
      <c r="O52" s="11">
        <v>0</v>
      </c>
      <c r="P52" s="11">
        <v>1292760</v>
      </c>
      <c r="Q52" s="11">
        <v>7910460</v>
      </c>
      <c r="R52">
        <f>VLOOKUP(E52,'IVA COMPRAS'!K:P,6,FALSE)</f>
        <v>7910460</v>
      </c>
    </row>
    <row r="53" spans="1:18" hidden="1" x14ac:dyDescent="0.25">
      <c r="A53" s="7" t="s">
        <v>752</v>
      </c>
      <c r="B53" s="7" t="s">
        <v>717</v>
      </c>
      <c r="C53" s="9">
        <v>2009</v>
      </c>
      <c r="D53" s="9">
        <v>38503</v>
      </c>
      <c r="E53" s="7" t="str">
        <f t="shared" si="0"/>
        <v>30700869918200938503</v>
      </c>
      <c r="F53" s="9">
        <v>74248029650518</v>
      </c>
      <c r="G53" s="7" t="s">
        <v>718</v>
      </c>
      <c r="H53" s="9">
        <v>30700869918</v>
      </c>
      <c r="I53" s="7" t="s">
        <v>723</v>
      </c>
      <c r="J53" s="9">
        <v>1</v>
      </c>
      <c r="K53" s="7" t="s">
        <v>719</v>
      </c>
      <c r="L53" s="11">
        <v>6156000</v>
      </c>
      <c r="M53" s="11">
        <v>0</v>
      </c>
      <c r="N53" s="11">
        <v>0</v>
      </c>
      <c r="O53" s="11">
        <v>0</v>
      </c>
      <c r="P53" s="11">
        <v>1292760</v>
      </c>
      <c r="Q53" s="11">
        <v>7910460</v>
      </c>
      <c r="R53">
        <f>VLOOKUP(E53,'IVA COMPRAS'!K:P,6,FALSE)</f>
        <v>7910460</v>
      </c>
    </row>
    <row r="54" spans="1:18" hidden="1" x14ac:dyDescent="0.25">
      <c r="A54" s="7" t="s">
        <v>752</v>
      </c>
      <c r="B54" s="7" t="s">
        <v>717</v>
      </c>
      <c r="C54" s="9">
        <v>2009</v>
      </c>
      <c r="D54" s="9">
        <v>38504</v>
      </c>
      <c r="E54" s="7" t="str">
        <f t="shared" si="0"/>
        <v>30700869918200938504</v>
      </c>
      <c r="F54" s="9">
        <v>74248029659711</v>
      </c>
      <c r="G54" s="7" t="s">
        <v>718</v>
      </c>
      <c r="H54" s="9">
        <v>30700869918</v>
      </c>
      <c r="I54" s="7" t="s">
        <v>723</v>
      </c>
      <c r="J54" s="9">
        <v>1</v>
      </c>
      <c r="K54" s="7" t="s">
        <v>719</v>
      </c>
      <c r="L54" s="11">
        <v>4532000</v>
      </c>
      <c r="M54" s="11">
        <v>0</v>
      </c>
      <c r="N54" s="11">
        <v>0</v>
      </c>
      <c r="O54" s="11">
        <v>0</v>
      </c>
      <c r="P54" s="11">
        <v>951720</v>
      </c>
      <c r="Q54" s="11">
        <v>5823620</v>
      </c>
      <c r="R54">
        <f>VLOOKUP(E54,'IVA COMPRAS'!K:P,6,FALSE)</f>
        <v>5823620</v>
      </c>
    </row>
    <row r="55" spans="1:18" hidden="1" x14ac:dyDescent="0.25">
      <c r="A55" s="7" t="s">
        <v>752</v>
      </c>
      <c r="B55" s="7" t="s">
        <v>717</v>
      </c>
      <c r="C55" s="9">
        <v>2009</v>
      </c>
      <c r="D55" s="9">
        <v>38505</v>
      </c>
      <c r="E55" s="7" t="str">
        <f t="shared" si="0"/>
        <v>30700869918200938505</v>
      </c>
      <c r="F55" s="9">
        <v>74248029754637</v>
      </c>
      <c r="G55" s="7" t="s">
        <v>718</v>
      </c>
      <c r="H55" s="9">
        <v>30700869918</v>
      </c>
      <c r="I55" s="7" t="s">
        <v>723</v>
      </c>
      <c r="J55" s="9">
        <v>1</v>
      </c>
      <c r="K55" s="7" t="s">
        <v>719</v>
      </c>
      <c r="L55" s="11">
        <v>5665000</v>
      </c>
      <c r="M55" s="11">
        <v>0</v>
      </c>
      <c r="N55" s="11">
        <v>0</v>
      </c>
      <c r="O55" s="11">
        <v>0</v>
      </c>
      <c r="P55" s="11">
        <v>1189650</v>
      </c>
      <c r="Q55" s="11">
        <v>7477800</v>
      </c>
      <c r="R55">
        <f>VLOOKUP(E55,'IVA COMPRAS'!K:P,6,FALSE)</f>
        <v>7477800</v>
      </c>
    </row>
    <row r="56" spans="1:18" hidden="1" x14ac:dyDescent="0.25">
      <c r="A56" s="7" t="s">
        <v>763</v>
      </c>
      <c r="B56" s="7" t="s">
        <v>717</v>
      </c>
      <c r="C56" s="9">
        <v>2009</v>
      </c>
      <c r="D56" s="9">
        <v>38575</v>
      </c>
      <c r="E56" s="7" t="str">
        <f t="shared" si="0"/>
        <v>30700869918200938575</v>
      </c>
      <c r="F56" s="9">
        <v>74248438815243</v>
      </c>
      <c r="G56" s="7" t="s">
        <v>718</v>
      </c>
      <c r="H56" s="9">
        <v>30700869918</v>
      </c>
      <c r="I56" s="7" t="s">
        <v>723</v>
      </c>
      <c r="J56" s="9">
        <v>1</v>
      </c>
      <c r="K56" s="7" t="s">
        <v>719</v>
      </c>
      <c r="L56" s="11">
        <v>10560000</v>
      </c>
      <c r="M56" s="11">
        <v>0</v>
      </c>
      <c r="N56" s="11">
        <v>0</v>
      </c>
      <c r="O56" s="11">
        <v>0</v>
      </c>
      <c r="P56" s="11">
        <v>2217600</v>
      </c>
      <c r="Q56" s="11">
        <v>13949760</v>
      </c>
      <c r="R56">
        <f>VLOOKUP(E56,'IVA COMPRAS'!K:P,6,FALSE)</f>
        <v>13949760</v>
      </c>
    </row>
    <row r="57" spans="1:18" hidden="1" x14ac:dyDescent="0.25">
      <c r="A57" s="7" t="s">
        <v>763</v>
      </c>
      <c r="B57" s="7" t="s">
        <v>717</v>
      </c>
      <c r="C57" s="9">
        <v>2009</v>
      </c>
      <c r="D57" s="9">
        <v>38576</v>
      </c>
      <c r="E57" s="7" t="str">
        <f t="shared" si="0"/>
        <v>30700869918200938576</v>
      </c>
      <c r="F57" s="9">
        <v>74248438826873</v>
      </c>
      <c r="G57" s="7" t="s">
        <v>718</v>
      </c>
      <c r="H57" s="9">
        <v>30700869918</v>
      </c>
      <c r="I57" s="7" t="s">
        <v>723</v>
      </c>
      <c r="J57" s="9">
        <v>1</v>
      </c>
      <c r="K57" s="7" t="s">
        <v>719</v>
      </c>
      <c r="L57" s="11">
        <v>5665000</v>
      </c>
      <c r="M57" s="11">
        <v>0</v>
      </c>
      <c r="N57" s="11">
        <v>0</v>
      </c>
      <c r="O57" s="11">
        <v>0</v>
      </c>
      <c r="P57" s="11">
        <v>1189650</v>
      </c>
      <c r="Q57" s="11">
        <v>7483465</v>
      </c>
      <c r="R57">
        <f>VLOOKUP(E57,'IVA COMPRAS'!K:P,6,FALSE)</f>
        <v>7483465</v>
      </c>
    </row>
    <row r="58" spans="1:18" hidden="1" x14ac:dyDescent="0.25">
      <c r="A58" s="7" t="s">
        <v>772</v>
      </c>
      <c r="B58" s="7" t="s">
        <v>717</v>
      </c>
      <c r="C58" s="9">
        <v>2009</v>
      </c>
      <c r="D58" s="9">
        <v>38673</v>
      </c>
      <c r="E58" s="7" t="str">
        <f t="shared" si="0"/>
        <v>30700869918200938673</v>
      </c>
      <c r="F58" s="9">
        <v>74258025377789</v>
      </c>
      <c r="G58" s="7" t="s">
        <v>718</v>
      </c>
      <c r="H58" s="9">
        <v>30700869918</v>
      </c>
      <c r="I58" s="7" t="s">
        <v>723</v>
      </c>
      <c r="J58" s="9">
        <v>1</v>
      </c>
      <c r="K58" s="7" t="s">
        <v>719</v>
      </c>
      <c r="L58" s="11">
        <v>5665000</v>
      </c>
      <c r="M58" s="11">
        <v>0</v>
      </c>
      <c r="N58" s="11">
        <v>0</v>
      </c>
      <c r="O58" s="11">
        <v>0</v>
      </c>
      <c r="P58" s="11">
        <v>1189650</v>
      </c>
      <c r="Q58" s="11">
        <v>7279525</v>
      </c>
      <c r="R58">
        <f>VLOOKUP(E58,'IVA COMPRAS'!K:P,6,FALSE)</f>
        <v>7279525</v>
      </c>
    </row>
    <row r="59" spans="1:18" hidden="1" x14ac:dyDescent="0.25">
      <c r="A59" s="7" t="s">
        <v>772</v>
      </c>
      <c r="B59" s="7" t="s">
        <v>717</v>
      </c>
      <c r="C59" s="9">
        <v>2009</v>
      </c>
      <c r="D59" s="9">
        <v>38674</v>
      </c>
      <c r="E59" s="7" t="str">
        <f t="shared" si="0"/>
        <v>30700869918200938674</v>
      </c>
      <c r="F59" s="9">
        <v>74258025390097</v>
      </c>
      <c r="G59" s="7" t="s">
        <v>718</v>
      </c>
      <c r="H59" s="9">
        <v>30700869918</v>
      </c>
      <c r="I59" s="7" t="s">
        <v>723</v>
      </c>
      <c r="J59" s="9">
        <v>1</v>
      </c>
      <c r="K59" s="7" t="s">
        <v>719</v>
      </c>
      <c r="L59" s="11">
        <v>963600</v>
      </c>
      <c r="M59" s="11">
        <v>0</v>
      </c>
      <c r="N59" s="11">
        <v>0</v>
      </c>
      <c r="O59" s="11">
        <v>0</v>
      </c>
      <c r="P59" s="11">
        <v>202356</v>
      </c>
      <c r="Q59" s="11">
        <v>1238226</v>
      </c>
      <c r="R59">
        <f>VLOOKUP(E59,'IVA COMPRAS'!K:P,6,FALSE)</f>
        <v>1238226</v>
      </c>
    </row>
    <row r="60" spans="1:18" hidden="1" x14ac:dyDescent="0.25">
      <c r="A60" s="7" t="s">
        <v>772</v>
      </c>
      <c r="B60" s="7" t="s">
        <v>717</v>
      </c>
      <c r="C60" s="9">
        <v>2009</v>
      </c>
      <c r="D60" s="9">
        <v>38675</v>
      </c>
      <c r="E60" s="7" t="str">
        <f t="shared" si="0"/>
        <v>30700869918200938675</v>
      </c>
      <c r="F60" s="9">
        <v>74258025400652</v>
      </c>
      <c r="G60" s="7" t="s">
        <v>718</v>
      </c>
      <c r="H60" s="9">
        <v>30700869918</v>
      </c>
      <c r="I60" s="7" t="s">
        <v>723</v>
      </c>
      <c r="J60" s="9">
        <v>1</v>
      </c>
      <c r="K60" s="7" t="s">
        <v>719</v>
      </c>
      <c r="L60" s="11">
        <v>2630880</v>
      </c>
      <c r="M60" s="11">
        <v>0</v>
      </c>
      <c r="N60" s="11">
        <v>0</v>
      </c>
      <c r="O60" s="11">
        <v>0</v>
      </c>
      <c r="P60" s="11">
        <v>552484.80000000005</v>
      </c>
      <c r="Q60" s="11">
        <v>3472761.6</v>
      </c>
      <c r="R60">
        <f>VLOOKUP(E60,'IVA COMPRAS'!K:P,6,FALSE)</f>
        <v>3472761.6</v>
      </c>
    </row>
    <row r="61" spans="1:18" hidden="1" x14ac:dyDescent="0.25">
      <c r="A61" s="7" t="s">
        <v>772</v>
      </c>
      <c r="B61" s="7" t="s">
        <v>722</v>
      </c>
      <c r="C61" s="9">
        <v>2009</v>
      </c>
      <c r="D61" s="9">
        <v>6304</v>
      </c>
      <c r="E61" s="7" t="str">
        <f t="shared" si="0"/>
        <v>3070086991820096304</v>
      </c>
      <c r="F61" s="9">
        <v>74258058573795</v>
      </c>
      <c r="G61" s="7" t="s">
        <v>718</v>
      </c>
      <c r="H61" s="9">
        <v>30700869918</v>
      </c>
      <c r="I61" s="7" t="s">
        <v>723</v>
      </c>
      <c r="J61" s="9">
        <v>1</v>
      </c>
      <c r="K61" s="7" t="s">
        <v>719</v>
      </c>
      <c r="L61" s="11">
        <v>1095600</v>
      </c>
      <c r="M61" s="11">
        <v>0</v>
      </c>
      <c r="N61" s="11">
        <v>0</v>
      </c>
      <c r="O61" s="11">
        <v>0</v>
      </c>
      <c r="P61" s="11">
        <v>230076</v>
      </c>
      <c r="Q61" s="11">
        <v>1446192</v>
      </c>
      <c r="R61">
        <f>VLOOKUP(E61,'IVA COMPRAS'!K:P,6,FALSE)</f>
        <v>-1446192</v>
      </c>
    </row>
    <row r="62" spans="1:18" hidden="1" x14ac:dyDescent="0.25">
      <c r="A62" s="7" t="s">
        <v>759</v>
      </c>
      <c r="B62" s="7" t="s">
        <v>730</v>
      </c>
      <c r="C62" s="9">
        <v>11</v>
      </c>
      <c r="D62" s="9">
        <v>13465</v>
      </c>
      <c r="E62" s="7" t="str">
        <f t="shared" si="0"/>
        <v>306631787641113465</v>
      </c>
      <c r="F62" s="9">
        <v>74244269891639</v>
      </c>
      <c r="G62" s="7" t="s">
        <v>718</v>
      </c>
      <c r="H62" s="9">
        <v>30663178764</v>
      </c>
      <c r="I62" s="7" t="s">
        <v>762</v>
      </c>
      <c r="J62" s="9">
        <v>1</v>
      </c>
      <c r="K62" s="7" t="s">
        <v>719</v>
      </c>
      <c r="L62" s="11"/>
      <c r="M62" s="11"/>
      <c r="N62" s="11"/>
      <c r="O62" s="11">
        <v>0</v>
      </c>
      <c r="P62" s="11"/>
      <c r="Q62" s="11">
        <v>3200</v>
      </c>
      <c r="R62" t="s">
        <v>792</v>
      </c>
    </row>
    <row r="63" spans="1:18" hidden="1" x14ac:dyDescent="0.25">
      <c r="A63" s="7" t="s">
        <v>738</v>
      </c>
      <c r="B63" s="7" t="s">
        <v>717</v>
      </c>
      <c r="C63" s="9">
        <v>539</v>
      </c>
      <c r="D63" s="9">
        <v>41126</v>
      </c>
      <c r="E63" s="7" t="str">
        <f t="shared" si="0"/>
        <v>3066319759953941126</v>
      </c>
      <c r="F63" s="9">
        <v>74239476727663</v>
      </c>
      <c r="G63" s="7" t="s">
        <v>718</v>
      </c>
      <c r="H63" s="9">
        <v>30663197599</v>
      </c>
      <c r="I63" s="7" t="s">
        <v>156</v>
      </c>
      <c r="J63" s="9">
        <v>1</v>
      </c>
      <c r="K63" s="7" t="s">
        <v>719</v>
      </c>
      <c r="L63" s="11">
        <v>1296608.8999999999</v>
      </c>
      <c r="M63" s="11"/>
      <c r="N63" s="11"/>
      <c r="O63" s="11">
        <v>0</v>
      </c>
      <c r="P63" s="11">
        <v>272287.87</v>
      </c>
      <c r="Q63" s="11">
        <v>1594828.95</v>
      </c>
      <c r="R63">
        <f>VLOOKUP(E63,'IVA COMPRAS'!K:P,6,FALSE)</f>
        <v>1594828.94</v>
      </c>
    </row>
    <row r="64" spans="1:18" hidden="1" x14ac:dyDescent="0.25">
      <c r="A64" s="7" t="s">
        <v>755</v>
      </c>
      <c r="B64" s="7" t="s">
        <v>722</v>
      </c>
      <c r="C64" s="9">
        <v>539</v>
      </c>
      <c r="D64" s="9">
        <v>11958</v>
      </c>
      <c r="E64" s="7" t="str">
        <f t="shared" si="0"/>
        <v>3066319759953911958</v>
      </c>
      <c r="F64" s="9">
        <v>74249142985380</v>
      </c>
      <c r="G64" s="7" t="s">
        <v>718</v>
      </c>
      <c r="H64" s="9">
        <v>30663197599</v>
      </c>
      <c r="I64" s="7" t="s">
        <v>156</v>
      </c>
      <c r="J64" s="9">
        <v>1</v>
      </c>
      <c r="K64" s="7" t="s">
        <v>719</v>
      </c>
      <c r="L64" s="11">
        <v>103713.43</v>
      </c>
      <c r="M64" s="11"/>
      <c r="N64" s="11"/>
      <c r="O64" s="11">
        <v>0</v>
      </c>
      <c r="P64" s="11">
        <v>21779.82</v>
      </c>
      <c r="Q64" s="11">
        <v>125493.25</v>
      </c>
      <c r="R64">
        <f>VLOOKUP(E64,'IVA COMPRAS'!K:P,6,FALSE)</f>
        <v>-125493.26</v>
      </c>
    </row>
    <row r="65" spans="1:18" hidden="1" x14ac:dyDescent="0.25">
      <c r="A65" s="7" t="s">
        <v>759</v>
      </c>
      <c r="B65" s="7" t="s">
        <v>717</v>
      </c>
      <c r="C65" s="9">
        <v>539</v>
      </c>
      <c r="D65" s="9">
        <v>41282</v>
      </c>
      <c r="E65" s="7" t="str">
        <f t="shared" si="0"/>
        <v>3066319759953941282</v>
      </c>
      <c r="F65" s="9">
        <v>74249319317745</v>
      </c>
      <c r="G65" s="7" t="s">
        <v>718</v>
      </c>
      <c r="H65" s="9">
        <v>30663197599</v>
      </c>
      <c r="I65" s="7" t="s">
        <v>156</v>
      </c>
      <c r="J65" s="9">
        <v>1</v>
      </c>
      <c r="K65" s="7" t="s">
        <v>719</v>
      </c>
      <c r="L65" s="11">
        <v>833129.57</v>
      </c>
      <c r="M65" s="11"/>
      <c r="N65" s="11"/>
      <c r="O65" s="11">
        <v>0</v>
      </c>
      <c r="P65" s="11">
        <v>174957.21</v>
      </c>
      <c r="Q65" s="11">
        <v>1024749.38</v>
      </c>
      <c r="R65">
        <f>VLOOKUP(E65,'IVA COMPRAS'!K:P,6,FALSE)</f>
        <v>1024749.39</v>
      </c>
    </row>
    <row r="66" spans="1:18" hidden="1" x14ac:dyDescent="0.25">
      <c r="A66" s="7" t="s">
        <v>782</v>
      </c>
      <c r="B66" s="7" t="s">
        <v>717</v>
      </c>
      <c r="C66" s="9">
        <v>539</v>
      </c>
      <c r="D66" s="9">
        <v>41530</v>
      </c>
      <c r="E66" s="7" t="str">
        <f t="shared" ref="E66:E129" si="1">CONCATENATE(H66,C66,D66)</f>
        <v>3066319759953941530</v>
      </c>
      <c r="F66" s="9">
        <v>74269719506857</v>
      </c>
      <c r="G66" s="7" t="s">
        <v>718</v>
      </c>
      <c r="H66" s="9">
        <v>30663197599</v>
      </c>
      <c r="I66" s="7" t="s">
        <v>156</v>
      </c>
      <c r="J66" s="9">
        <v>1</v>
      </c>
      <c r="K66" s="7" t="s">
        <v>719</v>
      </c>
      <c r="L66" s="11">
        <v>736755.71</v>
      </c>
      <c r="M66" s="11"/>
      <c r="N66" s="11"/>
      <c r="O66" s="11">
        <v>0</v>
      </c>
      <c r="P66" s="11">
        <v>154718.70000000001</v>
      </c>
      <c r="Q66" s="11">
        <v>906209.52</v>
      </c>
      <c r="R66">
        <f>VLOOKUP(E66,'IVA COMPRAS'!K:P,6,FALSE)</f>
        <v>906209.54</v>
      </c>
    </row>
    <row r="67" spans="1:18" x14ac:dyDescent="0.25">
      <c r="A67" s="7" t="s">
        <v>779</v>
      </c>
      <c r="B67" s="7" t="s">
        <v>730</v>
      </c>
      <c r="C67" s="9">
        <v>2</v>
      </c>
      <c r="D67" s="9">
        <v>1767</v>
      </c>
      <c r="E67" s="7" t="str">
        <f t="shared" si="1"/>
        <v>2017701852021767</v>
      </c>
      <c r="F67" s="9">
        <v>74260618252164</v>
      </c>
      <c r="G67" s="7" t="s">
        <v>718</v>
      </c>
      <c r="H67" s="9">
        <v>20177018520</v>
      </c>
      <c r="I67" s="7" t="s">
        <v>781</v>
      </c>
      <c r="J67" s="9">
        <v>1</v>
      </c>
      <c r="K67" s="7" t="s">
        <v>719</v>
      </c>
      <c r="L67" s="11"/>
      <c r="M67" s="11"/>
      <c r="N67" s="11"/>
      <c r="O67" s="11">
        <v>0</v>
      </c>
      <c r="P67" s="11"/>
      <c r="Q67" s="11">
        <v>25500</v>
      </c>
      <c r="R67" t="e">
        <f>VLOOKUP(E67,'IVA COMPRAS'!K:P,6,FALSE)</f>
        <v>#N/A</v>
      </c>
    </row>
    <row r="68" spans="1:18" hidden="1" x14ac:dyDescent="0.25">
      <c r="A68" s="7" t="s">
        <v>755</v>
      </c>
      <c r="B68" s="7" t="s">
        <v>717</v>
      </c>
      <c r="C68" s="9">
        <v>29</v>
      </c>
      <c r="D68" s="9">
        <v>37</v>
      </c>
      <c r="E68" s="7" t="str">
        <f t="shared" si="1"/>
        <v>307110225932937</v>
      </c>
      <c r="F68" s="9">
        <v>74243124746449</v>
      </c>
      <c r="G68" s="7" t="s">
        <v>718</v>
      </c>
      <c r="H68" s="9">
        <v>30711022593</v>
      </c>
      <c r="I68" s="7" t="s">
        <v>290</v>
      </c>
      <c r="J68" s="9">
        <v>1</v>
      </c>
      <c r="K68" s="7" t="s">
        <v>719</v>
      </c>
      <c r="L68" s="11">
        <v>12054640</v>
      </c>
      <c r="M68" s="11">
        <v>0</v>
      </c>
      <c r="N68" s="11">
        <v>0</v>
      </c>
      <c r="O68" s="11">
        <v>0</v>
      </c>
      <c r="P68" s="11">
        <v>2531474.4</v>
      </c>
      <c r="Q68" s="11">
        <v>14586114.4</v>
      </c>
      <c r="R68">
        <f>VLOOKUP(E68,'IVA COMPRAS'!K:P,6,FALSE)</f>
        <v>14586114.4</v>
      </c>
    </row>
    <row r="69" spans="1:18" hidden="1" x14ac:dyDescent="0.25">
      <c r="A69" s="7" t="s">
        <v>716</v>
      </c>
      <c r="B69" s="7" t="s">
        <v>717</v>
      </c>
      <c r="C69" s="9">
        <v>3</v>
      </c>
      <c r="D69" s="9">
        <v>228947</v>
      </c>
      <c r="E69" s="7" t="str">
        <f t="shared" si="1"/>
        <v>307071355963228947</v>
      </c>
      <c r="F69" s="9">
        <v>74226996479387</v>
      </c>
      <c r="G69" s="7" t="s">
        <v>718</v>
      </c>
      <c r="H69" s="9">
        <v>30707135596</v>
      </c>
      <c r="I69" s="7" t="s">
        <v>34</v>
      </c>
      <c r="J69" s="9">
        <v>1</v>
      </c>
      <c r="K69" s="7" t="s">
        <v>719</v>
      </c>
      <c r="L69" s="11">
        <v>82978.84</v>
      </c>
      <c r="M69" s="11">
        <v>0</v>
      </c>
      <c r="N69" s="11">
        <v>0</v>
      </c>
      <c r="O69" s="11">
        <v>0</v>
      </c>
      <c r="P69" s="11">
        <v>17425.560000000001</v>
      </c>
      <c r="Q69" s="11">
        <v>102063.98</v>
      </c>
      <c r="R69">
        <f>VLOOKUP(E69,'IVA COMPRAS'!K:P,6,FALSE)</f>
        <v>102063.98</v>
      </c>
    </row>
    <row r="70" spans="1:18" hidden="1" x14ac:dyDescent="0.25">
      <c r="A70" s="7" t="s">
        <v>738</v>
      </c>
      <c r="B70" s="7" t="s">
        <v>717</v>
      </c>
      <c r="C70" s="9">
        <v>601</v>
      </c>
      <c r="D70" s="9">
        <v>264433</v>
      </c>
      <c r="E70" s="7" t="str">
        <f t="shared" si="1"/>
        <v>30525390086601264433</v>
      </c>
      <c r="F70" s="9">
        <v>34226022380740</v>
      </c>
      <c r="G70" s="7" t="s">
        <v>718</v>
      </c>
      <c r="H70" s="9">
        <v>30525390086</v>
      </c>
      <c r="I70" s="7" t="s">
        <v>742</v>
      </c>
      <c r="J70" s="9">
        <v>1</v>
      </c>
      <c r="K70" s="7" t="s">
        <v>719</v>
      </c>
      <c r="L70" s="11">
        <v>7019387.8600000003</v>
      </c>
      <c r="M70" s="11">
        <v>0</v>
      </c>
      <c r="N70" s="11">
        <v>0</v>
      </c>
      <c r="O70" s="11">
        <v>0</v>
      </c>
      <c r="P70" s="11">
        <v>1474071.45</v>
      </c>
      <c r="Q70" s="11">
        <v>9356377.6899999995</v>
      </c>
      <c r="R70">
        <f>VLOOKUP(E70,'IVA COMPRAS'!K:P,6,FALSE)</f>
        <v>9356377.6899999995</v>
      </c>
    </row>
    <row r="71" spans="1:18" hidden="1" x14ac:dyDescent="0.25">
      <c r="A71" s="7" t="s">
        <v>738</v>
      </c>
      <c r="B71" s="7" t="s">
        <v>717</v>
      </c>
      <c r="C71" s="9">
        <v>601</v>
      </c>
      <c r="D71" s="9">
        <v>264434</v>
      </c>
      <c r="E71" s="7" t="str">
        <f t="shared" si="1"/>
        <v>30525390086601264434</v>
      </c>
      <c r="F71" s="9">
        <v>34226022380740</v>
      </c>
      <c r="G71" s="7" t="s">
        <v>718</v>
      </c>
      <c r="H71" s="9">
        <v>30525390086</v>
      </c>
      <c r="I71" s="7" t="s">
        <v>742</v>
      </c>
      <c r="J71" s="9">
        <v>1</v>
      </c>
      <c r="K71" s="7" t="s">
        <v>719</v>
      </c>
      <c r="L71" s="11">
        <v>2804032.05</v>
      </c>
      <c r="M71" s="11">
        <v>0</v>
      </c>
      <c r="N71" s="11">
        <v>0</v>
      </c>
      <c r="O71" s="11">
        <v>0</v>
      </c>
      <c r="P71" s="11">
        <v>588846.73</v>
      </c>
      <c r="Q71" s="11">
        <v>3692545.92</v>
      </c>
      <c r="R71">
        <f>VLOOKUP(E71,'IVA COMPRAS'!K:P,6,FALSE)</f>
        <v>3692545.92</v>
      </c>
    </row>
    <row r="72" spans="1:18" hidden="1" x14ac:dyDescent="0.25">
      <c r="A72" s="7" t="s">
        <v>738</v>
      </c>
      <c r="B72" s="7" t="s">
        <v>722</v>
      </c>
      <c r="C72" s="9">
        <v>603</v>
      </c>
      <c r="D72" s="9">
        <v>57049</v>
      </c>
      <c r="E72" s="7" t="str">
        <f t="shared" si="1"/>
        <v>3052539008660357049</v>
      </c>
      <c r="F72" s="9">
        <v>34226022380740</v>
      </c>
      <c r="G72" s="7" t="s">
        <v>718</v>
      </c>
      <c r="H72" s="9">
        <v>30525390086</v>
      </c>
      <c r="I72" s="7" t="s">
        <v>742</v>
      </c>
      <c r="J72" s="9">
        <v>1</v>
      </c>
      <c r="K72" s="7" t="s">
        <v>719</v>
      </c>
      <c r="L72" s="11">
        <v>155446.19</v>
      </c>
      <c r="M72" s="11">
        <v>0</v>
      </c>
      <c r="N72" s="11">
        <v>0</v>
      </c>
      <c r="O72" s="11">
        <v>0</v>
      </c>
      <c r="P72" s="11">
        <v>32643.7</v>
      </c>
      <c r="Q72" s="13">
        <v>206270.88</v>
      </c>
      <c r="R72">
        <f>VLOOKUP(E72,'IVA COMPRAS'!K:P,6,FALSE)</f>
        <v>-206270.88</v>
      </c>
    </row>
    <row r="73" spans="1:18" hidden="1" x14ac:dyDescent="0.25">
      <c r="A73" s="7" t="s">
        <v>759</v>
      </c>
      <c r="B73" s="7" t="s">
        <v>717</v>
      </c>
      <c r="C73" s="9">
        <v>601</v>
      </c>
      <c r="D73" s="9">
        <v>265055</v>
      </c>
      <c r="E73" s="7" t="str">
        <f t="shared" si="1"/>
        <v>30525390086601265055</v>
      </c>
      <c r="F73" s="9">
        <v>34226022380740</v>
      </c>
      <c r="G73" s="7" t="s">
        <v>718</v>
      </c>
      <c r="H73" s="9">
        <v>30525390086</v>
      </c>
      <c r="I73" s="7" t="s">
        <v>742</v>
      </c>
      <c r="J73" s="9">
        <v>1</v>
      </c>
      <c r="K73" s="7" t="s">
        <v>719</v>
      </c>
      <c r="L73" s="11">
        <v>1744125.81</v>
      </c>
      <c r="M73" s="11">
        <v>0</v>
      </c>
      <c r="N73" s="11">
        <v>0</v>
      </c>
      <c r="O73" s="11">
        <v>0</v>
      </c>
      <c r="P73" s="11">
        <v>366266.42</v>
      </c>
      <c r="Q73" s="11">
        <v>2345896.86</v>
      </c>
      <c r="R73">
        <f>VLOOKUP(E73,'IVA COMPRAS'!K:P,6,FALSE)</f>
        <v>2345896.86</v>
      </c>
    </row>
    <row r="74" spans="1:18" hidden="1" x14ac:dyDescent="0.25">
      <c r="A74" s="7" t="s">
        <v>759</v>
      </c>
      <c r="B74" s="7" t="s">
        <v>717</v>
      </c>
      <c r="C74" s="9">
        <v>601</v>
      </c>
      <c r="D74" s="9">
        <v>265062</v>
      </c>
      <c r="E74" s="7" t="str">
        <f t="shared" si="1"/>
        <v>30525390086601265062</v>
      </c>
      <c r="F74" s="9">
        <v>34226022380740</v>
      </c>
      <c r="G74" s="7" t="s">
        <v>718</v>
      </c>
      <c r="H74" s="9">
        <v>30525390086</v>
      </c>
      <c r="I74" s="7" t="s">
        <v>742</v>
      </c>
      <c r="J74" s="9">
        <v>1</v>
      </c>
      <c r="K74" s="7" t="s">
        <v>719</v>
      </c>
      <c r="L74" s="11">
        <v>1605493.48</v>
      </c>
      <c r="M74" s="11">
        <v>0</v>
      </c>
      <c r="N74" s="11">
        <v>0</v>
      </c>
      <c r="O74" s="11">
        <v>0</v>
      </c>
      <c r="P74" s="11">
        <v>337153.63</v>
      </c>
      <c r="Q74" s="11">
        <v>2165327.79</v>
      </c>
      <c r="R74">
        <f>VLOOKUP(E74,'IVA COMPRAS'!K:P,6,FALSE)</f>
        <v>2165327.79</v>
      </c>
    </row>
    <row r="75" spans="1:18" hidden="1" x14ac:dyDescent="0.25">
      <c r="A75" s="7" t="s">
        <v>759</v>
      </c>
      <c r="B75" s="7" t="s">
        <v>722</v>
      </c>
      <c r="C75" s="9">
        <v>603</v>
      </c>
      <c r="D75" s="9">
        <v>57111</v>
      </c>
      <c r="E75" s="7" t="str">
        <f t="shared" si="1"/>
        <v>3052539008660357111</v>
      </c>
      <c r="F75" s="9">
        <v>34226022380740</v>
      </c>
      <c r="G75" s="7" t="s">
        <v>718</v>
      </c>
      <c r="H75" s="9">
        <v>30525390086</v>
      </c>
      <c r="I75" s="7" t="s">
        <v>742</v>
      </c>
      <c r="J75" s="9">
        <v>1</v>
      </c>
      <c r="K75" s="7" t="s">
        <v>719</v>
      </c>
      <c r="L75" s="11">
        <v>192659.24</v>
      </c>
      <c r="M75" s="11">
        <v>0</v>
      </c>
      <c r="N75" s="11">
        <v>0</v>
      </c>
      <c r="O75" s="11">
        <v>0</v>
      </c>
      <c r="P75" s="11">
        <v>40458.44</v>
      </c>
      <c r="Q75" s="13">
        <v>255651.08</v>
      </c>
      <c r="R75">
        <f>VLOOKUP(E75,'IVA COMPRAS'!K:P,6,FALSE)</f>
        <v>-255651.08</v>
      </c>
    </row>
    <row r="76" spans="1:18" hidden="1" x14ac:dyDescent="0.25">
      <c r="A76" s="7" t="s">
        <v>782</v>
      </c>
      <c r="B76" s="7" t="s">
        <v>717</v>
      </c>
      <c r="C76" s="9">
        <v>601</v>
      </c>
      <c r="D76" s="9">
        <v>265804</v>
      </c>
      <c r="E76" s="7" t="str">
        <f t="shared" si="1"/>
        <v>30525390086601265804</v>
      </c>
      <c r="F76" s="9">
        <v>34246645027953</v>
      </c>
      <c r="G76" s="7" t="s">
        <v>718</v>
      </c>
      <c r="H76" s="9">
        <v>30525390086</v>
      </c>
      <c r="I76" s="7" t="s">
        <v>742</v>
      </c>
      <c r="J76" s="9">
        <v>1</v>
      </c>
      <c r="K76" s="7" t="s">
        <v>719</v>
      </c>
      <c r="L76" s="11">
        <v>6991502.5199999996</v>
      </c>
      <c r="M76" s="11">
        <v>0</v>
      </c>
      <c r="N76" s="11">
        <v>0</v>
      </c>
      <c r="O76" s="11">
        <v>0</v>
      </c>
      <c r="P76" s="11">
        <v>1468215.53</v>
      </c>
      <c r="Q76" s="11">
        <v>9355657.1199999992</v>
      </c>
      <c r="R76">
        <f>VLOOKUP(E76,'IVA COMPRAS'!K:P,6,FALSE)</f>
        <v>9355657.1199999992</v>
      </c>
    </row>
    <row r="77" spans="1:18" hidden="1" x14ac:dyDescent="0.25">
      <c r="A77" s="7" t="s">
        <v>782</v>
      </c>
      <c r="B77" s="7" t="s">
        <v>717</v>
      </c>
      <c r="C77" s="9">
        <v>601</v>
      </c>
      <c r="D77" s="9">
        <v>265805</v>
      </c>
      <c r="E77" s="7" t="str">
        <f t="shared" si="1"/>
        <v>30525390086601265805</v>
      </c>
      <c r="F77" s="9">
        <v>34246645027953</v>
      </c>
      <c r="G77" s="7" t="s">
        <v>718</v>
      </c>
      <c r="H77" s="9">
        <v>30525390086</v>
      </c>
      <c r="I77" s="7" t="s">
        <v>742</v>
      </c>
      <c r="J77" s="9">
        <v>1</v>
      </c>
      <c r="K77" s="7" t="s">
        <v>719</v>
      </c>
      <c r="L77" s="11">
        <v>1722441.62</v>
      </c>
      <c r="M77" s="11">
        <v>0</v>
      </c>
      <c r="N77" s="11">
        <v>0</v>
      </c>
      <c r="O77" s="11">
        <v>0</v>
      </c>
      <c r="P77" s="11">
        <v>361712.74</v>
      </c>
      <c r="Q77" s="11">
        <v>2228610.69</v>
      </c>
      <c r="R77">
        <f>VLOOKUP(E77,'IVA COMPRAS'!K:P,6,FALSE)</f>
        <v>2228610.69</v>
      </c>
    </row>
    <row r="78" spans="1:18" hidden="1" x14ac:dyDescent="0.25">
      <c r="A78" s="7" t="s">
        <v>782</v>
      </c>
      <c r="B78" s="7" t="s">
        <v>717</v>
      </c>
      <c r="C78" s="9">
        <v>601</v>
      </c>
      <c r="D78" s="9">
        <v>265806</v>
      </c>
      <c r="E78" s="7" t="str">
        <f t="shared" si="1"/>
        <v>30525390086601265806</v>
      </c>
      <c r="F78" s="9">
        <v>34246645027953</v>
      </c>
      <c r="G78" s="7" t="s">
        <v>718</v>
      </c>
      <c r="H78" s="9">
        <v>30525390086</v>
      </c>
      <c r="I78" s="7" t="s">
        <v>742</v>
      </c>
      <c r="J78" s="9">
        <v>1</v>
      </c>
      <c r="K78" s="7" t="s">
        <v>719</v>
      </c>
      <c r="L78" s="11">
        <v>4930004</v>
      </c>
      <c r="M78" s="11">
        <v>0</v>
      </c>
      <c r="N78" s="11">
        <v>0</v>
      </c>
      <c r="O78" s="11">
        <v>0</v>
      </c>
      <c r="P78" s="11">
        <v>1035300.84</v>
      </c>
      <c r="Q78" s="11">
        <v>6500190.1399999997</v>
      </c>
      <c r="R78">
        <f>VLOOKUP(E78,'IVA COMPRAS'!K:P,6,FALSE)</f>
        <v>6500190.1399999997</v>
      </c>
    </row>
    <row r="79" spans="1:18" hidden="1" x14ac:dyDescent="0.25">
      <c r="A79" s="7" t="s">
        <v>765</v>
      </c>
      <c r="B79" s="7" t="s">
        <v>717</v>
      </c>
      <c r="C79" s="9">
        <v>20</v>
      </c>
      <c r="D79" s="9">
        <v>4859</v>
      </c>
      <c r="E79" s="7" t="str">
        <f t="shared" si="1"/>
        <v>30618899612204859</v>
      </c>
      <c r="F79" s="9">
        <v>74242514146301</v>
      </c>
      <c r="G79" s="7" t="s">
        <v>718</v>
      </c>
      <c r="H79" s="9">
        <v>30618899612</v>
      </c>
      <c r="I79" s="7" t="s">
        <v>373</v>
      </c>
      <c r="J79" s="9">
        <v>1</v>
      </c>
      <c r="K79" s="7" t="s">
        <v>719</v>
      </c>
      <c r="L79" s="11">
        <v>1462500</v>
      </c>
      <c r="M79" s="11">
        <v>0</v>
      </c>
      <c r="N79" s="11">
        <v>0</v>
      </c>
      <c r="O79" s="11">
        <v>0</v>
      </c>
      <c r="P79" s="11">
        <v>307125</v>
      </c>
      <c r="Q79" s="11">
        <v>1769625</v>
      </c>
      <c r="R79">
        <f>VLOOKUP(E79,'IVA COMPRAS'!K:P,6,FALSE)</f>
        <v>1769625</v>
      </c>
    </row>
    <row r="80" spans="1:18" x14ac:dyDescent="0.25">
      <c r="A80" s="7" t="s">
        <v>726</v>
      </c>
      <c r="B80" s="7" t="s">
        <v>722</v>
      </c>
      <c r="C80" s="9">
        <v>46</v>
      </c>
      <c r="D80" s="9">
        <v>62596</v>
      </c>
      <c r="E80" s="7" t="str">
        <f t="shared" si="1"/>
        <v>305321497934662596</v>
      </c>
      <c r="F80" s="9">
        <v>34223343515802</v>
      </c>
      <c r="G80" s="7" t="s">
        <v>718</v>
      </c>
      <c r="H80" s="9">
        <v>30532149793</v>
      </c>
      <c r="I80" s="7" t="s">
        <v>230</v>
      </c>
      <c r="J80" s="9">
        <v>1</v>
      </c>
      <c r="K80" s="7" t="s">
        <v>719</v>
      </c>
      <c r="L80" s="11">
        <v>519827.19</v>
      </c>
      <c r="M80" s="11">
        <v>0</v>
      </c>
      <c r="N80" s="11">
        <v>0</v>
      </c>
      <c r="O80" s="11">
        <v>0</v>
      </c>
      <c r="P80" s="11">
        <v>109163.71</v>
      </c>
      <c r="Q80" s="13">
        <v>644585.73</v>
      </c>
      <c r="R80" t="e">
        <f>VLOOKUP(E80,'IVA COMPRAS'!K:P,6,FALSE)</f>
        <v>#N/A</v>
      </c>
    </row>
    <row r="81" spans="1:18" x14ac:dyDescent="0.25">
      <c r="A81" s="7" t="s">
        <v>738</v>
      </c>
      <c r="B81" s="7" t="s">
        <v>722</v>
      </c>
      <c r="C81" s="9">
        <v>46</v>
      </c>
      <c r="D81" s="9">
        <v>62604</v>
      </c>
      <c r="E81" s="7" t="str">
        <f t="shared" si="1"/>
        <v>305321497934662604</v>
      </c>
      <c r="F81" s="9">
        <v>34223343515802</v>
      </c>
      <c r="G81" s="7" t="s">
        <v>718</v>
      </c>
      <c r="H81" s="9">
        <v>30532149793</v>
      </c>
      <c r="I81" s="7" t="s">
        <v>230</v>
      </c>
      <c r="J81" s="9">
        <v>1</v>
      </c>
      <c r="K81" s="7" t="s">
        <v>719</v>
      </c>
      <c r="L81" s="11">
        <v>64978.38</v>
      </c>
      <c r="M81" s="11">
        <v>0</v>
      </c>
      <c r="N81" s="11">
        <v>0</v>
      </c>
      <c r="O81" s="11">
        <v>0</v>
      </c>
      <c r="P81" s="11">
        <v>13645.46</v>
      </c>
      <c r="Q81" s="13">
        <v>80573.210000000006</v>
      </c>
      <c r="R81" t="e">
        <f>VLOOKUP(E81,'IVA COMPRAS'!K:P,6,FALSE)</f>
        <v>#N/A</v>
      </c>
    </row>
    <row r="82" spans="1:18" hidden="1" x14ac:dyDescent="0.25">
      <c r="A82" s="7" t="s">
        <v>749</v>
      </c>
      <c r="B82" s="7" t="s">
        <v>717</v>
      </c>
      <c r="C82" s="9">
        <v>46</v>
      </c>
      <c r="D82" s="9">
        <v>402514</v>
      </c>
      <c r="E82" s="7" t="str">
        <f t="shared" si="1"/>
        <v>3053214979346402514</v>
      </c>
      <c r="F82" s="9">
        <v>34223343515802</v>
      </c>
      <c r="G82" s="7" t="s">
        <v>718</v>
      </c>
      <c r="H82" s="9">
        <v>30532149793</v>
      </c>
      <c r="I82" s="7" t="s">
        <v>230</v>
      </c>
      <c r="J82" s="9">
        <v>1</v>
      </c>
      <c r="K82" s="7" t="s">
        <v>719</v>
      </c>
      <c r="L82" s="11">
        <v>2383500</v>
      </c>
      <c r="M82" s="11">
        <v>0</v>
      </c>
      <c r="N82" s="11">
        <v>0</v>
      </c>
      <c r="O82" s="11">
        <v>0</v>
      </c>
      <c r="P82" s="11">
        <v>500535</v>
      </c>
      <c r="Q82" s="11">
        <v>3003210</v>
      </c>
      <c r="R82">
        <f>VLOOKUP(E82,'IVA COMPRAS'!K:P,6,FALSE)</f>
        <v>3003210</v>
      </c>
    </row>
    <row r="83" spans="1:18" hidden="1" x14ac:dyDescent="0.25">
      <c r="A83" s="7" t="s">
        <v>755</v>
      </c>
      <c r="B83" s="7" t="s">
        <v>717</v>
      </c>
      <c r="C83" s="9">
        <v>46</v>
      </c>
      <c r="D83" s="9">
        <v>402737</v>
      </c>
      <c r="E83" s="7" t="str">
        <f t="shared" si="1"/>
        <v>3053214979346402737</v>
      </c>
      <c r="F83" s="9">
        <v>34223343515802</v>
      </c>
      <c r="G83" s="7" t="s">
        <v>718</v>
      </c>
      <c r="H83" s="9">
        <v>30532149793</v>
      </c>
      <c r="I83" s="7" t="s">
        <v>230</v>
      </c>
      <c r="J83" s="9">
        <v>1</v>
      </c>
      <c r="K83" s="7" t="s">
        <v>719</v>
      </c>
      <c r="L83" s="11">
        <v>1293000</v>
      </c>
      <c r="M83" s="11">
        <v>0</v>
      </c>
      <c r="N83" s="11">
        <v>0</v>
      </c>
      <c r="O83" s="11">
        <v>0</v>
      </c>
      <c r="P83" s="11">
        <v>271530</v>
      </c>
      <c r="Q83" s="11">
        <v>1629180</v>
      </c>
      <c r="R83">
        <f>VLOOKUP(E83,'IVA COMPRAS'!K:P,6,FALSE)</f>
        <v>1629180</v>
      </c>
    </row>
    <row r="84" spans="1:18" hidden="1" x14ac:dyDescent="0.25">
      <c r="A84" s="7" t="s">
        <v>755</v>
      </c>
      <c r="B84" s="7" t="s">
        <v>717</v>
      </c>
      <c r="C84" s="9">
        <v>46</v>
      </c>
      <c r="D84" s="9">
        <v>402738</v>
      </c>
      <c r="E84" s="7" t="str">
        <f t="shared" si="1"/>
        <v>3053214979346402738</v>
      </c>
      <c r="F84" s="9">
        <v>34223343515802</v>
      </c>
      <c r="G84" s="7" t="s">
        <v>718</v>
      </c>
      <c r="H84" s="9">
        <v>30532149793</v>
      </c>
      <c r="I84" s="7" t="s">
        <v>230</v>
      </c>
      <c r="J84" s="9">
        <v>1</v>
      </c>
      <c r="K84" s="7" t="s">
        <v>719</v>
      </c>
      <c r="L84" s="11">
        <v>405000</v>
      </c>
      <c r="M84" s="11">
        <v>0</v>
      </c>
      <c r="N84" s="11">
        <v>0</v>
      </c>
      <c r="O84" s="11">
        <v>0</v>
      </c>
      <c r="P84" s="11">
        <v>85050</v>
      </c>
      <c r="Q84" s="11">
        <v>510300</v>
      </c>
      <c r="R84">
        <f>VLOOKUP(E84,'IVA COMPRAS'!K:P,6,FALSE)</f>
        <v>510300</v>
      </c>
    </row>
    <row r="85" spans="1:18" hidden="1" x14ac:dyDescent="0.25">
      <c r="A85" s="7" t="s">
        <v>772</v>
      </c>
      <c r="B85" s="7" t="s">
        <v>717</v>
      </c>
      <c r="C85" s="9">
        <v>46</v>
      </c>
      <c r="D85" s="9">
        <v>403333</v>
      </c>
      <c r="E85" s="7" t="str">
        <f t="shared" si="1"/>
        <v>3053214979346403333</v>
      </c>
      <c r="F85" s="9">
        <v>34243744990174</v>
      </c>
      <c r="G85" s="7" t="s">
        <v>718</v>
      </c>
      <c r="H85" s="9">
        <v>30532149793</v>
      </c>
      <c r="I85" s="7" t="s">
        <v>230</v>
      </c>
      <c r="J85" s="9">
        <v>1</v>
      </c>
      <c r="K85" s="7" t="s">
        <v>719</v>
      </c>
      <c r="L85" s="11">
        <v>162540</v>
      </c>
      <c r="M85" s="11">
        <v>0</v>
      </c>
      <c r="N85" s="11">
        <v>0</v>
      </c>
      <c r="O85" s="11">
        <v>0</v>
      </c>
      <c r="P85" s="11">
        <v>34133.4</v>
      </c>
      <c r="Q85" s="11">
        <v>204800.4</v>
      </c>
      <c r="R85">
        <f>VLOOKUP(E85,'IVA COMPRAS'!K:P,6,FALSE)</f>
        <v>204800.4</v>
      </c>
    </row>
    <row r="86" spans="1:18" hidden="1" x14ac:dyDescent="0.25">
      <c r="A86" s="7" t="s">
        <v>772</v>
      </c>
      <c r="B86" s="7" t="s">
        <v>717</v>
      </c>
      <c r="C86" s="9">
        <v>46</v>
      </c>
      <c r="D86" s="9">
        <v>403334</v>
      </c>
      <c r="E86" s="7" t="str">
        <f t="shared" si="1"/>
        <v>3053214979346403334</v>
      </c>
      <c r="F86" s="9">
        <v>34243744990174</v>
      </c>
      <c r="G86" s="7" t="s">
        <v>718</v>
      </c>
      <c r="H86" s="9">
        <v>30532149793</v>
      </c>
      <c r="I86" s="7" t="s">
        <v>230</v>
      </c>
      <c r="J86" s="9">
        <v>1</v>
      </c>
      <c r="K86" s="7" t="s">
        <v>719</v>
      </c>
      <c r="L86" s="11">
        <v>1332000</v>
      </c>
      <c r="M86" s="11">
        <v>0</v>
      </c>
      <c r="N86" s="11">
        <v>0</v>
      </c>
      <c r="O86" s="11">
        <v>0</v>
      </c>
      <c r="P86" s="11">
        <v>279720</v>
      </c>
      <c r="Q86" s="11">
        <v>1678320</v>
      </c>
      <c r="R86">
        <f>VLOOKUP(E86,'IVA COMPRAS'!K:P,6,FALSE)</f>
        <v>1678320</v>
      </c>
    </row>
    <row r="87" spans="1:18" hidden="1" x14ac:dyDescent="0.25">
      <c r="A87" s="7" t="s">
        <v>786</v>
      </c>
      <c r="B87" s="7" t="s">
        <v>717</v>
      </c>
      <c r="C87" s="9">
        <v>46</v>
      </c>
      <c r="D87" s="9">
        <v>403798</v>
      </c>
      <c r="E87" s="7" t="str">
        <f t="shared" si="1"/>
        <v>3053214979346403798</v>
      </c>
      <c r="F87" s="9">
        <v>34243744990174</v>
      </c>
      <c r="G87" s="7" t="s">
        <v>718</v>
      </c>
      <c r="H87" s="9">
        <v>30532149793</v>
      </c>
      <c r="I87" s="7" t="s">
        <v>230</v>
      </c>
      <c r="J87" s="9">
        <v>1</v>
      </c>
      <c r="K87" s="7" t="s">
        <v>719</v>
      </c>
      <c r="L87" s="11">
        <v>832500</v>
      </c>
      <c r="M87" s="11">
        <v>0</v>
      </c>
      <c r="N87" s="11">
        <v>0</v>
      </c>
      <c r="O87" s="11">
        <v>0</v>
      </c>
      <c r="P87" s="11">
        <v>174825</v>
      </c>
      <c r="Q87" s="11">
        <v>1048950</v>
      </c>
      <c r="R87">
        <f>VLOOKUP(E87,'IVA COMPRAS'!K:P,6,FALSE)</f>
        <v>1048950</v>
      </c>
    </row>
    <row r="88" spans="1:18" hidden="1" x14ac:dyDescent="0.25">
      <c r="A88" s="7" t="s">
        <v>726</v>
      </c>
      <c r="B88" s="7" t="s">
        <v>722</v>
      </c>
      <c r="C88" s="9">
        <v>204</v>
      </c>
      <c r="D88" s="9">
        <v>98176</v>
      </c>
      <c r="E88" s="7" t="str">
        <f t="shared" si="1"/>
        <v>3050129032320498176</v>
      </c>
      <c r="F88" s="9">
        <v>74233187399753</v>
      </c>
      <c r="G88" s="7" t="s">
        <v>718</v>
      </c>
      <c r="H88" s="9">
        <v>30501290323</v>
      </c>
      <c r="I88" s="7" t="s">
        <v>94</v>
      </c>
      <c r="J88" s="9">
        <v>1</v>
      </c>
      <c r="K88" s="7" t="s">
        <v>719</v>
      </c>
      <c r="L88" s="11">
        <v>2575</v>
      </c>
      <c r="M88" s="11"/>
      <c r="N88" s="11"/>
      <c r="O88" s="11">
        <v>0</v>
      </c>
      <c r="P88" s="11">
        <v>540.75</v>
      </c>
      <c r="Q88" s="11">
        <v>3193</v>
      </c>
      <c r="R88">
        <f>VLOOKUP(E88,'IVA COMPRAS'!K:P,6,FALSE)</f>
        <v>-3193</v>
      </c>
    </row>
    <row r="89" spans="1:18" hidden="1" x14ac:dyDescent="0.25">
      <c r="A89" s="7" t="s">
        <v>755</v>
      </c>
      <c r="B89" s="7" t="s">
        <v>717</v>
      </c>
      <c r="C89" s="9">
        <v>218</v>
      </c>
      <c r="D89" s="9">
        <v>161739</v>
      </c>
      <c r="E89" s="7" t="str">
        <f t="shared" si="1"/>
        <v>30501290323218161739</v>
      </c>
      <c r="F89" s="9">
        <v>74243173413806</v>
      </c>
      <c r="G89" s="7" t="s">
        <v>718</v>
      </c>
      <c r="H89" s="9">
        <v>30501290323</v>
      </c>
      <c r="I89" s="7" t="s">
        <v>94</v>
      </c>
      <c r="J89" s="9">
        <v>1</v>
      </c>
      <c r="K89" s="7" t="s">
        <v>719</v>
      </c>
      <c r="L89" s="11">
        <v>268355.19</v>
      </c>
      <c r="M89" s="11"/>
      <c r="N89" s="11"/>
      <c r="O89" s="11">
        <v>0</v>
      </c>
      <c r="P89" s="11">
        <v>56354.59</v>
      </c>
      <c r="Q89" s="11">
        <v>344836.44</v>
      </c>
      <c r="R89">
        <f>VLOOKUP(E89,'IVA COMPRAS'!K:P,6,FALSE)</f>
        <v>344836.44</v>
      </c>
    </row>
    <row r="90" spans="1:18" hidden="1" x14ac:dyDescent="0.25">
      <c r="A90" s="7" t="s">
        <v>755</v>
      </c>
      <c r="B90" s="7" t="s">
        <v>717</v>
      </c>
      <c r="C90" s="9">
        <v>218</v>
      </c>
      <c r="D90" s="9">
        <v>161740</v>
      </c>
      <c r="E90" s="7" t="str">
        <f t="shared" si="1"/>
        <v>30501290323218161740</v>
      </c>
      <c r="F90" s="9">
        <v>74243173415104</v>
      </c>
      <c r="G90" s="7" t="s">
        <v>718</v>
      </c>
      <c r="H90" s="9">
        <v>30501290323</v>
      </c>
      <c r="I90" s="7" t="s">
        <v>94</v>
      </c>
      <c r="J90" s="9">
        <v>1</v>
      </c>
      <c r="K90" s="7" t="s">
        <v>719</v>
      </c>
      <c r="L90" s="11">
        <v>1146768.19</v>
      </c>
      <c r="M90" s="11"/>
      <c r="N90" s="11"/>
      <c r="O90" s="11">
        <v>0</v>
      </c>
      <c r="P90" s="11">
        <v>240821.32</v>
      </c>
      <c r="Q90" s="11">
        <v>1473597.12</v>
      </c>
      <c r="R90">
        <f>VLOOKUP(E90,'IVA COMPRAS'!K:P,6,FALSE)</f>
        <v>1473597.12</v>
      </c>
    </row>
    <row r="91" spans="1:18" hidden="1" x14ac:dyDescent="0.25">
      <c r="A91" s="7" t="s">
        <v>752</v>
      </c>
      <c r="B91" s="7" t="s">
        <v>717</v>
      </c>
      <c r="C91" s="9">
        <v>10</v>
      </c>
      <c r="D91" s="9">
        <v>13726</v>
      </c>
      <c r="E91" s="7" t="str">
        <f t="shared" si="1"/>
        <v>305180258791013726</v>
      </c>
      <c r="F91" s="9">
        <v>74249026119913</v>
      </c>
      <c r="G91" s="7" t="s">
        <v>718</v>
      </c>
      <c r="H91" s="9">
        <v>30518025879</v>
      </c>
      <c r="I91" s="7" t="s">
        <v>253</v>
      </c>
      <c r="J91" s="9">
        <v>1</v>
      </c>
      <c r="K91" s="7" t="s">
        <v>719</v>
      </c>
      <c r="L91" s="11">
        <v>2176347.6</v>
      </c>
      <c r="M91" s="11">
        <v>0</v>
      </c>
      <c r="N91" s="11">
        <v>0</v>
      </c>
      <c r="O91" s="11">
        <v>0</v>
      </c>
      <c r="P91" s="11">
        <v>457033</v>
      </c>
      <c r="Q91" s="11">
        <v>2633380.6</v>
      </c>
      <c r="R91">
        <f>VLOOKUP(E91,'IVA COMPRAS'!K:P,6,FALSE)</f>
        <v>2633380.6</v>
      </c>
    </row>
    <row r="92" spans="1:18" hidden="1" x14ac:dyDescent="0.25">
      <c r="A92" s="7" t="s">
        <v>767</v>
      </c>
      <c r="B92" s="7" t="s">
        <v>717</v>
      </c>
      <c r="C92" s="9">
        <v>113</v>
      </c>
      <c r="D92" s="9">
        <v>3657291</v>
      </c>
      <c r="E92" s="7" t="str">
        <f t="shared" si="1"/>
        <v>305772071901133657291</v>
      </c>
      <c r="F92" s="9">
        <v>74250980268669</v>
      </c>
      <c r="G92" s="7" t="s">
        <v>718</v>
      </c>
      <c r="H92" s="9">
        <v>30577207190</v>
      </c>
      <c r="I92" s="7" t="s">
        <v>768</v>
      </c>
      <c r="J92" s="9">
        <v>1</v>
      </c>
      <c r="K92" s="7" t="s">
        <v>719</v>
      </c>
      <c r="L92" s="11">
        <v>34390.080000000002</v>
      </c>
      <c r="M92" s="11">
        <v>0</v>
      </c>
      <c r="N92" s="11">
        <v>0</v>
      </c>
      <c r="O92" s="11">
        <v>0</v>
      </c>
      <c r="P92" s="11">
        <v>7221.92</v>
      </c>
      <c r="Q92" s="11">
        <v>43331.5</v>
      </c>
      <c r="R92">
        <f>VLOOKUP(E92,'IVA COMPRAS'!K:P,6,FALSE)</f>
        <v>43331.5</v>
      </c>
    </row>
    <row r="93" spans="1:18" hidden="1" x14ac:dyDescent="0.25">
      <c r="A93" s="7" t="s">
        <v>767</v>
      </c>
      <c r="B93" s="7" t="s">
        <v>717</v>
      </c>
      <c r="C93" s="9">
        <v>113</v>
      </c>
      <c r="D93" s="9">
        <v>3658130</v>
      </c>
      <c r="E93" s="7" t="str">
        <f t="shared" si="1"/>
        <v>305772071901133658130</v>
      </c>
      <c r="F93" s="9">
        <v>74250980325530</v>
      </c>
      <c r="G93" s="7" t="s">
        <v>718</v>
      </c>
      <c r="H93" s="9">
        <v>30577207190</v>
      </c>
      <c r="I93" s="7" t="s">
        <v>768</v>
      </c>
      <c r="J93" s="9">
        <v>1</v>
      </c>
      <c r="K93" s="7" t="s">
        <v>719</v>
      </c>
      <c r="L93" s="11">
        <v>2148.7600000000002</v>
      </c>
      <c r="M93" s="11">
        <v>0</v>
      </c>
      <c r="N93" s="11">
        <v>0</v>
      </c>
      <c r="O93" s="11">
        <v>0</v>
      </c>
      <c r="P93" s="11">
        <v>451.24</v>
      </c>
      <c r="Q93" s="11">
        <v>2664.46</v>
      </c>
      <c r="R93">
        <f>VLOOKUP(E93,'IVA COMPRAS'!K:P,6,FALSE)</f>
        <v>2664.46</v>
      </c>
    </row>
    <row r="94" spans="1:18" hidden="1" x14ac:dyDescent="0.25">
      <c r="A94" s="7" t="s">
        <v>788</v>
      </c>
      <c r="B94" s="7" t="s">
        <v>717</v>
      </c>
      <c r="C94" s="9">
        <v>113</v>
      </c>
      <c r="D94" s="9">
        <v>3682971</v>
      </c>
      <c r="E94" s="7" t="str">
        <f t="shared" si="1"/>
        <v>305772071901133682971</v>
      </c>
      <c r="F94" s="9">
        <v>74270657912061</v>
      </c>
      <c r="G94" s="7" t="s">
        <v>718</v>
      </c>
      <c r="H94" s="9">
        <v>30577207190</v>
      </c>
      <c r="I94" s="7" t="s">
        <v>768</v>
      </c>
      <c r="J94" s="9">
        <v>1</v>
      </c>
      <c r="K94" s="7" t="s">
        <v>719</v>
      </c>
      <c r="L94" s="11">
        <v>49431.41</v>
      </c>
      <c r="M94" s="11">
        <v>0</v>
      </c>
      <c r="N94" s="11">
        <v>0</v>
      </c>
      <c r="O94" s="11">
        <v>0</v>
      </c>
      <c r="P94" s="11">
        <v>10380.59</v>
      </c>
      <c r="Q94" s="11">
        <v>62283.57</v>
      </c>
      <c r="R94">
        <f>VLOOKUP(E94,'IVA COMPRAS'!K:P,6,FALSE)</f>
        <v>62283.57</v>
      </c>
    </row>
    <row r="95" spans="1:18" hidden="1" x14ac:dyDescent="0.25">
      <c r="A95" s="7" t="s">
        <v>788</v>
      </c>
      <c r="B95" s="7" t="s">
        <v>717</v>
      </c>
      <c r="C95" s="9">
        <v>113</v>
      </c>
      <c r="D95" s="9">
        <v>3683763</v>
      </c>
      <c r="E95" s="7" t="str">
        <f t="shared" si="1"/>
        <v>305772071901133683763</v>
      </c>
      <c r="F95" s="9">
        <v>74270658000195</v>
      </c>
      <c r="G95" s="7" t="s">
        <v>718</v>
      </c>
      <c r="H95" s="9">
        <v>30577207190</v>
      </c>
      <c r="I95" s="7" t="s">
        <v>768</v>
      </c>
      <c r="J95" s="9">
        <v>1</v>
      </c>
      <c r="K95" s="7" t="s">
        <v>719</v>
      </c>
      <c r="L95" s="11">
        <v>6446.28</v>
      </c>
      <c r="M95" s="11">
        <v>0</v>
      </c>
      <c r="N95" s="11">
        <v>0</v>
      </c>
      <c r="O95" s="11">
        <v>0</v>
      </c>
      <c r="P95" s="11">
        <v>1353.72</v>
      </c>
      <c r="Q95" s="11">
        <v>8122.32</v>
      </c>
      <c r="R95">
        <f>VLOOKUP(E95,'IVA COMPRAS'!K:P,6,FALSE)</f>
        <v>8122.32</v>
      </c>
    </row>
    <row r="96" spans="1:18" hidden="1" x14ac:dyDescent="0.25">
      <c r="A96" s="7" t="s">
        <v>788</v>
      </c>
      <c r="B96" s="7" t="s">
        <v>717</v>
      </c>
      <c r="C96" s="9">
        <v>113</v>
      </c>
      <c r="D96" s="9">
        <v>3682066</v>
      </c>
      <c r="E96" s="7" t="str">
        <f t="shared" si="1"/>
        <v>305772071901133682066</v>
      </c>
      <c r="F96" s="9">
        <v>74270657803732</v>
      </c>
      <c r="G96" s="7" t="s">
        <v>718</v>
      </c>
      <c r="H96" s="9">
        <v>30577207190</v>
      </c>
      <c r="I96" s="7" t="s">
        <v>768</v>
      </c>
      <c r="J96" s="9">
        <v>1</v>
      </c>
      <c r="K96" s="7" t="s">
        <v>719</v>
      </c>
      <c r="L96" s="11">
        <v>826.45</v>
      </c>
      <c r="M96" s="11">
        <v>0</v>
      </c>
      <c r="N96" s="11">
        <v>0</v>
      </c>
      <c r="O96" s="11">
        <v>0</v>
      </c>
      <c r="P96" s="11">
        <v>173.55</v>
      </c>
      <c r="Q96" s="11">
        <v>1000</v>
      </c>
      <c r="R96">
        <f>VLOOKUP(E96,'IVA COMPRAS'!K:P,6,FALSE)</f>
        <v>1000</v>
      </c>
    </row>
    <row r="97" spans="1:18" hidden="1" x14ac:dyDescent="0.25">
      <c r="A97" s="7" t="s">
        <v>738</v>
      </c>
      <c r="B97" s="7" t="s">
        <v>717</v>
      </c>
      <c r="C97" s="9">
        <v>700</v>
      </c>
      <c r="D97" s="9">
        <v>1730819</v>
      </c>
      <c r="E97" s="7" t="str">
        <f t="shared" si="1"/>
        <v>307158048127001730819</v>
      </c>
      <c r="F97" s="9">
        <v>74232488686669</v>
      </c>
      <c r="G97" s="7" t="s">
        <v>718</v>
      </c>
      <c r="H97" s="9">
        <v>30715804812</v>
      </c>
      <c r="I97" s="7" t="s">
        <v>741</v>
      </c>
      <c r="J97" s="9">
        <v>1</v>
      </c>
      <c r="K97" s="7" t="s">
        <v>719</v>
      </c>
      <c r="L97" s="11">
        <v>18677.689999999999</v>
      </c>
      <c r="M97" s="11">
        <v>0</v>
      </c>
      <c r="N97" s="11">
        <v>0</v>
      </c>
      <c r="O97" s="11">
        <v>0</v>
      </c>
      <c r="P97" s="11">
        <v>3922.31</v>
      </c>
      <c r="Q97" s="11">
        <v>23440.49</v>
      </c>
      <c r="R97">
        <f>VLOOKUP(E97,'IVA COMPRAS'!K:P,6,FALSE)</f>
        <v>23440.49</v>
      </c>
    </row>
    <row r="98" spans="1:18" hidden="1" x14ac:dyDescent="0.25">
      <c r="A98" s="7" t="s">
        <v>738</v>
      </c>
      <c r="B98" s="7" t="s">
        <v>717</v>
      </c>
      <c r="C98" s="9">
        <v>700</v>
      </c>
      <c r="D98" s="9">
        <v>1713413</v>
      </c>
      <c r="E98" s="7" t="str">
        <f t="shared" si="1"/>
        <v>307158048127001713413</v>
      </c>
      <c r="F98" s="9">
        <v>74232486264721</v>
      </c>
      <c r="G98" s="7" t="s">
        <v>718</v>
      </c>
      <c r="H98" s="9">
        <v>30715804812</v>
      </c>
      <c r="I98" s="7" t="s">
        <v>741</v>
      </c>
      <c r="J98" s="9">
        <v>1</v>
      </c>
      <c r="K98" s="7" t="s">
        <v>719</v>
      </c>
      <c r="L98" s="11">
        <v>1487.6</v>
      </c>
      <c r="M98" s="11">
        <v>0</v>
      </c>
      <c r="N98" s="11">
        <v>0</v>
      </c>
      <c r="O98" s="11">
        <v>0</v>
      </c>
      <c r="P98" s="11">
        <v>312.39999999999998</v>
      </c>
      <c r="Q98" s="11">
        <v>1800</v>
      </c>
      <c r="R98">
        <f>VLOOKUP(E98,'IVA COMPRAS'!K:P,6,FALSE)</f>
        <v>1800</v>
      </c>
    </row>
    <row r="99" spans="1:18" hidden="1" x14ac:dyDescent="0.25">
      <c r="A99" s="7" t="s">
        <v>738</v>
      </c>
      <c r="B99" s="7" t="s">
        <v>717</v>
      </c>
      <c r="C99" s="9">
        <v>700</v>
      </c>
      <c r="D99" s="9">
        <v>1713689</v>
      </c>
      <c r="E99" s="7" t="str">
        <f t="shared" si="1"/>
        <v>307158048127001713689</v>
      </c>
      <c r="F99" s="9">
        <v>74232486314524</v>
      </c>
      <c r="G99" s="7" t="s">
        <v>718</v>
      </c>
      <c r="H99" s="9">
        <v>30715804812</v>
      </c>
      <c r="I99" s="7" t="s">
        <v>741</v>
      </c>
      <c r="J99" s="9">
        <v>1</v>
      </c>
      <c r="K99" s="7" t="s">
        <v>719</v>
      </c>
      <c r="L99" s="11">
        <v>5785.12</v>
      </c>
      <c r="M99" s="11">
        <v>0</v>
      </c>
      <c r="N99" s="11">
        <v>0</v>
      </c>
      <c r="O99" s="11">
        <v>0</v>
      </c>
      <c r="P99" s="11">
        <v>1214.8800000000001</v>
      </c>
      <c r="Q99" s="11">
        <v>7260.33</v>
      </c>
      <c r="R99">
        <f>VLOOKUP(E99,'IVA COMPRAS'!K:P,6,FALSE)</f>
        <v>7260.33</v>
      </c>
    </row>
    <row r="100" spans="1:18" hidden="1" x14ac:dyDescent="0.25">
      <c r="A100" s="7" t="s">
        <v>778</v>
      </c>
      <c r="B100" s="7" t="s">
        <v>717</v>
      </c>
      <c r="C100" s="9">
        <v>700</v>
      </c>
      <c r="D100" s="9">
        <v>1744685</v>
      </c>
      <c r="E100" s="7" t="str">
        <f t="shared" si="1"/>
        <v>307158048127001744685</v>
      </c>
      <c r="F100" s="9">
        <v>74262566424954</v>
      </c>
      <c r="G100" s="7" t="s">
        <v>718</v>
      </c>
      <c r="H100" s="9">
        <v>30715804812</v>
      </c>
      <c r="I100" s="7" t="s">
        <v>741</v>
      </c>
      <c r="J100" s="9">
        <v>1</v>
      </c>
      <c r="K100" s="7" t="s">
        <v>719</v>
      </c>
      <c r="L100" s="11">
        <v>1487.6</v>
      </c>
      <c r="M100" s="11">
        <v>0</v>
      </c>
      <c r="N100" s="11">
        <v>0</v>
      </c>
      <c r="O100" s="11">
        <v>0</v>
      </c>
      <c r="P100" s="11">
        <v>312.39999999999998</v>
      </c>
      <c r="Q100" s="11">
        <v>1800</v>
      </c>
      <c r="R100">
        <f>VLOOKUP(E100,'IVA COMPRAS'!K:P,6,FALSE)</f>
        <v>1800</v>
      </c>
    </row>
    <row r="101" spans="1:18" hidden="1" x14ac:dyDescent="0.25">
      <c r="A101" s="7" t="s">
        <v>778</v>
      </c>
      <c r="B101" s="7" t="s">
        <v>717</v>
      </c>
      <c r="C101" s="9">
        <v>700</v>
      </c>
      <c r="D101" s="9">
        <v>1761187</v>
      </c>
      <c r="E101" s="7" t="str">
        <f t="shared" si="1"/>
        <v>307158048127001761187</v>
      </c>
      <c r="F101" s="9">
        <v>74262566778344</v>
      </c>
      <c r="G101" s="7" t="s">
        <v>718</v>
      </c>
      <c r="H101" s="9">
        <v>30715804812</v>
      </c>
      <c r="I101" s="7" t="s">
        <v>741</v>
      </c>
      <c r="J101" s="9">
        <v>1</v>
      </c>
      <c r="K101" s="7" t="s">
        <v>719</v>
      </c>
      <c r="L101" s="11">
        <v>11404.96</v>
      </c>
      <c r="M101" s="11">
        <v>0</v>
      </c>
      <c r="N101" s="11">
        <v>0</v>
      </c>
      <c r="O101" s="11">
        <v>0</v>
      </c>
      <c r="P101" s="11">
        <v>2395.04</v>
      </c>
      <c r="Q101" s="11">
        <v>14313.22</v>
      </c>
      <c r="R101">
        <f>VLOOKUP(E101,'IVA COMPRAS'!K:P,6,FALSE)</f>
        <v>14313.22</v>
      </c>
    </row>
    <row r="102" spans="1:18" x14ac:dyDescent="0.25">
      <c r="A102" s="7" t="s">
        <v>787</v>
      </c>
      <c r="B102" s="7" t="s">
        <v>717</v>
      </c>
      <c r="C102" s="9">
        <v>104</v>
      </c>
      <c r="D102" s="9">
        <v>6103273</v>
      </c>
      <c r="E102" s="7" t="str">
        <f t="shared" si="1"/>
        <v>307158048121046103273</v>
      </c>
      <c r="F102" s="9">
        <v>74262088233226</v>
      </c>
      <c r="G102" s="7" t="s">
        <v>718</v>
      </c>
      <c r="H102" s="9">
        <v>30715804812</v>
      </c>
      <c r="I102" s="7" t="s">
        <v>741</v>
      </c>
      <c r="J102" s="9">
        <v>1</v>
      </c>
      <c r="K102" s="7" t="s">
        <v>719</v>
      </c>
      <c r="L102" s="11">
        <v>2252.12</v>
      </c>
      <c r="M102" s="11">
        <v>0</v>
      </c>
      <c r="N102" s="11">
        <v>0</v>
      </c>
      <c r="O102" s="11">
        <v>0</v>
      </c>
      <c r="P102" s="11">
        <v>472.95</v>
      </c>
      <c r="Q102" s="11">
        <v>2781.37</v>
      </c>
      <c r="R102" t="e">
        <f>VLOOKUP(E102,'IVA COMPRAS'!K:P,6,FALSE)</f>
        <v>#N/A</v>
      </c>
    </row>
    <row r="103" spans="1:18" hidden="1" x14ac:dyDescent="0.25">
      <c r="A103" s="7" t="s">
        <v>726</v>
      </c>
      <c r="B103" s="7" t="s">
        <v>717</v>
      </c>
      <c r="C103" s="9">
        <v>3</v>
      </c>
      <c r="D103" s="9">
        <v>3681</v>
      </c>
      <c r="E103" s="7" t="str">
        <f t="shared" si="1"/>
        <v>3071683826533681</v>
      </c>
      <c r="F103" s="9">
        <v>74235212911305</v>
      </c>
      <c r="G103" s="7" t="s">
        <v>718</v>
      </c>
      <c r="H103" s="9">
        <v>30716838265</v>
      </c>
      <c r="I103" s="7" t="s">
        <v>68</v>
      </c>
      <c r="J103" s="9">
        <v>1</v>
      </c>
      <c r="K103" s="7" t="s">
        <v>719</v>
      </c>
      <c r="L103" s="11">
        <v>2813580</v>
      </c>
      <c r="M103" s="11">
        <v>0</v>
      </c>
      <c r="N103" s="11">
        <v>0</v>
      </c>
      <c r="O103" s="11">
        <v>0</v>
      </c>
      <c r="P103" s="11">
        <v>590851.80000000005</v>
      </c>
      <c r="Q103" s="11">
        <v>3404431.8</v>
      </c>
      <c r="R103">
        <f>VLOOKUP(E103,'IVA COMPRAS'!K:P,6,FALSE)</f>
        <v>3404431.8</v>
      </c>
    </row>
    <row r="104" spans="1:18" hidden="1" x14ac:dyDescent="0.25">
      <c r="A104" s="7" t="s">
        <v>731</v>
      </c>
      <c r="B104" s="7" t="s">
        <v>717</v>
      </c>
      <c r="C104" s="9">
        <v>6004</v>
      </c>
      <c r="D104" s="9">
        <v>3644600</v>
      </c>
      <c r="E104" s="7" t="str">
        <f t="shared" si="1"/>
        <v>3050111624260043644600</v>
      </c>
      <c r="F104" s="9">
        <v>34222393861270</v>
      </c>
      <c r="G104" s="7" t="s">
        <v>718</v>
      </c>
      <c r="H104" s="9">
        <v>30501116242</v>
      </c>
      <c r="I104" s="7" t="s">
        <v>736</v>
      </c>
      <c r="J104" s="9">
        <v>1</v>
      </c>
      <c r="K104" s="7" t="s">
        <v>719</v>
      </c>
      <c r="L104" s="11">
        <v>441034.14</v>
      </c>
      <c r="M104" s="11">
        <v>0</v>
      </c>
      <c r="N104" s="11">
        <v>0</v>
      </c>
      <c r="O104" s="11">
        <v>0</v>
      </c>
      <c r="P104" s="11">
        <v>92617.17</v>
      </c>
      <c r="Q104" s="11">
        <v>555703</v>
      </c>
      <c r="R104">
        <f>VLOOKUP(E104,'IVA COMPRAS'!K:P,6,FALSE)</f>
        <v>555703</v>
      </c>
    </row>
    <row r="105" spans="1:18" hidden="1" x14ac:dyDescent="0.25">
      <c r="A105" s="7" t="s">
        <v>738</v>
      </c>
      <c r="B105" s="7" t="s">
        <v>722</v>
      </c>
      <c r="C105" s="9">
        <v>6004</v>
      </c>
      <c r="D105" s="9">
        <v>1767701</v>
      </c>
      <c r="E105" s="7" t="str">
        <f t="shared" si="1"/>
        <v>3050111624260041767701</v>
      </c>
      <c r="F105" s="9">
        <v>34222393861270</v>
      </c>
      <c r="G105" s="7" t="s">
        <v>718</v>
      </c>
      <c r="H105" s="9">
        <v>30501116242</v>
      </c>
      <c r="I105" s="7" t="s">
        <v>736</v>
      </c>
      <c r="J105" s="9">
        <v>1</v>
      </c>
      <c r="K105" s="7" t="s">
        <v>719</v>
      </c>
      <c r="L105" s="11">
        <v>13220.62</v>
      </c>
      <c r="M105" s="11">
        <v>0</v>
      </c>
      <c r="N105" s="11">
        <v>0</v>
      </c>
      <c r="O105" s="11">
        <v>0</v>
      </c>
      <c r="P105" s="11">
        <v>2776.33</v>
      </c>
      <c r="Q105" s="11">
        <v>16393.59</v>
      </c>
      <c r="R105">
        <f>VLOOKUP(E105,'IVA COMPRAS'!K:P,6,FALSE)</f>
        <v>-16393.59</v>
      </c>
    </row>
    <row r="106" spans="1:18" hidden="1" x14ac:dyDescent="0.25">
      <c r="A106" s="7" t="s">
        <v>747</v>
      </c>
      <c r="B106" s="7" t="s">
        <v>717</v>
      </c>
      <c r="C106" s="9">
        <v>6004</v>
      </c>
      <c r="D106" s="9">
        <v>3646474</v>
      </c>
      <c r="E106" s="7" t="str">
        <f t="shared" si="1"/>
        <v>3050111624260043646474</v>
      </c>
      <c r="F106" s="9">
        <v>34222393861270</v>
      </c>
      <c r="G106" s="7" t="s">
        <v>718</v>
      </c>
      <c r="H106" s="9">
        <v>30501116242</v>
      </c>
      <c r="I106" s="7" t="s">
        <v>736</v>
      </c>
      <c r="J106" s="9">
        <v>1</v>
      </c>
      <c r="K106" s="7" t="s">
        <v>719</v>
      </c>
      <c r="L106" s="11">
        <v>113930.33</v>
      </c>
      <c r="M106" s="11">
        <v>0</v>
      </c>
      <c r="N106" s="11">
        <v>0</v>
      </c>
      <c r="O106" s="11">
        <v>0</v>
      </c>
      <c r="P106" s="11">
        <v>23925.37</v>
      </c>
      <c r="Q106" s="11">
        <v>143552.21</v>
      </c>
      <c r="R106">
        <f>VLOOKUP(E106,'IVA COMPRAS'!K:P,6,FALSE)</f>
        <v>143552.21</v>
      </c>
    </row>
    <row r="107" spans="1:18" hidden="1" x14ac:dyDescent="0.25">
      <c r="A107" s="7" t="s">
        <v>749</v>
      </c>
      <c r="B107" s="7" t="s">
        <v>722</v>
      </c>
      <c r="C107" s="9">
        <v>6004</v>
      </c>
      <c r="D107" s="9">
        <v>1769457</v>
      </c>
      <c r="E107" s="7" t="str">
        <f t="shared" si="1"/>
        <v>3050111624260041769457</v>
      </c>
      <c r="F107" s="9">
        <v>34222393861270</v>
      </c>
      <c r="G107" s="7" t="s">
        <v>718</v>
      </c>
      <c r="H107" s="9">
        <v>30501116242</v>
      </c>
      <c r="I107" s="7" t="s">
        <v>736</v>
      </c>
      <c r="J107" s="9">
        <v>1</v>
      </c>
      <c r="K107" s="7" t="s">
        <v>719</v>
      </c>
      <c r="L107" s="11">
        <v>1844.76</v>
      </c>
      <c r="M107" s="11">
        <v>0</v>
      </c>
      <c r="N107" s="11">
        <v>0</v>
      </c>
      <c r="O107" s="11">
        <v>0</v>
      </c>
      <c r="P107" s="11">
        <v>387.4</v>
      </c>
      <c r="Q107" s="11">
        <v>2232.16</v>
      </c>
      <c r="R107">
        <f>VLOOKUP(E107,'IVA COMPRAS'!K:P,6,FALSE)</f>
        <v>-2232.16</v>
      </c>
    </row>
    <row r="108" spans="1:18" hidden="1" x14ac:dyDescent="0.25">
      <c r="A108" s="7" t="s">
        <v>755</v>
      </c>
      <c r="B108" s="7" t="s">
        <v>717</v>
      </c>
      <c r="C108" s="9">
        <v>6004</v>
      </c>
      <c r="D108" s="9">
        <v>3652135</v>
      </c>
      <c r="E108" s="7" t="str">
        <f t="shared" si="1"/>
        <v>3050111624260043652135</v>
      </c>
      <c r="F108" s="9">
        <v>34222393861270</v>
      </c>
      <c r="G108" s="7" t="s">
        <v>718</v>
      </c>
      <c r="H108" s="9">
        <v>30501116242</v>
      </c>
      <c r="I108" s="7" t="s">
        <v>736</v>
      </c>
      <c r="J108" s="9">
        <v>1</v>
      </c>
      <c r="K108" s="7" t="s">
        <v>719</v>
      </c>
      <c r="L108" s="11">
        <v>409458.05</v>
      </c>
      <c r="M108" s="11">
        <v>0</v>
      </c>
      <c r="N108" s="11">
        <v>0</v>
      </c>
      <c r="O108" s="11">
        <v>0</v>
      </c>
      <c r="P108" s="11">
        <v>85986.19</v>
      </c>
      <c r="Q108" s="11">
        <v>515917.16</v>
      </c>
      <c r="R108">
        <f>VLOOKUP(E108,'IVA COMPRAS'!K:P,6,FALSE)</f>
        <v>515917.16</v>
      </c>
    </row>
    <row r="109" spans="1:18" hidden="1" x14ac:dyDescent="0.25">
      <c r="A109" s="7" t="s">
        <v>763</v>
      </c>
      <c r="B109" s="7" t="s">
        <v>717</v>
      </c>
      <c r="C109" s="9">
        <v>6004</v>
      </c>
      <c r="D109" s="9">
        <v>3654977</v>
      </c>
      <c r="E109" s="7" t="str">
        <f t="shared" si="1"/>
        <v>3050111624260043654977</v>
      </c>
      <c r="F109" s="9">
        <v>34222393861270</v>
      </c>
      <c r="G109" s="7" t="s">
        <v>718</v>
      </c>
      <c r="H109" s="9">
        <v>30501116242</v>
      </c>
      <c r="I109" s="7" t="s">
        <v>736</v>
      </c>
      <c r="J109" s="9">
        <v>1</v>
      </c>
      <c r="K109" s="7" t="s">
        <v>719</v>
      </c>
      <c r="L109" s="11">
        <v>1182428.8999999999</v>
      </c>
      <c r="M109" s="11">
        <v>0</v>
      </c>
      <c r="N109" s="11">
        <v>0</v>
      </c>
      <c r="O109" s="11">
        <v>0</v>
      </c>
      <c r="P109" s="11">
        <v>248310.07</v>
      </c>
      <c r="Q109" s="11">
        <v>1489860.43</v>
      </c>
      <c r="R109">
        <f>VLOOKUP(E109,'IVA COMPRAS'!K:P,6,FALSE)</f>
        <v>1489860.43</v>
      </c>
    </row>
    <row r="110" spans="1:18" hidden="1" x14ac:dyDescent="0.25">
      <c r="A110" s="7" t="s">
        <v>767</v>
      </c>
      <c r="B110" s="7" t="s">
        <v>722</v>
      </c>
      <c r="C110" s="9">
        <v>6010</v>
      </c>
      <c r="D110" s="9">
        <v>55694</v>
      </c>
      <c r="E110" s="7" t="str">
        <f t="shared" si="1"/>
        <v>30501116242601055694</v>
      </c>
      <c r="F110" s="9">
        <v>34222393861270</v>
      </c>
      <c r="G110" s="7" t="s">
        <v>718</v>
      </c>
      <c r="H110" s="9">
        <v>30501116242</v>
      </c>
      <c r="I110" s="7" t="s">
        <v>736</v>
      </c>
      <c r="J110" s="9">
        <v>1</v>
      </c>
      <c r="K110" s="7" t="s">
        <v>719</v>
      </c>
      <c r="L110" s="11">
        <v>199685.24</v>
      </c>
      <c r="M110" s="11">
        <v>0</v>
      </c>
      <c r="N110" s="11">
        <v>0</v>
      </c>
      <c r="O110" s="11">
        <v>0</v>
      </c>
      <c r="P110" s="11">
        <v>41933.9</v>
      </c>
      <c r="Q110" s="11">
        <v>241619.15</v>
      </c>
      <c r="R110">
        <f>VLOOKUP(E110,'IVA COMPRAS'!K:P,6,FALSE)</f>
        <v>-241619.15</v>
      </c>
    </row>
    <row r="111" spans="1:18" hidden="1" x14ac:dyDescent="0.25">
      <c r="A111" s="7" t="s">
        <v>771</v>
      </c>
      <c r="B111" s="7" t="s">
        <v>717</v>
      </c>
      <c r="C111" s="9">
        <v>6004</v>
      </c>
      <c r="D111" s="9">
        <v>3659214</v>
      </c>
      <c r="E111" s="7" t="str">
        <f t="shared" si="1"/>
        <v>3050111624260043659214</v>
      </c>
      <c r="F111" s="9">
        <v>34242212039389</v>
      </c>
      <c r="G111" s="7" t="s">
        <v>718</v>
      </c>
      <c r="H111" s="9">
        <v>30501116242</v>
      </c>
      <c r="I111" s="7" t="s">
        <v>736</v>
      </c>
      <c r="J111" s="9">
        <v>1</v>
      </c>
      <c r="K111" s="7" t="s">
        <v>719</v>
      </c>
      <c r="L111" s="11">
        <v>443790.38</v>
      </c>
      <c r="M111" s="11">
        <v>0</v>
      </c>
      <c r="N111" s="11">
        <v>0</v>
      </c>
      <c r="O111" s="11">
        <v>0</v>
      </c>
      <c r="P111" s="11">
        <v>93195.98</v>
      </c>
      <c r="Q111" s="11">
        <v>559175.86</v>
      </c>
      <c r="R111">
        <f>VLOOKUP(E111,'IVA COMPRAS'!K:P,6,FALSE)</f>
        <v>559175.86</v>
      </c>
    </row>
    <row r="112" spans="1:18" hidden="1" x14ac:dyDescent="0.25">
      <c r="A112" s="7" t="s">
        <v>775</v>
      </c>
      <c r="B112" s="7" t="s">
        <v>722</v>
      </c>
      <c r="C112" s="9">
        <v>6004</v>
      </c>
      <c r="D112" s="9">
        <v>1777977</v>
      </c>
      <c r="E112" s="7" t="str">
        <f t="shared" si="1"/>
        <v>3050111624260041777977</v>
      </c>
      <c r="F112" s="9">
        <v>34242212039389</v>
      </c>
      <c r="G112" s="7" t="s">
        <v>718</v>
      </c>
      <c r="H112" s="9">
        <v>30501116242</v>
      </c>
      <c r="I112" s="7" t="s">
        <v>736</v>
      </c>
      <c r="J112" s="9">
        <v>1</v>
      </c>
      <c r="K112" s="7" t="s">
        <v>719</v>
      </c>
      <c r="L112" s="11">
        <v>35597.379999999997</v>
      </c>
      <c r="M112" s="11">
        <v>0</v>
      </c>
      <c r="N112" s="11">
        <v>0</v>
      </c>
      <c r="O112" s="11">
        <v>0</v>
      </c>
      <c r="P112" s="11">
        <v>7475.45</v>
      </c>
      <c r="Q112" s="11">
        <v>44140.75</v>
      </c>
      <c r="R112">
        <f>VLOOKUP(E112,'IVA COMPRAS'!K:P,6,FALSE)</f>
        <v>-44140.75</v>
      </c>
    </row>
    <row r="113" spans="1:18" hidden="1" x14ac:dyDescent="0.25">
      <c r="A113" s="7" t="s">
        <v>779</v>
      </c>
      <c r="B113" s="7" t="s">
        <v>717</v>
      </c>
      <c r="C113" s="9">
        <v>6004</v>
      </c>
      <c r="D113" s="9">
        <v>3666547</v>
      </c>
      <c r="E113" s="7" t="str">
        <f t="shared" si="1"/>
        <v>3050111624260043666547</v>
      </c>
      <c r="F113" s="9">
        <v>34242212039389</v>
      </c>
      <c r="G113" s="7" t="s">
        <v>718</v>
      </c>
      <c r="H113" s="9">
        <v>30501116242</v>
      </c>
      <c r="I113" s="7" t="s">
        <v>736</v>
      </c>
      <c r="J113" s="9">
        <v>1</v>
      </c>
      <c r="K113" s="7" t="s">
        <v>719</v>
      </c>
      <c r="L113" s="11">
        <v>2420748.48</v>
      </c>
      <c r="M113" s="11">
        <v>0</v>
      </c>
      <c r="N113" s="11">
        <v>0</v>
      </c>
      <c r="O113" s="11">
        <v>0</v>
      </c>
      <c r="P113" s="11">
        <v>508357.18</v>
      </c>
      <c r="Q113" s="11">
        <v>3050143.07</v>
      </c>
      <c r="R113">
        <f>VLOOKUP(E113,'IVA COMPRAS'!K:P,6,FALSE)</f>
        <v>3050143.07</v>
      </c>
    </row>
    <row r="114" spans="1:18" hidden="1" x14ac:dyDescent="0.25">
      <c r="A114" s="7" t="s">
        <v>782</v>
      </c>
      <c r="B114" s="7" t="s">
        <v>722</v>
      </c>
      <c r="C114" s="9">
        <v>6004</v>
      </c>
      <c r="D114" s="9">
        <v>1780512</v>
      </c>
      <c r="E114" s="7" t="str">
        <f t="shared" si="1"/>
        <v>3050111624260041780512</v>
      </c>
      <c r="F114" s="9">
        <v>34242212039389</v>
      </c>
      <c r="G114" s="7" t="s">
        <v>718</v>
      </c>
      <c r="H114" s="9">
        <v>30501116242</v>
      </c>
      <c r="I114" s="7" t="s">
        <v>736</v>
      </c>
      <c r="J114" s="9">
        <v>1</v>
      </c>
      <c r="K114" s="7" t="s">
        <v>719</v>
      </c>
      <c r="L114" s="11">
        <v>22931.81</v>
      </c>
      <c r="M114" s="11">
        <v>0</v>
      </c>
      <c r="N114" s="11">
        <v>0</v>
      </c>
      <c r="O114" s="11">
        <v>0</v>
      </c>
      <c r="P114" s="11">
        <v>4815.68</v>
      </c>
      <c r="Q114" s="11">
        <v>28435.439999999999</v>
      </c>
      <c r="R114">
        <f>VLOOKUP(E114,'IVA COMPRAS'!K:P,6,FALSE)</f>
        <v>-28435.439999999999</v>
      </c>
    </row>
    <row r="115" spans="1:18" hidden="1" x14ac:dyDescent="0.25">
      <c r="A115" s="7" t="s">
        <v>783</v>
      </c>
      <c r="B115" s="7" t="s">
        <v>717</v>
      </c>
      <c r="C115" s="9">
        <v>6004</v>
      </c>
      <c r="D115" s="9">
        <v>3669438</v>
      </c>
      <c r="E115" s="7" t="str">
        <f t="shared" si="1"/>
        <v>3050111624260043669438</v>
      </c>
      <c r="F115" s="9">
        <v>34242212039389</v>
      </c>
      <c r="G115" s="7" t="s">
        <v>718</v>
      </c>
      <c r="H115" s="9">
        <v>30501116242</v>
      </c>
      <c r="I115" s="7" t="s">
        <v>736</v>
      </c>
      <c r="J115" s="9">
        <v>1</v>
      </c>
      <c r="K115" s="7" t="s">
        <v>719</v>
      </c>
      <c r="L115" s="11">
        <v>438245.43</v>
      </c>
      <c r="M115" s="11">
        <v>0</v>
      </c>
      <c r="N115" s="11">
        <v>0</v>
      </c>
      <c r="O115" s="11">
        <v>0</v>
      </c>
      <c r="P115" s="11">
        <v>92031.54</v>
      </c>
      <c r="Q115" s="11">
        <v>552189.22</v>
      </c>
      <c r="R115">
        <f>VLOOKUP(E115,'IVA COMPRAS'!K:P,6,FALSE)</f>
        <v>552189.22</v>
      </c>
    </row>
    <row r="116" spans="1:18" hidden="1" x14ac:dyDescent="0.25">
      <c r="A116" s="7" t="s">
        <v>787</v>
      </c>
      <c r="B116" s="7" t="s">
        <v>722</v>
      </c>
      <c r="C116" s="9">
        <v>6010</v>
      </c>
      <c r="D116" s="9">
        <v>56022</v>
      </c>
      <c r="E116" s="7" t="str">
        <f t="shared" si="1"/>
        <v>30501116242601056022</v>
      </c>
      <c r="F116" s="9">
        <v>34242212039389</v>
      </c>
      <c r="G116" s="7" t="s">
        <v>718</v>
      </c>
      <c r="H116" s="9">
        <v>30501116242</v>
      </c>
      <c r="I116" s="7" t="s">
        <v>736</v>
      </c>
      <c r="J116" s="9">
        <v>1</v>
      </c>
      <c r="K116" s="7" t="s">
        <v>719</v>
      </c>
      <c r="L116" s="11">
        <v>159748.19</v>
      </c>
      <c r="M116" s="11">
        <v>0</v>
      </c>
      <c r="N116" s="11">
        <v>0</v>
      </c>
      <c r="O116" s="11">
        <v>0</v>
      </c>
      <c r="P116" s="11">
        <v>33547.120000000003</v>
      </c>
      <c r="Q116" s="11">
        <v>193295.32</v>
      </c>
      <c r="R116">
        <f>VLOOKUP(E116,'IVA COMPRAS'!K:P,6,FALSE)</f>
        <v>-193295.32</v>
      </c>
    </row>
    <row r="117" spans="1:18" hidden="1" x14ac:dyDescent="0.25">
      <c r="A117" s="7" t="s">
        <v>783</v>
      </c>
      <c r="B117" s="7" t="s">
        <v>717</v>
      </c>
      <c r="C117" s="9">
        <v>2034</v>
      </c>
      <c r="D117" s="9">
        <v>156211</v>
      </c>
      <c r="E117" s="7" t="str">
        <f t="shared" si="1"/>
        <v>305161866702034156211</v>
      </c>
      <c r="F117" s="9">
        <v>74260807090578</v>
      </c>
      <c r="G117" s="7" t="s">
        <v>718</v>
      </c>
      <c r="H117" s="9">
        <v>30516186670</v>
      </c>
      <c r="I117" s="7" t="s">
        <v>784</v>
      </c>
      <c r="J117" s="9">
        <v>1</v>
      </c>
      <c r="K117" s="7" t="s">
        <v>719</v>
      </c>
      <c r="L117" s="11">
        <v>107942.33</v>
      </c>
      <c r="M117" s="11">
        <v>0</v>
      </c>
      <c r="N117" s="11">
        <v>0</v>
      </c>
      <c r="O117" s="11">
        <v>0</v>
      </c>
      <c r="P117" s="11">
        <v>22667.89</v>
      </c>
      <c r="Q117" s="11">
        <v>148936.18</v>
      </c>
      <c r="R117">
        <f>VLOOKUP(E117,'IVA COMPRAS'!K:P,6,FALSE)</f>
        <v>148936.19</v>
      </c>
    </row>
    <row r="118" spans="1:18" hidden="1" x14ac:dyDescent="0.25">
      <c r="A118" s="7" t="s">
        <v>726</v>
      </c>
      <c r="B118" s="7" t="s">
        <v>730</v>
      </c>
      <c r="C118" s="9">
        <v>2</v>
      </c>
      <c r="D118" s="9">
        <v>317</v>
      </c>
      <c r="E118" s="7" t="str">
        <f t="shared" si="1"/>
        <v>272069414192317</v>
      </c>
      <c r="F118" s="9">
        <v>74239230058592</v>
      </c>
      <c r="G118" s="7" t="s">
        <v>718</v>
      </c>
      <c r="H118" s="9">
        <v>27206941419</v>
      </c>
      <c r="I118" s="7" t="s">
        <v>91</v>
      </c>
      <c r="J118" s="9">
        <v>1</v>
      </c>
      <c r="K118" s="7" t="s">
        <v>719</v>
      </c>
      <c r="L118" s="11"/>
      <c r="M118" s="11"/>
      <c r="N118" s="11"/>
      <c r="O118" s="11">
        <v>0</v>
      </c>
      <c r="P118" s="11"/>
      <c r="Q118" s="11">
        <v>195000</v>
      </c>
      <c r="R118">
        <f>VLOOKUP(E118,'IVA COMPRAS'!K:P,6,FALSE)</f>
        <v>195000</v>
      </c>
    </row>
    <row r="119" spans="1:18" hidden="1" x14ac:dyDescent="0.25">
      <c r="A119" s="7" t="s">
        <v>763</v>
      </c>
      <c r="B119" s="7" t="s">
        <v>730</v>
      </c>
      <c r="C119" s="9">
        <v>2</v>
      </c>
      <c r="D119" s="9">
        <v>322</v>
      </c>
      <c r="E119" s="7" t="str">
        <f t="shared" si="1"/>
        <v>272069414192322</v>
      </c>
      <c r="F119" s="9">
        <v>74249412892827</v>
      </c>
      <c r="G119" s="7" t="s">
        <v>718</v>
      </c>
      <c r="H119" s="9">
        <v>27206941419</v>
      </c>
      <c r="I119" s="7" t="s">
        <v>91</v>
      </c>
      <c r="J119" s="9">
        <v>1</v>
      </c>
      <c r="K119" s="7" t="s">
        <v>719</v>
      </c>
      <c r="L119" s="11"/>
      <c r="M119" s="11"/>
      <c r="N119" s="11"/>
      <c r="O119" s="11">
        <v>0</v>
      </c>
      <c r="P119" s="11"/>
      <c r="Q119" s="11">
        <v>300000</v>
      </c>
      <c r="R119">
        <f>VLOOKUP(E119,'IVA COMPRAS'!K:P,6,FALSE)</f>
        <v>300000</v>
      </c>
    </row>
    <row r="120" spans="1:18" hidden="1" x14ac:dyDescent="0.25">
      <c r="A120" s="7" t="s">
        <v>782</v>
      </c>
      <c r="B120" s="7" t="s">
        <v>717</v>
      </c>
      <c r="C120" s="9">
        <v>10</v>
      </c>
      <c r="D120" s="9">
        <v>155724</v>
      </c>
      <c r="E120" s="7" t="str">
        <f t="shared" si="1"/>
        <v>3064221935510155724</v>
      </c>
      <c r="F120" s="9">
        <v>74265771361356</v>
      </c>
      <c r="G120" s="7" t="s">
        <v>718</v>
      </c>
      <c r="H120" s="9">
        <v>30642219355</v>
      </c>
      <c r="I120" s="7" t="s">
        <v>508</v>
      </c>
      <c r="J120" s="9">
        <v>1</v>
      </c>
      <c r="K120" s="7" t="s">
        <v>719</v>
      </c>
      <c r="L120" s="11">
        <v>2625150</v>
      </c>
      <c r="M120" s="11">
        <v>0</v>
      </c>
      <c r="N120" s="11">
        <v>0</v>
      </c>
      <c r="O120" s="11">
        <v>0</v>
      </c>
      <c r="P120" s="11">
        <v>551281.5</v>
      </c>
      <c r="Q120" s="11">
        <v>3373317.75</v>
      </c>
      <c r="R120">
        <f>VLOOKUP(E120,'IVA COMPRAS'!K:P,6,FALSE)</f>
        <v>3373317.75</v>
      </c>
    </row>
    <row r="121" spans="1:18" hidden="1" x14ac:dyDescent="0.25">
      <c r="A121" s="7" t="s">
        <v>731</v>
      </c>
      <c r="B121" s="7" t="s">
        <v>717</v>
      </c>
      <c r="C121" s="9">
        <v>1001</v>
      </c>
      <c r="D121" s="9">
        <v>236946</v>
      </c>
      <c r="E121" s="7" t="str">
        <f t="shared" si="1"/>
        <v>305866115221001236946</v>
      </c>
      <c r="F121" s="9">
        <v>74232333966136</v>
      </c>
      <c r="G121" s="7" t="s">
        <v>718</v>
      </c>
      <c r="H121" s="9">
        <v>30586611522</v>
      </c>
      <c r="I121" s="7" t="s">
        <v>127</v>
      </c>
      <c r="J121" s="9">
        <v>1</v>
      </c>
      <c r="K121" s="7" t="s">
        <v>719</v>
      </c>
      <c r="L121" s="11">
        <v>8738760</v>
      </c>
      <c r="M121" s="11"/>
      <c r="N121" s="11">
        <v>0</v>
      </c>
      <c r="O121" s="11">
        <v>0</v>
      </c>
      <c r="P121" s="11">
        <v>1835139.6</v>
      </c>
      <c r="Q121" s="11">
        <v>11229306.6</v>
      </c>
      <c r="R121">
        <f>VLOOKUP(E121,'IVA COMPRAS'!K:P,6,FALSE)</f>
        <v>11229306.6</v>
      </c>
    </row>
    <row r="122" spans="1:18" hidden="1" x14ac:dyDescent="0.25">
      <c r="A122" s="7" t="s">
        <v>755</v>
      </c>
      <c r="B122" s="7" t="s">
        <v>717</v>
      </c>
      <c r="C122" s="9">
        <v>1001</v>
      </c>
      <c r="D122" s="9">
        <v>237257</v>
      </c>
      <c r="E122" s="7" t="str">
        <f t="shared" si="1"/>
        <v>305866115221001237257</v>
      </c>
      <c r="F122" s="9">
        <v>74242157485994</v>
      </c>
      <c r="G122" s="7" t="s">
        <v>718</v>
      </c>
      <c r="H122" s="9">
        <v>30586611522</v>
      </c>
      <c r="I122" s="7" t="s">
        <v>127</v>
      </c>
      <c r="J122" s="9">
        <v>1</v>
      </c>
      <c r="K122" s="7" t="s">
        <v>719</v>
      </c>
      <c r="L122" s="11">
        <v>256674</v>
      </c>
      <c r="M122" s="11"/>
      <c r="N122" s="11">
        <v>0</v>
      </c>
      <c r="O122" s="11">
        <v>0</v>
      </c>
      <c r="P122" s="11">
        <v>53901.54</v>
      </c>
      <c r="Q122" s="11">
        <v>329826.09000000003</v>
      </c>
      <c r="R122">
        <f>VLOOKUP(E122,'IVA COMPRAS'!K:P,6,FALSE)</f>
        <v>329826.09000000003</v>
      </c>
    </row>
    <row r="123" spans="1:18" hidden="1" x14ac:dyDescent="0.25">
      <c r="A123" s="7" t="s">
        <v>755</v>
      </c>
      <c r="B123" s="7" t="s">
        <v>717</v>
      </c>
      <c r="C123" s="9">
        <v>1001</v>
      </c>
      <c r="D123" s="9">
        <v>237258</v>
      </c>
      <c r="E123" s="7" t="str">
        <f t="shared" si="1"/>
        <v>305866115221001237258</v>
      </c>
      <c r="F123" s="9">
        <v>74242157487645</v>
      </c>
      <c r="G123" s="7" t="s">
        <v>718</v>
      </c>
      <c r="H123" s="9">
        <v>30586611522</v>
      </c>
      <c r="I123" s="7" t="s">
        <v>127</v>
      </c>
      <c r="J123" s="9">
        <v>1</v>
      </c>
      <c r="K123" s="7" t="s">
        <v>719</v>
      </c>
      <c r="L123" s="11">
        <v>2606280.81</v>
      </c>
      <c r="M123" s="11"/>
      <c r="N123" s="11">
        <v>0</v>
      </c>
      <c r="O123" s="11">
        <v>0</v>
      </c>
      <c r="P123" s="11">
        <v>547318.97</v>
      </c>
      <c r="Q123" s="11">
        <v>3349070.83</v>
      </c>
      <c r="R123">
        <f>VLOOKUP(E123,'IVA COMPRAS'!K:P,6,FALSE)</f>
        <v>3349070.83</v>
      </c>
    </row>
    <row r="124" spans="1:18" hidden="1" x14ac:dyDescent="0.25">
      <c r="A124" s="7" t="s">
        <v>779</v>
      </c>
      <c r="B124" s="7" t="s">
        <v>717</v>
      </c>
      <c r="C124" s="9">
        <v>1001</v>
      </c>
      <c r="D124" s="9">
        <v>237847</v>
      </c>
      <c r="E124" s="7" t="str">
        <f t="shared" si="1"/>
        <v>305866115221001237847</v>
      </c>
      <c r="F124" s="9">
        <v>74262607823760</v>
      </c>
      <c r="G124" s="7" t="s">
        <v>718</v>
      </c>
      <c r="H124" s="9">
        <v>30586611522</v>
      </c>
      <c r="I124" s="7" t="s">
        <v>127</v>
      </c>
      <c r="J124" s="9">
        <v>1</v>
      </c>
      <c r="K124" s="7" t="s">
        <v>719</v>
      </c>
      <c r="L124" s="11">
        <v>1730980</v>
      </c>
      <c r="M124" s="11"/>
      <c r="N124" s="11">
        <v>0</v>
      </c>
      <c r="O124" s="11">
        <v>0</v>
      </c>
      <c r="P124" s="11">
        <v>363505.8</v>
      </c>
      <c r="Q124" s="11">
        <v>2224309.2999999998</v>
      </c>
      <c r="R124">
        <f>VLOOKUP(E124,'IVA COMPRAS'!K:P,6,FALSE)</f>
        <v>2224309.2999999998</v>
      </c>
    </row>
    <row r="125" spans="1:18" hidden="1" x14ac:dyDescent="0.25">
      <c r="A125" s="7" t="s">
        <v>779</v>
      </c>
      <c r="B125" s="7" t="s">
        <v>717</v>
      </c>
      <c r="C125" s="9">
        <v>1001</v>
      </c>
      <c r="D125" s="9">
        <v>237848</v>
      </c>
      <c r="E125" s="7" t="str">
        <f t="shared" si="1"/>
        <v>305866115221001237848</v>
      </c>
      <c r="F125" s="9">
        <v>74262607824449</v>
      </c>
      <c r="G125" s="7" t="s">
        <v>718</v>
      </c>
      <c r="H125" s="9">
        <v>30586611522</v>
      </c>
      <c r="I125" s="7" t="s">
        <v>127</v>
      </c>
      <c r="J125" s="9">
        <v>1</v>
      </c>
      <c r="K125" s="7" t="s">
        <v>719</v>
      </c>
      <c r="L125" s="11">
        <v>647618.38</v>
      </c>
      <c r="M125" s="11"/>
      <c r="N125" s="11">
        <v>0</v>
      </c>
      <c r="O125" s="11">
        <v>0</v>
      </c>
      <c r="P125" s="11">
        <v>135999.85999999999</v>
      </c>
      <c r="Q125" s="11">
        <v>832189.64</v>
      </c>
      <c r="R125">
        <f>VLOOKUP(E125,'IVA COMPRAS'!K:P,6,FALSE)</f>
        <v>832189.64</v>
      </c>
    </row>
    <row r="126" spans="1:18" hidden="1" x14ac:dyDescent="0.25">
      <c r="A126" s="7" t="s">
        <v>731</v>
      </c>
      <c r="B126" s="7" t="s">
        <v>717</v>
      </c>
      <c r="C126" s="9">
        <v>3</v>
      </c>
      <c r="D126" s="9">
        <v>5280</v>
      </c>
      <c r="E126" s="7" t="str">
        <f t="shared" si="1"/>
        <v>3371419199935280</v>
      </c>
      <c r="F126" s="9">
        <v>74239346093816</v>
      </c>
      <c r="G126" s="7" t="s">
        <v>718</v>
      </c>
      <c r="H126" s="9">
        <v>33714191999</v>
      </c>
      <c r="I126" s="7" t="s">
        <v>734</v>
      </c>
      <c r="J126" s="9">
        <v>1</v>
      </c>
      <c r="K126" s="7" t="s">
        <v>719</v>
      </c>
      <c r="L126" s="11">
        <v>535880</v>
      </c>
      <c r="M126" s="11">
        <v>0</v>
      </c>
      <c r="N126" s="11">
        <v>0</v>
      </c>
      <c r="O126" s="11">
        <v>0</v>
      </c>
      <c r="P126" s="11">
        <v>112534.8</v>
      </c>
      <c r="Q126" s="11">
        <v>648414.80000000005</v>
      </c>
      <c r="R126">
        <f>VLOOKUP(E126,'IVA COMPRAS'!K:P,6,FALSE)</f>
        <v>648414.80000000005</v>
      </c>
    </row>
    <row r="127" spans="1:18" hidden="1" x14ac:dyDescent="0.25">
      <c r="A127" s="7" t="s">
        <v>779</v>
      </c>
      <c r="B127" s="7" t="s">
        <v>717</v>
      </c>
      <c r="C127" s="9">
        <v>3</v>
      </c>
      <c r="D127" s="9">
        <v>5311</v>
      </c>
      <c r="E127" s="7" t="str">
        <f t="shared" si="1"/>
        <v>3371419199935311</v>
      </c>
      <c r="F127" s="9">
        <v>74269603052968</v>
      </c>
      <c r="G127" s="7" t="s">
        <v>718</v>
      </c>
      <c r="H127" s="9">
        <v>33714191999</v>
      </c>
      <c r="I127" s="7" t="s">
        <v>734</v>
      </c>
      <c r="J127" s="9">
        <v>1</v>
      </c>
      <c r="K127" s="7" t="s">
        <v>719</v>
      </c>
      <c r="L127" s="11">
        <v>669850</v>
      </c>
      <c r="M127" s="11">
        <v>0</v>
      </c>
      <c r="N127" s="11">
        <v>0</v>
      </c>
      <c r="O127" s="11">
        <v>0</v>
      </c>
      <c r="P127" s="11">
        <v>140668.5</v>
      </c>
      <c r="Q127" s="11">
        <v>810518.5</v>
      </c>
      <c r="R127">
        <f>VLOOKUP(E127,'IVA COMPRAS'!K:P,6,FALSE)</f>
        <v>810518.5</v>
      </c>
    </row>
    <row r="128" spans="1:18" hidden="1" x14ac:dyDescent="0.25">
      <c r="A128" s="7" t="s">
        <v>738</v>
      </c>
      <c r="B128" s="7" t="s">
        <v>722</v>
      </c>
      <c r="C128" s="9">
        <v>5</v>
      </c>
      <c r="D128" s="9">
        <v>254</v>
      </c>
      <c r="E128" s="7" t="str">
        <f t="shared" si="1"/>
        <v>307095717175254</v>
      </c>
      <c r="F128" s="9">
        <v>74237482820553</v>
      </c>
      <c r="G128" s="7" t="s">
        <v>718</v>
      </c>
      <c r="H128" s="9">
        <v>30709571717</v>
      </c>
      <c r="I128" s="7" t="s">
        <v>745</v>
      </c>
      <c r="J128" s="9">
        <v>1</v>
      </c>
      <c r="K128" s="7" t="s">
        <v>719</v>
      </c>
      <c r="L128" s="11">
        <v>99605.34</v>
      </c>
      <c r="M128" s="11">
        <v>0</v>
      </c>
      <c r="N128" s="11">
        <v>0</v>
      </c>
      <c r="O128" s="11">
        <v>0</v>
      </c>
      <c r="P128" s="11">
        <v>20917.12</v>
      </c>
      <c r="Q128" s="11">
        <v>120522.46</v>
      </c>
      <c r="R128">
        <f>VLOOKUP(E128,'IVA COMPRAS'!K:P,6,FALSE)</f>
        <v>-120522.46</v>
      </c>
    </row>
    <row r="129" spans="1:18" hidden="1" x14ac:dyDescent="0.25">
      <c r="A129" s="7" t="s">
        <v>763</v>
      </c>
      <c r="B129" s="7" t="s">
        <v>722</v>
      </c>
      <c r="C129" s="9">
        <v>5</v>
      </c>
      <c r="D129" s="9">
        <v>262</v>
      </c>
      <c r="E129" s="7" t="str">
        <f t="shared" si="1"/>
        <v>307095717175262</v>
      </c>
      <c r="F129" s="9">
        <v>74247445640797</v>
      </c>
      <c r="G129" s="7" t="s">
        <v>718</v>
      </c>
      <c r="H129" s="9">
        <v>30709571717</v>
      </c>
      <c r="I129" s="7" t="s">
        <v>745</v>
      </c>
      <c r="J129" s="9">
        <v>1</v>
      </c>
      <c r="K129" s="7" t="s">
        <v>719</v>
      </c>
      <c r="L129" s="11">
        <v>108234.67</v>
      </c>
      <c r="M129" s="11">
        <v>0</v>
      </c>
      <c r="N129" s="11">
        <v>0</v>
      </c>
      <c r="O129" s="11">
        <v>0</v>
      </c>
      <c r="P129" s="11">
        <v>22729.279999999999</v>
      </c>
      <c r="Q129" s="11">
        <v>130963.95</v>
      </c>
      <c r="R129">
        <f>VLOOKUP(E129,'IVA COMPRAS'!K:P,6,FALSE)</f>
        <v>-130963.95</v>
      </c>
    </row>
    <row r="130" spans="1:18" hidden="1" x14ac:dyDescent="0.25">
      <c r="A130" s="7" t="s">
        <v>772</v>
      </c>
      <c r="B130" s="7" t="s">
        <v>717</v>
      </c>
      <c r="C130" s="9">
        <v>3</v>
      </c>
      <c r="D130" s="9">
        <v>105651</v>
      </c>
      <c r="E130" s="7" t="str">
        <f t="shared" ref="E130:E193" si="2">CONCATENATE(H130,C130,D130)</f>
        <v>307102144723105651</v>
      </c>
      <c r="F130" s="9">
        <v>74252090923522</v>
      </c>
      <c r="G130" s="7" t="s">
        <v>718</v>
      </c>
      <c r="H130" s="9">
        <v>30710214472</v>
      </c>
      <c r="I130" s="7" t="s">
        <v>493</v>
      </c>
      <c r="J130" s="9">
        <v>1</v>
      </c>
      <c r="K130" s="7" t="s">
        <v>719</v>
      </c>
      <c r="L130" s="11">
        <v>6066</v>
      </c>
      <c r="M130" s="11">
        <v>0</v>
      </c>
      <c r="N130" s="11">
        <v>0</v>
      </c>
      <c r="O130" s="11">
        <v>0</v>
      </c>
      <c r="P130" s="11">
        <v>1273.8599999999999</v>
      </c>
      <c r="Q130" s="11">
        <v>7461.18</v>
      </c>
      <c r="R130">
        <f>VLOOKUP(E130,'IVA COMPRAS'!K:P,6,FALSE)</f>
        <v>7461.18</v>
      </c>
    </row>
    <row r="131" spans="1:18" x14ac:dyDescent="0.25">
      <c r="A131" s="7" t="s">
        <v>755</v>
      </c>
      <c r="B131" s="7" t="s">
        <v>717</v>
      </c>
      <c r="C131" s="9">
        <v>20</v>
      </c>
      <c r="D131" s="9">
        <v>2523</v>
      </c>
      <c r="E131" s="7" t="str">
        <f t="shared" si="2"/>
        <v>30709348767202523</v>
      </c>
      <c r="F131" s="9">
        <v>74247187311706</v>
      </c>
      <c r="G131" s="7" t="s">
        <v>718</v>
      </c>
      <c r="H131" s="9">
        <v>30709348767</v>
      </c>
      <c r="I131" s="7" t="s">
        <v>757</v>
      </c>
      <c r="J131" s="9">
        <v>1</v>
      </c>
      <c r="K131" s="7" t="s">
        <v>719</v>
      </c>
      <c r="L131" s="11">
        <v>1166.24</v>
      </c>
      <c r="M131" s="11">
        <v>0</v>
      </c>
      <c r="N131" s="11">
        <v>0</v>
      </c>
      <c r="O131" s="11">
        <v>0</v>
      </c>
      <c r="P131" s="11">
        <v>244.91</v>
      </c>
      <c r="Q131" s="11">
        <v>1411.13</v>
      </c>
      <c r="R131" t="e">
        <f>VLOOKUP(E131,'IVA COMPRAS'!K:P,6,FALSE)</f>
        <v>#N/A</v>
      </c>
    </row>
    <row r="132" spans="1:18" hidden="1" x14ac:dyDescent="0.25">
      <c r="A132" s="7" t="s">
        <v>752</v>
      </c>
      <c r="B132" s="7" t="s">
        <v>717</v>
      </c>
      <c r="C132" s="9">
        <v>14</v>
      </c>
      <c r="D132" s="9">
        <v>66484</v>
      </c>
      <c r="E132" s="7" t="str">
        <f t="shared" si="2"/>
        <v>306026087901466484</v>
      </c>
      <c r="F132" s="9">
        <v>74240034976758</v>
      </c>
      <c r="G132" s="7" t="s">
        <v>718</v>
      </c>
      <c r="H132" s="9">
        <v>30602608790</v>
      </c>
      <c r="I132" s="7" t="s">
        <v>754</v>
      </c>
      <c r="J132" s="9">
        <v>1</v>
      </c>
      <c r="K132" s="7" t="s">
        <v>719</v>
      </c>
      <c r="L132" s="11">
        <v>971173.29</v>
      </c>
      <c r="M132" s="11">
        <v>0</v>
      </c>
      <c r="N132" s="11">
        <v>0</v>
      </c>
      <c r="O132" s="11">
        <v>0</v>
      </c>
      <c r="P132" s="11">
        <v>203946.39</v>
      </c>
      <c r="Q132" s="11">
        <v>1223678.3500000001</v>
      </c>
      <c r="R132">
        <f>VLOOKUP(E132,'IVA COMPRAS'!K:P,6,FALSE)</f>
        <v>1223678.3500000001</v>
      </c>
    </row>
    <row r="133" spans="1:18" hidden="1" x14ac:dyDescent="0.25">
      <c r="A133" s="7" t="s">
        <v>738</v>
      </c>
      <c r="B133" s="7" t="s">
        <v>717</v>
      </c>
      <c r="C133" s="9">
        <v>161</v>
      </c>
      <c r="D133" s="9">
        <v>199335</v>
      </c>
      <c r="E133" s="7" t="str">
        <f t="shared" si="2"/>
        <v>30566108352161199335</v>
      </c>
      <c r="F133" s="9">
        <v>34222777769860</v>
      </c>
      <c r="G133" s="7" t="s">
        <v>718</v>
      </c>
      <c r="H133" s="9">
        <v>30566108352</v>
      </c>
      <c r="I133" s="7" t="s">
        <v>30</v>
      </c>
      <c r="J133" s="9">
        <v>1</v>
      </c>
      <c r="K133" s="7" t="s">
        <v>719</v>
      </c>
      <c r="L133" s="11">
        <v>2735910.24</v>
      </c>
      <c r="M133" s="11">
        <v>0</v>
      </c>
      <c r="N133" s="11">
        <v>0</v>
      </c>
      <c r="O133" s="11">
        <v>0</v>
      </c>
      <c r="P133" s="11">
        <v>574541.15</v>
      </c>
      <c r="Q133" s="11">
        <v>3433567.38</v>
      </c>
      <c r="R133">
        <f>VLOOKUP(E133,'IVA COMPRAS'!K:P,6,FALSE)</f>
        <v>3433567.38</v>
      </c>
    </row>
    <row r="134" spans="1:18" hidden="1" x14ac:dyDescent="0.25">
      <c r="A134" s="7" t="s">
        <v>751</v>
      </c>
      <c r="B134" s="7" t="s">
        <v>717</v>
      </c>
      <c r="C134" s="9">
        <v>161</v>
      </c>
      <c r="D134" s="9">
        <v>199622</v>
      </c>
      <c r="E134" s="7" t="str">
        <f t="shared" si="2"/>
        <v>30566108352161199622</v>
      </c>
      <c r="F134" s="9">
        <v>34222777769860</v>
      </c>
      <c r="G134" s="7" t="s">
        <v>718</v>
      </c>
      <c r="H134" s="9">
        <v>30566108352</v>
      </c>
      <c r="I134" s="7" t="s">
        <v>30</v>
      </c>
      <c r="J134" s="9">
        <v>1</v>
      </c>
      <c r="K134" s="7" t="s">
        <v>719</v>
      </c>
      <c r="L134" s="11">
        <v>4451736.71</v>
      </c>
      <c r="M134" s="11">
        <v>0</v>
      </c>
      <c r="N134" s="11">
        <v>0</v>
      </c>
      <c r="O134" s="11">
        <v>0</v>
      </c>
      <c r="P134" s="11">
        <v>934864.71</v>
      </c>
      <c r="Q134" s="11">
        <v>5586929.5599999996</v>
      </c>
      <c r="R134">
        <f>VLOOKUP(E134,'IVA COMPRAS'!K:P,6,FALSE)</f>
        <v>5586929.5599999996</v>
      </c>
    </row>
    <row r="135" spans="1:18" hidden="1" x14ac:dyDescent="0.25">
      <c r="A135" s="7" t="s">
        <v>763</v>
      </c>
      <c r="B135" s="7" t="s">
        <v>717</v>
      </c>
      <c r="C135" s="9">
        <v>161</v>
      </c>
      <c r="D135" s="9">
        <v>199929</v>
      </c>
      <c r="E135" s="7" t="str">
        <f t="shared" si="2"/>
        <v>30566108352161199929</v>
      </c>
      <c r="F135" s="9">
        <v>34222777769860</v>
      </c>
      <c r="G135" s="7" t="s">
        <v>718</v>
      </c>
      <c r="H135" s="9">
        <v>30566108352</v>
      </c>
      <c r="I135" s="7" t="s">
        <v>30</v>
      </c>
      <c r="J135" s="9">
        <v>1</v>
      </c>
      <c r="K135" s="7" t="s">
        <v>719</v>
      </c>
      <c r="L135" s="11">
        <v>3179812.33</v>
      </c>
      <c r="M135" s="11">
        <v>0</v>
      </c>
      <c r="N135" s="11">
        <v>0</v>
      </c>
      <c r="O135" s="11">
        <v>0</v>
      </c>
      <c r="P135" s="11">
        <v>667760.59</v>
      </c>
      <c r="Q135" s="11">
        <v>3990664.5</v>
      </c>
      <c r="R135">
        <f>VLOOKUP(E135,'IVA COMPRAS'!K:P,6,FALSE)</f>
        <v>3990664.5</v>
      </c>
    </row>
    <row r="136" spans="1:18" hidden="1" x14ac:dyDescent="0.25">
      <c r="A136" s="7" t="s">
        <v>771</v>
      </c>
      <c r="B136" s="7" t="s">
        <v>722</v>
      </c>
      <c r="C136" s="9">
        <v>161</v>
      </c>
      <c r="D136" s="9">
        <v>51397</v>
      </c>
      <c r="E136" s="7" t="str">
        <f t="shared" si="2"/>
        <v>3056610835216151397</v>
      </c>
      <c r="F136" s="9">
        <v>34242677134418</v>
      </c>
      <c r="G136" s="7" t="s">
        <v>718</v>
      </c>
      <c r="H136" s="9">
        <v>30566108352</v>
      </c>
      <c r="I136" s="7" t="s">
        <v>30</v>
      </c>
      <c r="J136" s="9">
        <v>1</v>
      </c>
      <c r="K136" s="7" t="s">
        <v>719</v>
      </c>
      <c r="L136" s="11">
        <v>9758.1</v>
      </c>
      <c r="M136" s="11">
        <v>0</v>
      </c>
      <c r="N136" s="11">
        <v>0</v>
      </c>
      <c r="O136" s="11">
        <v>0</v>
      </c>
      <c r="P136" s="11">
        <v>2049.1999999999998</v>
      </c>
      <c r="Q136" s="11">
        <v>11807.28</v>
      </c>
      <c r="R136">
        <f>VLOOKUP(E136,'IVA COMPRAS'!K:P,6,FALSE)</f>
        <v>-11807.28</v>
      </c>
    </row>
    <row r="137" spans="1:18" hidden="1" x14ac:dyDescent="0.25">
      <c r="A137" s="7" t="s">
        <v>772</v>
      </c>
      <c r="B137" s="7" t="s">
        <v>717</v>
      </c>
      <c r="C137" s="9">
        <v>161</v>
      </c>
      <c r="D137" s="9">
        <v>200438</v>
      </c>
      <c r="E137" s="7" t="str">
        <f t="shared" si="2"/>
        <v>30566108352161200438</v>
      </c>
      <c r="F137" s="9">
        <v>34242677134418</v>
      </c>
      <c r="G137" s="7" t="s">
        <v>718</v>
      </c>
      <c r="H137" s="9">
        <v>30566108352</v>
      </c>
      <c r="I137" s="7" t="s">
        <v>30</v>
      </c>
      <c r="J137" s="9">
        <v>1</v>
      </c>
      <c r="K137" s="7" t="s">
        <v>719</v>
      </c>
      <c r="L137" s="11">
        <v>7631549.3799999999</v>
      </c>
      <c r="M137" s="11">
        <v>0</v>
      </c>
      <c r="N137" s="11">
        <v>0</v>
      </c>
      <c r="O137" s="11">
        <v>0</v>
      </c>
      <c r="P137" s="11">
        <v>1602625.37</v>
      </c>
      <c r="Q137" s="11">
        <v>9577594.4600000009</v>
      </c>
      <c r="R137">
        <f>VLOOKUP(E137,'IVA COMPRAS'!K:P,6,FALSE)</f>
        <v>9577594.4600000009</v>
      </c>
    </row>
    <row r="138" spans="1:18" hidden="1" x14ac:dyDescent="0.25">
      <c r="A138" s="7" t="s">
        <v>778</v>
      </c>
      <c r="B138" s="7" t="s">
        <v>717</v>
      </c>
      <c r="C138" s="9">
        <v>161</v>
      </c>
      <c r="D138" s="9">
        <v>200770</v>
      </c>
      <c r="E138" s="7" t="str">
        <f t="shared" si="2"/>
        <v>30566108352161200770</v>
      </c>
      <c r="F138" s="9">
        <v>34242677134418</v>
      </c>
      <c r="G138" s="7" t="s">
        <v>718</v>
      </c>
      <c r="H138" s="9">
        <v>30566108352</v>
      </c>
      <c r="I138" s="7" t="s">
        <v>30</v>
      </c>
      <c r="J138" s="9">
        <v>1</v>
      </c>
      <c r="K138" s="7" t="s">
        <v>719</v>
      </c>
      <c r="L138" s="11">
        <v>4763357.62</v>
      </c>
      <c r="M138" s="11">
        <v>0</v>
      </c>
      <c r="N138" s="11">
        <v>0</v>
      </c>
      <c r="O138" s="11">
        <v>0</v>
      </c>
      <c r="P138" s="11">
        <v>1000305.1</v>
      </c>
      <c r="Q138" s="11">
        <v>5978013.7999999998</v>
      </c>
      <c r="R138">
        <f>VLOOKUP(E138,'IVA COMPRAS'!K:P,6,FALSE)</f>
        <v>5978013.7999999998</v>
      </c>
    </row>
    <row r="139" spans="1:18" hidden="1" x14ac:dyDescent="0.25">
      <c r="A139" s="7" t="s">
        <v>783</v>
      </c>
      <c r="B139" s="7" t="s">
        <v>717</v>
      </c>
      <c r="C139" s="9">
        <v>161</v>
      </c>
      <c r="D139" s="9">
        <v>201030</v>
      </c>
      <c r="E139" s="7" t="str">
        <f t="shared" si="2"/>
        <v>30566108352161201030</v>
      </c>
      <c r="F139" s="9">
        <v>34242677134418</v>
      </c>
      <c r="G139" s="7" t="s">
        <v>718</v>
      </c>
      <c r="H139" s="9">
        <v>30566108352</v>
      </c>
      <c r="I139" s="7" t="s">
        <v>30</v>
      </c>
      <c r="J139" s="9">
        <v>1</v>
      </c>
      <c r="K139" s="7" t="s">
        <v>719</v>
      </c>
      <c r="L139" s="11">
        <v>4082880.24</v>
      </c>
      <c r="M139" s="11">
        <v>0</v>
      </c>
      <c r="N139" s="11">
        <v>0</v>
      </c>
      <c r="O139" s="11">
        <v>0</v>
      </c>
      <c r="P139" s="11">
        <v>857404.85</v>
      </c>
      <c r="Q139" s="11">
        <v>5124014.7300000004</v>
      </c>
      <c r="R139">
        <f>VLOOKUP(E139,'IVA COMPRAS'!K:P,6,FALSE)</f>
        <v>5124014.7300000004</v>
      </c>
    </row>
    <row r="140" spans="1:18" hidden="1" x14ac:dyDescent="0.25">
      <c r="A140" s="7" t="s">
        <v>786</v>
      </c>
      <c r="B140" s="7" t="s">
        <v>717</v>
      </c>
      <c r="C140" s="9">
        <v>135</v>
      </c>
      <c r="D140" s="9">
        <v>26322</v>
      </c>
      <c r="E140" s="7" t="str">
        <f t="shared" si="2"/>
        <v>3056610835213526322</v>
      </c>
      <c r="F140" s="9">
        <v>34242677134418</v>
      </c>
      <c r="G140" s="7" t="s">
        <v>718</v>
      </c>
      <c r="H140" s="9">
        <v>30566108352</v>
      </c>
      <c r="I140" s="7" t="s">
        <v>30</v>
      </c>
      <c r="J140" s="9">
        <v>1</v>
      </c>
      <c r="K140" s="7" t="s">
        <v>719</v>
      </c>
      <c r="L140" s="11">
        <v>17783416.670000002</v>
      </c>
      <c r="M140" s="11">
        <v>0</v>
      </c>
      <c r="N140" s="11">
        <v>0</v>
      </c>
      <c r="O140" s="11">
        <v>0</v>
      </c>
      <c r="P140" s="11">
        <v>3734517.5</v>
      </c>
      <c r="Q140" s="11">
        <v>22318187.940000001</v>
      </c>
      <c r="R140">
        <f>VLOOKUP(E140,'IVA COMPRAS'!K:P,6,FALSE)</f>
        <v>22318187.940000001</v>
      </c>
    </row>
    <row r="141" spans="1:18" x14ac:dyDescent="0.25">
      <c r="A141" s="7" t="s">
        <v>755</v>
      </c>
      <c r="B141" s="7" t="s">
        <v>717</v>
      </c>
      <c r="C141" s="9">
        <v>1</v>
      </c>
      <c r="D141" s="9">
        <v>5875</v>
      </c>
      <c r="E141" s="7" t="str">
        <f t="shared" si="2"/>
        <v>2018411111015875</v>
      </c>
      <c r="F141" s="9">
        <v>74240134168145</v>
      </c>
      <c r="G141" s="7" t="s">
        <v>718</v>
      </c>
      <c r="H141" s="9">
        <v>20184111110</v>
      </c>
      <c r="I141" s="7" t="s">
        <v>429</v>
      </c>
      <c r="J141" s="9">
        <v>1</v>
      </c>
      <c r="K141" s="7" t="s">
        <v>719</v>
      </c>
      <c r="L141" s="11">
        <v>33057.86</v>
      </c>
      <c r="M141" s="11">
        <v>0</v>
      </c>
      <c r="N141" s="11">
        <v>0</v>
      </c>
      <c r="O141" s="11">
        <v>0</v>
      </c>
      <c r="P141" s="11">
        <v>6942.15</v>
      </c>
      <c r="Q141" s="11">
        <v>40000.01</v>
      </c>
      <c r="R141" t="e">
        <f>VLOOKUP(E141,'IVA COMPRAS'!K:P,6,FALSE)</f>
        <v>#N/A</v>
      </c>
    </row>
    <row r="142" spans="1:18" x14ac:dyDescent="0.25">
      <c r="A142" s="7" t="s">
        <v>755</v>
      </c>
      <c r="B142" s="7" t="s">
        <v>717</v>
      </c>
      <c r="C142" s="9">
        <v>1</v>
      </c>
      <c r="D142" s="9">
        <v>5876</v>
      </c>
      <c r="E142" s="7" t="str">
        <f t="shared" si="2"/>
        <v>2018411111015876</v>
      </c>
      <c r="F142" s="9">
        <v>74240134493865</v>
      </c>
      <c r="G142" s="7" t="s">
        <v>718</v>
      </c>
      <c r="H142" s="9">
        <v>20184111110</v>
      </c>
      <c r="I142" s="7" t="s">
        <v>429</v>
      </c>
      <c r="J142" s="9">
        <v>1</v>
      </c>
      <c r="K142" s="7" t="s">
        <v>719</v>
      </c>
      <c r="L142" s="11">
        <v>66115.710000000006</v>
      </c>
      <c r="M142" s="11">
        <v>0</v>
      </c>
      <c r="N142" s="11">
        <v>0</v>
      </c>
      <c r="O142" s="11">
        <v>0</v>
      </c>
      <c r="P142" s="11">
        <v>13884.3</v>
      </c>
      <c r="Q142" s="11">
        <v>80000.02</v>
      </c>
      <c r="R142" t="e">
        <f>VLOOKUP(E142,'IVA COMPRAS'!K:P,6,FALSE)</f>
        <v>#N/A</v>
      </c>
    </row>
    <row r="143" spans="1:18" hidden="1" x14ac:dyDescent="0.25">
      <c r="A143" s="7" t="s">
        <v>772</v>
      </c>
      <c r="B143" s="7" t="s">
        <v>717</v>
      </c>
      <c r="C143" s="9">
        <v>1</v>
      </c>
      <c r="D143" s="9">
        <v>5883</v>
      </c>
      <c r="E143" s="7" t="str">
        <f t="shared" si="2"/>
        <v>2018411111015883</v>
      </c>
      <c r="F143" s="9">
        <v>74250023942922</v>
      </c>
      <c r="G143" s="7" t="s">
        <v>718</v>
      </c>
      <c r="H143" s="9">
        <v>20184111110</v>
      </c>
      <c r="I143" s="7" t="s">
        <v>429</v>
      </c>
      <c r="J143" s="9">
        <v>1</v>
      </c>
      <c r="K143" s="7" t="s">
        <v>719</v>
      </c>
      <c r="L143" s="11">
        <v>24793.38</v>
      </c>
      <c r="M143" s="11">
        <v>0</v>
      </c>
      <c r="N143" s="11">
        <v>0</v>
      </c>
      <c r="O143" s="11">
        <v>0</v>
      </c>
      <c r="P143" s="11">
        <v>5206.6099999999997</v>
      </c>
      <c r="Q143" s="11">
        <v>30000.01</v>
      </c>
      <c r="R143">
        <f>VLOOKUP(E143,'IVA COMPRAS'!K:P,6,FALSE)</f>
        <v>30000.01</v>
      </c>
    </row>
    <row r="144" spans="1:18" hidden="1" x14ac:dyDescent="0.25">
      <c r="A144" s="7" t="s">
        <v>763</v>
      </c>
      <c r="B144" s="7" t="s">
        <v>717</v>
      </c>
      <c r="C144" s="9">
        <v>4</v>
      </c>
      <c r="D144" s="9">
        <v>21439</v>
      </c>
      <c r="E144" s="7" t="str">
        <f t="shared" si="2"/>
        <v>30707225609421439</v>
      </c>
      <c r="F144" s="9">
        <v>74249425361100</v>
      </c>
      <c r="G144" s="7" t="s">
        <v>718</v>
      </c>
      <c r="H144" s="9">
        <v>30707225609</v>
      </c>
      <c r="I144" s="7" t="s">
        <v>332</v>
      </c>
      <c r="J144" s="9">
        <v>1</v>
      </c>
      <c r="K144" s="7" t="s">
        <v>719</v>
      </c>
      <c r="L144" s="11">
        <v>702000</v>
      </c>
      <c r="M144" s="11">
        <v>0</v>
      </c>
      <c r="N144" s="11">
        <v>0</v>
      </c>
      <c r="O144" s="11">
        <v>0</v>
      </c>
      <c r="P144" s="11">
        <v>147420</v>
      </c>
      <c r="Q144" s="11">
        <v>884520</v>
      </c>
      <c r="R144">
        <f>VLOOKUP(E144,'IVA COMPRAS'!K:P,6,FALSE)</f>
        <v>884520</v>
      </c>
    </row>
    <row r="145" spans="1:18" hidden="1" x14ac:dyDescent="0.25">
      <c r="A145" s="7" t="s">
        <v>749</v>
      </c>
      <c r="B145" s="7" t="s">
        <v>717</v>
      </c>
      <c r="C145" s="9">
        <v>2</v>
      </c>
      <c r="D145" s="9">
        <v>38</v>
      </c>
      <c r="E145" s="7" t="str">
        <f t="shared" si="2"/>
        <v>20200362951238</v>
      </c>
      <c r="F145" s="9">
        <v>74231782997866</v>
      </c>
      <c r="G145" s="7" t="s">
        <v>718</v>
      </c>
      <c r="H145" s="9">
        <v>20200362951</v>
      </c>
      <c r="I145" s="7" t="s">
        <v>210</v>
      </c>
      <c r="J145" s="9">
        <v>1</v>
      </c>
      <c r="K145" s="7" t="s">
        <v>719</v>
      </c>
      <c r="L145" s="11">
        <v>250000</v>
      </c>
      <c r="M145" s="11">
        <v>0</v>
      </c>
      <c r="N145" s="11">
        <v>0</v>
      </c>
      <c r="O145" s="11">
        <v>0</v>
      </c>
      <c r="P145" s="11">
        <v>52500</v>
      </c>
      <c r="Q145" s="11">
        <v>302500</v>
      </c>
      <c r="R145">
        <f>VLOOKUP(E145,'IVA COMPRAS'!K:P,6,FALSE)</f>
        <v>302500</v>
      </c>
    </row>
    <row r="146" spans="1:18" hidden="1" x14ac:dyDescent="0.25">
      <c r="A146" s="7" t="s">
        <v>783</v>
      </c>
      <c r="B146" s="7" t="s">
        <v>785</v>
      </c>
      <c r="C146" s="9">
        <v>5</v>
      </c>
      <c r="D146" s="9">
        <v>39</v>
      </c>
      <c r="E146" s="7" t="str">
        <f t="shared" si="2"/>
        <v>20173190817539</v>
      </c>
      <c r="F146" s="9">
        <v>74267877859959</v>
      </c>
      <c r="G146" s="7" t="s">
        <v>718</v>
      </c>
      <c r="H146" s="9">
        <v>20173190817</v>
      </c>
      <c r="I146" s="7" t="s">
        <v>538</v>
      </c>
      <c r="J146" s="9">
        <v>1</v>
      </c>
      <c r="K146" s="7" t="s">
        <v>719</v>
      </c>
      <c r="L146" s="11">
        <v>81000</v>
      </c>
      <c r="M146" s="11">
        <v>0</v>
      </c>
      <c r="N146" s="11">
        <v>0</v>
      </c>
      <c r="O146" s="11">
        <v>0</v>
      </c>
      <c r="P146" s="11">
        <v>17010</v>
      </c>
      <c r="Q146" s="11">
        <v>98010</v>
      </c>
      <c r="R146">
        <f>VLOOKUP(E146,'IVA COMPRAS'!K:P,6,FALSE)</f>
        <v>98010</v>
      </c>
    </row>
    <row r="147" spans="1:18" hidden="1" x14ac:dyDescent="0.25">
      <c r="A147" s="7" t="s">
        <v>759</v>
      </c>
      <c r="B147" s="7" t="s">
        <v>717</v>
      </c>
      <c r="C147" s="9">
        <v>4</v>
      </c>
      <c r="D147" s="9">
        <v>29569</v>
      </c>
      <c r="E147" s="7" t="str">
        <f t="shared" si="2"/>
        <v>30645830446429569</v>
      </c>
      <c r="F147" s="9">
        <v>74246309376206</v>
      </c>
      <c r="G147" s="7" t="s">
        <v>718</v>
      </c>
      <c r="H147" s="9">
        <v>30645830446</v>
      </c>
      <c r="I147" s="7" t="s">
        <v>761</v>
      </c>
      <c r="J147" s="9">
        <v>1</v>
      </c>
      <c r="K147" s="7" t="s">
        <v>719</v>
      </c>
      <c r="L147" s="11">
        <v>1918662</v>
      </c>
      <c r="M147" s="11">
        <v>0</v>
      </c>
      <c r="N147" s="11">
        <v>0</v>
      </c>
      <c r="O147" s="11">
        <v>0</v>
      </c>
      <c r="P147" s="11">
        <v>402919.02</v>
      </c>
      <c r="Q147" s="11">
        <v>2407920.81</v>
      </c>
      <c r="R147">
        <f>VLOOKUP(E147,'IVA COMPRAS'!K:P,6,FALSE)</f>
        <v>2407920.81</v>
      </c>
    </row>
    <row r="148" spans="1:18" hidden="1" x14ac:dyDescent="0.25">
      <c r="A148" s="7" t="s">
        <v>771</v>
      </c>
      <c r="B148" s="7" t="s">
        <v>717</v>
      </c>
      <c r="C148" s="9">
        <v>4</v>
      </c>
      <c r="D148" s="9">
        <v>29646</v>
      </c>
      <c r="E148" s="7" t="str">
        <f t="shared" si="2"/>
        <v>30645830446429646</v>
      </c>
      <c r="F148" s="9">
        <v>74256889741761</v>
      </c>
      <c r="G148" s="7" t="s">
        <v>718</v>
      </c>
      <c r="H148" s="9">
        <v>30645830446</v>
      </c>
      <c r="I148" s="7" t="s">
        <v>761</v>
      </c>
      <c r="J148" s="9">
        <v>1</v>
      </c>
      <c r="K148" s="7" t="s">
        <v>719</v>
      </c>
      <c r="L148" s="11">
        <v>6784414.5</v>
      </c>
      <c r="M148" s="11">
        <v>0</v>
      </c>
      <c r="N148" s="11">
        <v>0</v>
      </c>
      <c r="O148" s="11">
        <v>0</v>
      </c>
      <c r="P148" s="11">
        <v>1424727.05</v>
      </c>
      <c r="Q148" s="11">
        <v>8514440.1999999993</v>
      </c>
      <c r="R148">
        <f>VLOOKUP(E148,'IVA COMPRAS'!K:P,6,FALSE)</f>
        <v>8514440.1999999993</v>
      </c>
    </row>
    <row r="149" spans="1:18" hidden="1" x14ac:dyDescent="0.25">
      <c r="A149" s="7" t="s">
        <v>772</v>
      </c>
      <c r="B149" s="7" t="s">
        <v>722</v>
      </c>
      <c r="C149" s="9">
        <v>4</v>
      </c>
      <c r="D149" s="9">
        <v>2005</v>
      </c>
      <c r="E149" s="7" t="str">
        <f t="shared" si="2"/>
        <v>3064583044642005</v>
      </c>
      <c r="F149" s="9">
        <v>74256057533893</v>
      </c>
      <c r="G149" s="7" t="s">
        <v>718</v>
      </c>
      <c r="H149" s="9">
        <v>30645830446</v>
      </c>
      <c r="I149" s="7" t="s">
        <v>761</v>
      </c>
      <c r="J149" s="9">
        <v>1</v>
      </c>
      <c r="K149" s="7" t="s">
        <v>719</v>
      </c>
      <c r="L149" s="11">
        <v>1849732.72</v>
      </c>
      <c r="M149" s="11">
        <v>0</v>
      </c>
      <c r="N149" s="11">
        <v>0</v>
      </c>
      <c r="O149" s="11">
        <v>0</v>
      </c>
      <c r="P149" s="11">
        <v>388443.87</v>
      </c>
      <c r="Q149" s="11">
        <v>2238176.59</v>
      </c>
      <c r="R149">
        <f>VLOOKUP(E149,'IVA COMPRAS'!K:P,6,FALSE)</f>
        <v>-2238176.59</v>
      </c>
    </row>
    <row r="150" spans="1:18" x14ac:dyDescent="0.25">
      <c r="A150" s="7" t="s">
        <v>731</v>
      </c>
      <c r="B150" s="7" t="s">
        <v>717</v>
      </c>
      <c r="C150" s="9">
        <v>629</v>
      </c>
      <c r="D150" s="9">
        <v>5178650</v>
      </c>
      <c r="E150" s="7" t="str">
        <f t="shared" si="2"/>
        <v>306634985136295178650</v>
      </c>
      <c r="F150" s="9">
        <v>34223614444398</v>
      </c>
      <c r="G150" s="7" t="s">
        <v>718</v>
      </c>
      <c r="H150" s="9">
        <v>30663498513</v>
      </c>
      <c r="I150" s="7" t="s">
        <v>732</v>
      </c>
      <c r="J150" s="9">
        <v>1</v>
      </c>
      <c r="K150" s="7" t="s">
        <v>719</v>
      </c>
      <c r="L150" s="11">
        <v>6115.72</v>
      </c>
      <c r="M150" s="11">
        <v>0</v>
      </c>
      <c r="N150" s="11">
        <v>0</v>
      </c>
      <c r="O150" s="11">
        <v>0</v>
      </c>
      <c r="P150" s="11">
        <v>1284.28</v>
      </c>
      <c r="Q150" s="11">
        <v>7675.2</v>
      </c>
      <c r="R150" t="e">
        <f>VLOOKUP(E150,'IVA COMPRAS'!K:P,6,FALSE)</f>
        <v>#N/A</v>
      </c>
    </row>
    <row r="151" spans="1:18" x14ac:dyDescent="0.25">
      <c r="A151" s="7" t="s">
        <v>731</v>
      </c>
      <c r="B151" s="7" t="s">
        <v>717</v>
      </c>
      <c r="C151" s="9">
        <v>629</v>
      </c>
      <c r="D151" s="9">
        <v>5179224</v>
      </c>
      <c r="E151" s="7" t="str">
        <f t="shared" si="2"/>
        <v>306634985136295179224</v>
      </c>
      <c r="F151" s="9">
        <v>34223614444398</v>
      </c>
      <c r="G151" s="7" t="s">
        <v>718</v>
      </c>
      <c r="H151" s="9">
        <v>30663498513</v>
      </c>
      <c r="I151" s="7" t="s">
        <v>732</v>
      </c>
      <c r="J151" s="9">
        <v>1</v>
      </c>
      <c r="K151" s="7" t="s">
        <v>719</v>
      </c>
      <c r="L151" s="11">
        <v>1652.9</v>
      </c>
      <c r="M151" s="11">
        <v>0</v>
      </c>
      <c r="N151" s="11">
        <v>0</v>
      </c>
      <c r="O151" s="11">
        <v>0</v>
      </c>
      <c r="P151" s="11">
        <v>347.1</v>
      </c>
      <c r="Q151" s="11">
        <v>2041.32</v>
      </c>
      <c r="R151" t="e">
        <f>VLOOKUP(E151,'IVA COMPRAS'!K:P,6,FALSE)</f>
        <v>#N/A</v>
      </c>
    </row>
    <row r="152" spans="1:18" x14ac:dyDescent="0.25">
      <c r="A152" s="7" t="s">
        <v>770</v>
      </c>
      <c r="B152" s="7" t="s">
        <v>717</v>
      </c>
      <c r="C152" s="9">
        <v>629</v>
      </c>
      <c r="D152" s="9">
        <v>5218160</v>
      </c>
      <c r="E152" s="7" t="str">
        <f t="shared" si="2"/>
        <v>306634985136295218160</v>
      </c>
      <c r="F152" s="9">
        <v>34243978527941</v>
      </c>
      <c r="G152" s="7" t="s">
        <v>718</v>
      </c>
      <c r="H152" s="9">
        <v>30663498513</v>
      </c>
      <c r="I152" s="7" t="s">
        <v>732</v>
      </c>
      <c r="J152" s="9">
        <v>1</v>
      </c>
      <c r="K152" s="7" t="s">
        <v>719</v>
      </c>
      <c r="L152" s="11">
        <v>6281.02</v>
      </c>
      <c r="M152" s="11">
        <v>0</v>
      </c>
      <c r="N152" s="11">
        <v>0</v>
      </c>
      <c r="O152" s="11">
        <v>0</v>
      </c>
      <c r="P152" s="11">
        <v>1318.98</v>
      </c>
      <c r="Q152" s="11">
        <v>7882.65</v>
      </c>
      <c r="R152" t="e">
        <f>VLOOKUP(E152,'IVA COMPRAS'!K:P,6,FALSE)</f>
        <v>#N/A</v>
      </c>
    </row>
    <row r="153" spans="1:18" hidden="1" x14ac:dyDescent="0.25">
      <c r="A153" s="7" t="s">
        <v>726</v>
      </c>
      <c r="B153" s="7" t="s">
        <v>717</v>
      </c>
      <c r="C153" s="9">
        <v>1001</v>
      </c>
      <c r="D153" s="9">
        <v>2789</v>
      </c>
      <c r="E153" s="7" t="str">
        <f t="shared" si="2"/>
        <v>3050343016510012789</v>
      </c>
      <c r="F153" s="9">
        <v>74235164654564</v>
      </c>
      <c r="G153" s="7" t="s">
        <v>718</v>
      </c>
      <c r="H153" s="9">
        <v>30503430165</v>
      </c>
      <c r="I153" s="7" t="s">
        <v>727</v>
      </c>
      <c r="J153" s="9">
        <v>1</v>
      </c>
      <c r="K153" s="7" t="s">
        <v>719</v>
      </c>
      <c r="L153" s="11">
        <v>875328</v>
      </c>
      <c r="M153" s="11">
        <v>0</v>
      </c>
      <c r="N153" s="11">
        <v>0</v>
      </c>
      <c r="O153" s="11">
        <v>0</v>
      </c>
      <c r="P153" s="11">
        <v>183818.88</v>
      </c>
      <c r="Q153" s="11">
        <v>1059146.8799999999</v>
      </c>
      <c r="R153">
        <f>VLOOKUP(E153,'IVA COMPRAS'!K:P,6,FALSE)</f>
        <v>1059146.8799999999</v>
      </c>
    </row>
    <row r="154" spans="1:18" hidden="1" x14ac:dyDescent="0.25">
      <c r="A154" s="7" t="s">
        <v>772</v>
      </c>
      <c r="B154" s="7" t="s">
        <v>717</v>
      </c>
      <c r="C154" s="9">
        <v>1001</v>
      </c>
      <c r="D154" s="9">
        <v>2805</v>
      </c>
      <c r="E154" s="7" t="str">
        <f t="shared" si="2"/>
        <v>3050343016510012805</v>
      </c>
      <c r="F154" s="9">
        <v>74255921443367</v>
      </c>
      <c r="G154" s="7" t="s">
        <v>718</v>
      </c>
      <c r="H154" s="9">
        <v>30503430165</v>
      </c>
      <c r="I154" s="7" t="s">
        <v>727</v>
      </c>
      <c r="J154" s="9">
        <v>1</v>
      </c>
      <c r="K154" s="7" t="s">
        <v>719</v>
      </c>
      <c r="L154" s="11">
        <v>1185750</v>
      </c>
      <c r="M154" s="11">
        <v>0</v>
      </c>
      <c r="N154" s="11">
        <v>0</v>
      </c>
      <c r="O154" s="11">
        <v>0</v>
      </c>
      <c r="P154" s="11">
        <v>249007.5</v>
      </c>
      <c r="Q154" s="11">
        <v>1434757.5</v>
      </c>
      <c r="R154">
        <f>VLOOKUP(E154,'IVA COMPRAS'!K:P,6,FALSE)</f>
        <v>1434757.5</v>
      </c>
    </row>
    <row r="155" spans="1:18" hidden="1" x14ac:dyDescent="0.25">
      <c r="A155" s="7" t="s">
        <v>726</v>
      </c>
      <c r="B155" s="7" t="s">
        <v>717</v>
      </c>
      <c r="C155" s="9">
        <v>4</v>
      </c>
      <c r="D155" s="9">
        <v>4408</v>
      </c>
      <c r="E155" s="7" t="str">
        <f t="shared" si="2"/>
        <v>3068363198844408</v>
      </c>
      <c r="F155" s="9">
        <v>74238199334676</v>
      </c>
      <c r="G155" s="7" t="s">
        <v>718</v>
      </c>
      <c r="H155" s="9">
        <v>30683631988</v>
      </c>
      <c r="I155" s="7" t="s">
        <v>74</v>
      </c>
      <c r="J155" s="9">
        <v>1</v>
      </c>
      <c r="K155" s="7" t="s">
        <v>719</v>
      </c>
      <c r="L155" s="11">
        <v>80500</v>
      </c>
      <c r="M155" s="11">
        <v>0</v>
      </c>
      <c r="N155" s="11">
        <v>0</v>
      </c>
      <c r="O155" s="11">
        <v>0</v>
      </c>
      <c r="P155" s="11">
        <v>16905</v>
      </c>
      <c r="Q155" s="11">
        <v>97405</v>
      </c>
      <c r="R155">
        <f>VLOOKUP(E155,'IVA COMPRAS'!K:P,6,FALSE)</f>
        <v>97405</v>
      </c>
    </row>
    <row r="156" spans="1:18" hidden="1" x14ac:dyDescent="0.25">
      <c r="A156" s="7" t="s">
        <v>765</v>
      </c>
      <c r="B156" s="7" t="s">
        <v>717</v>
      </c>
      <c r="C156" s="9">
        <v>101</v>
      </c>
      <c r="D156" s="9">
        <v>44411</v>
      </c>
      <c r="E156" s="7" t="str">
        <f t="shared" si="2"/>
        <v>3052225035610144411</v>
      </c>
      <c r="F156" s="9">
        <v>34226140750597</v>
      </c>
      <c r="G156" s="7" t="s">
        <v>718</v>
      </c>
      <c r="H156" s="9">
        <v>30522250356</v>
      </c>
      <c r="I156" s="7" t="s">
        <v>380</v>
      </c>
      <c r="J156" s="9">
        <v>1</v>
      </c>
      <c r="K156" s="7" t="s">
        <v>719</v>
      </c>
      <c r="L156" s="11">
        <v>123446.86</v>
      </c>
      <c r="M156" s="11">
        <v>0</v>
      </c>
      <c r="N156" s="11">
        <v>0</v>
      </c>
      <c r="O156" s="11">
        <v>0</v>
      </c>
      <c r="P156" s="11">
        <v>25923.84</v>
      </c>
      <c r="Q156" s="11">
        <v>151839.64000000001</v>
      </c>
      <c r="R156">
        <f>VLOOKUP(E156,'IVA COMPRAS'!K:P,6,FALSE)</f>
        <v>151839.64000000001</v>
      </c>
    </row>
    <row r="157" spans="1:18" hidden="1" x14ac:dyDescent="0.25">
      <c r="A157" s="7" t="s">
        <v>726</v>
      </c>
      <c r="B157" s="7" t="s">
        <v>717</v>
      </c>
      <c r="C157" s="9">
        <v>10</v>
      </c>
      <c r="D157" s="9">
        <v>5781</v>
      </c>
      <c r="E157" s="7" t="str">
        <f t="shared" si="2"/>
        <v>30708784687105781</v>
      </c>
      <c r="F157" s="9">
        <v>74237163704210</v>
      </c>
      <c r="G157" s="7" t="s">
        <v>718</v>
      </c>
      <c r="H157" s="9">
        <v>30708784687</v>
      </c>
      <c r="I157" s="7" t="s">
        <v>728</v>
      </c>
      <c r="J157" s="9">
        <v>1</v>
      </c>
      <c r="K157" s="7" t="s">
        <v>719</v>
      </c>
      <c r="L157" s="11">
        <v>5362</v>
      </c>
      <c r="M157" s="11">
        <v>0</v>
      </c>
      <c r="N157" s="11">
        <v>0</v>
      </c>
      <c r="O157" s="11">
        <v>0</v>
      </c>
      <c r="P157" s="11">
        <v>1126.02</v>
      </c>
      <c r="Q157" s="11">
        <v>6488.02</v>
      </c>
      <c r="R157">
        <f>VLOOKUP(E157,'IVA COMPRAS'!K:P,6,FALSE)</f>
        <v>6488.02</v>
      </c>
    </row>
    <row r="158" spans="1:18" hidden="1" x14ac:dyDescent="0.25">
      <c r="A158" s="7" t="s">
        <v>765</v>
      </c>
      <c r="B158" s="7" t="s">
        <v>717</v>
      </c>
      <c r="C158" s="9">
        <v>10</v>
      </c>
      <c r="D158" s="9">
        <v>5798</v>
      </c>
      <c r="E158" s="7" t="str">
        <f t="shared" si="2"/>
        <v>30708784687105798</v>
      </c>
      <c r="F158" s="9">
        <v>74247554386899</v>
      </c>
      <c r="G158" s="7" t="s">
        <v>718</v>
      </c>
      <c r="H158" s="9">
        <v>30708784687</v>
      </c>
      <c r="I158" s="7" t="s">
        <v>728</v>
      </c>
      <c r="J158" s="9">
        <v>1</v>
      </c>
      <c r="K158" s="7" t="s">
        <v>719</v>
      </c>
      <c r="L158" s="11">
        <v>336610</v>
      </c>
      <c r="M158" s="11">
        <v>0</v>
      </c>
      <c r="N158" s="11">
        <v>0</v>
      </c>
      <c r="O158" s="11">
        <v>0</v>
      </c>
      <c r="P158" s="11">
        <v>70688.100000000006</v>
      </c>
      <c r="Q158" s="11">
        <v>407298.1</v>
      </c>
      <c r="R158">
        <f>VLOOKUP(E158,'IVA COMPRAS'!K:P,6,FALSE)</f>
        <v>407298.1</v>
      </c>
    </row>
    <row r="159" spans="1:18" hidden="1" x14ac:dyDescent="0.25">
      <c r="A159" s="7" t="s">
        <v>731</v>
      </c>
      <c r="B159" s="7" t="s">
        <v>722</v>
      </c>
      <c r="C159" s="9">
        <v>43</v>
      </c>
      <c r="D159" s="9">
        <v>4393</v>
      </c>
      <c r="E159" s="7" t="str">
        <f t="shared" si="2"/>
        <v>30567020734434393</v>
      </c>
      <c r="F159" s="9">
        <v>74234315719340</v>
      </c>
      <c r="G159" s="7" t="s">
        <v>718</v>
      </c>
      <c r="H159" s="9">
        <v>30567020734</v>
      </c>
      <c r="I159" s="7" t="s">
        <v>737</v>
      </c>
      <c r="J159" s="9">
        <v>1</v>
      </c>
      <c r="K159" s="7" t="s">
        <v>719</v>
      </c>
      <c r="L159" s="11">
        <v>124935.86</v>
      </c>
      <c r="M159" s="11">
        <v>0</v>
      </c>
      <c r="N159" s="11">
        <v>0</v>
      </c>
      <c r="O159" s="11">
        <v>0</v>
      </c>
      <c r="P159" s="11">
        <v>26236.53</v>
      </c>
      <c r="Q159" s="11">
        <v>151172.37</v>
      </c>
      <c r="R159">
        <f>VLOOKUP(E159,'IVA COMPRAS'!K:P,6,FALSE)</f>
        <v>-151172.37</v>
      </c>
    </row>
    <row r="160" spans="1:18" hidden="1" x14ac:dyDescent="0.25">
      <c r="A160" s="7" t="s">
        <v>751</v>
      </c>
      <c r="B160" s="7" t="s">
        <v>717</v>
      </c>
      <c r="C160" s="9">
        <v>15895</v>
      </c>
      <c r="D160" s="9">
        <v>814</v>
      </c>
      <c r="E160" s="7" t="str">
        <f t="shared" si="2"/>
        <v>3068731043415895814</v>
      </c>
      <c r="F160" s="9">
        <v>74234865194711</v>
      </c>
      <c r="G160" s="7" t="s">
        <v>718</v>
      </c>
      <c r="H160" s="9">
        <v>30687310434</v>
      </c>
      <c r="I160" s="7" t="s">
        <v>241</v>
      </c>
      <c r="J160" s="9">
        <v>1</v>
      </c>
      <c r="K160" s="7" t="s">
        <v>719</v>
      </c>
      <c r="L160" s="11">
        <v>166326.74</v>
      </c>
      <c r="M160" s="11">
        <v>365.47</v>
      </c>
      <c r="N160" s="11">
        <v>0</v>
      </c>
      <c r="O160" s="11">
        <v>0</v>
      </c>
      <c r="P160" s="11">
        <v>33692.089999999997</v>
      </c>
      <c r="Q160" s="11">
        <v>212698.61</v>
      </c>
      <c r="R160">
        <f>VLOOKUP(E160,'IVA COMPRAS'!K:P,6,FALSE)</f>
        <v>212698.61</v>
      </c>
    </row>
    <row r="161" spans="1:18" hidden="1" x14ac:dyDescent="0.25">
      <c r="A161" s="7" t="s">
        <v>769</v>
      </c>
      <c r="B161" s="7" t="s">
        <v>717</v>
      </c>
      <c r="C161" s="9">
        <v>15885</v>
      </c>
      <c r="D161" s="9">
        <v>1431</v>
      </c>
      <c r="E161" s="7" t="str">
        <f t="shared" si="2"/>
        <v>30687310434158851431</v>
      </c>
      <c r="F161" s="9">
        <v>74244743899479</v>
      </c>
      <c r="G161" s="7" t="s">
        <v>718</v>
      </c>
      <c r="H161" s="9">
        <v>30687310434</v>
      </c>
      <c r="I161" s="7" t="s">
        <v>241</v>
      </c>
      <c r="J161" s="9">
        <v>1</v>
      </c>
      <c r="K161" s="7" t="s">
        <v>719</v>
      </c>
      <c r="L161" s="11">
        <v>24654.3</v>
      </c>
      <c r="M161" s="11">
        <v>0</v>
      </c>
      <c r="N161" s="11">
        <v>0</v>
      </c>
      <c r="O161" s="11">
        <v>0</v>
      </c>
      <c r="P161" s="11">
        <v>5177.3999999999996</v>
      </c>
      <c r="Q161" s="11">
        <v>31680.78</v>
      </c>
      <c r="R161" t="s">
        <v>791</v>
      </c>
    </row>
    <row r="162" spans="1:18" hidden="1" x14ac:dyDescent="0.25">
      <c r="A162" s="7" t="s">
        <v>747</v>
      </c>
      <c r="B162" s="7" t="s">
        <v>717</v>
      </c>
      <c r="C162" s="9">
        <v>12</v>
      </c>
      <c r="D162" s="9">
        <v>80291</v>
      </c>
      <c r="E162" s="7" t="str">
        <f t="shared" si="2"/>
        <v>306976466271280291</v>
      </c>
      <c r="F162" s="9">
        <v>74237587171664</v>
      </c>
      <c r="G162" s="7" t="s">
        <v>718</v>
      </c>
      <c r="H162" s="9">
        <v>30697646627</v>
      </c>
      <c r="I162" s="7" t="s">
        <v>224</v>
      </c>
      <c r="J162" s="9">
        <v>1</v>
      </c>
      <c r="K162" s="7" t="s">
        <v>719</v>
      </c>
      <c r="L162" s="11">
        <v>2226301.4300000002</v>
      </c>
      <c r="M162" s="11"/>
      <c r="N162" s="11">
        <v>0</v>
      </c>
      <c r="O162" s="11">
        <v>0</v>
      </c>
      <c r="P162" s="11">
        <v>467523.3</v>
      </c>
      <c r="Q162" s="11">
        <v>2760613.78</v>
      </c>
      <c r="R162">
        <f>VLOOKUP(E162,'IVA COMPRAS'!K:P,6,FALSE)</f>
        <v>2760613.78</v>
      </c>
    </row>
    <row r="163" spans="1:18" hidden="1" x14ac:dyDescent="0.25">
      <c r="A163" s="7" t="s">
        <v>755</v>
      </c>
      <c r="B163" s="7" t="s">
        <v>722</v>
      </c>
      <c r="C163" s="9">
        <v>12</v>
      </c>
      <c r="D163" s="9">
        <v>13512</v>
      </c>
      <c r="E163" s="7" t="str">
        <f t="shared" si="2"/>
        <v>306976466271213512</v>
      </c>
      <c r="F163" s="9">
        <v>74247186506065</v>
      </c>
      <c r="G163" s="7" t="s">
        <v>718</v>
      </c>
      <c r="H163" s="9">
        <v>30697646627</v>
      </c>
      <c r="I163" s="7" t="s">
        <v>224</v>
      </c>
      <c r="J163" s="9">
        <v>1</v>
      </c>
      <c r="K163" s="7" t="s">
        <v>719</v>
      </c>
      <c r="L163" s="11">
        <v>496273.9</v>
      </c>
      <c r="M163" s="11"/>
      <c r="N163" s="11">
        <v>0</v>
      </c>
      <c r="O163" s="11">
        <v>0</v>
      </c>
      <c r="P163" s="11">
        <v>104217.52</v>
      </c>
      <c r="Q163" s="11">
        <v>615379.66</v>
      </c>
      <c r="R163">
        <f>VLOOKUP(E163,'IVA COMPRAS'!K:P,6,FALSE)</f>
        <v>-615379.66</v>
      </c>
    </row>
    <row r="164" spans="1:18" hidden="1" x14ac:dyDescent="0.25">
      <c r="A164" s="7" t="s">
        <v>778</v>
      </c>
      <c r="B164" s="7" t="s">
        <v>717</v>
      </c>
      <c r="C164" s="9">
        <v>12</v>
      </c>
      <c r="D164" s="9">
        <v>80432</v>
      </c>
      <c r="E164" s="7" t="str">
        <f t="shared" si="2"/>
        <v>306976466271280432</v>
      </c>
      <c r="F164" s="9">
        <v>74267464722169</v>
      </c>
      <c r="G164" s="7" t="s">
        <v>718</v>
      </c>
      <c r="H164" s="9">
        <v>30697646627</v>
      </c>
      <c r="I164" s="7" t="s">
        <v>224</v>
      </c>
      <c r="J164" s="9">
        <v>1</v>
      </c>
      <c r="K164" s="7" t="s">
        <v>719</v>
      </c>
      <c r="L164" s="11">
        <v>1498296.71</v>
      </c>
      <c r="M164" s="11"/>
      <c r="N164" s="11">
        <v>0</v>
      </c>
      <c r="O164" s="11">
        <v>0</v>
      </c>
      <c r="P164" s="11">
        <v>314642.31</v>
      </c>
      <c r="Q164" s="11">
        <v>1857887.92</v>
      </c>
      <c r="R164">
        <f>VLOOKUP(E164,'IVA COMPRAS'!K:P,6,FALSE)</f>
        <v>1857887.92</v>
      </c>
    </row>
    <row r="165" spans="1:18" x14ac:dyDescent="0.25">
      <c r="A165" s="7" t="s">
        <v>759</v>
      </c>
      <c r="B165" s="7" t="s">
        <v>717</v>
      </c>
      <c r="C165" s="9">
        <v>3</v>
      </c>
      <c r="D165" s="9">
        <v>3359</v>
      </c>
      <c r="E165" s="7" t="str">
        <f t="shared" si="2"/>
        <v>3371226387933359</v>
      </c>
      <c r="F165" s="9">
        <v>74249321235210</v>
      </c>
      <c r="G165" s="7" t="s">
        <v>718</v>
      </c>
      <c r="H165" s="9">
        <v>33712263879</v>
      </c>
      <c r="I165" s="7" t="s">
        <v>760</v>
      </c>
      <c r="J165" s="9">
        <v>1</v>
      </c>
      <c r="K165" s="7" t="s">
        <v>719</v>
      </c>
      <c r="L165" s="11">
        <v>49136.2</v>
      </c>
      <c r="M165" s="11">
        <v>0</v>
      </c>
      <c r="N165" s="11">
        <v>0</v>
      </c>
      <c r="O165" s="11">
        <v>0</v>
      </c>
      <c r="P165" s="11">
        <v>10318.6</v>
      </c>
      <c r="Q165" s="11">
        <v>59454.8</v>
      </c>
      <c r="R165" t="e">
        <f>VLOOKUP(E165,'IVA COMPRAS'!K:P,6,FALSE)</f>
        <v>#N/A</v>
      </c>
    </row>
    <row r="166" spans="1:18" hidden="1" x14ac:dyDescent="0.25">
      <c r="A166" s="7" t="s">
        <v>771</v>
      </c>
      <c r="B166" s="7" t="s">
        <v>717</v>
      </c>
      <c r="C166" s="9">
        <v>60</v>
      </c>
      <c r="D166" s="9">
        <v>312278</v>
      </c>
      <c r="E166" s="7" t="str">
        <f t="shared" si="2"/>
        <v>3370725983960312278</v>
      </c>
      <c r="F166" s="9">
        <v>34249058322059</v>
      </c>
      <c r="G166" s="7" t="s">
        <v>718</v>
      </c>
      <c r="H166" s="9">
        <v>33707259839</v>
      </c>
      <c r="I166" s="7" t="s">
        <v>412</v>
      </c>
      <c r="J166" s="9">
        <v>1</v>
      </c>
      <c r="K166" s="7" t="s">
        <v>719</v>
      </c>
      <c r="L166" s="11">
        <v>463625.62</v>
      </c>
      <c r="M166" s="11">
        <v>0</v>
      </c>
      <c r="N166" s="11">
        <v>0</v>
      </c>
      <c r="O166" s="11">
        <v>9272.51</v>
      </c>
      <c r="P166" s="11">
        <v>97361.38</v>
      </c>
      <c r="Q166" s="11">
        <v>584168.28</v>
      </c>
      <c r="R166">
        <f>VLOOKUP(E166,'IVA COMPRAS'!K:P,6,FALSE)</f>
        <v>584168.28</v>
      </c>
    </row>
    <row r="167" spans="1:18" hidden="1" x14ac:dyDescent="0.25">
      <c r="A167" s="7" t="s">
        <v>738</v>
      </c>
      <c r="B167" s="7" t="s">
        <v>717</v>
      </c>
      <c r="C167" s="9">
        <v>63</v>
      </c>
      <c r="D167" s="9">
        <v>66147</v>
      </c>
      <c r="E167" s="7" t="str">
        <f t="shared" si="2"/>
        <v>305038616386366147</v>
      </c>
      <c r="F167" s="9">
        <v>34228408922524</v>
      </c>
      <c r="G167" s="7" t="s">
        <v>718</v>
      </c>
      <c r="H167" s="9">
        <v>30503861638</v>
      </c>
      <c r="I167" s="7" t="s">
        <v>149</v>
      </c>
      <c r="J167" s="9">
        <v>1</v>
      </c>
      <c r="K167" s="7" t="s">
        <v>719</v>
      </c>
      <c r="L167" s="11">
        <v>419685.48</v>
      </c>
      <c r="M167" s="11"/>
      <c r="N167" s="11"/>
      <c r="O167" s="11">
        <v>0</v>
      </c>
      <c r="P167" s="11">
        <v>88133.95</v>
      </c>
      <c r="Q167" s="11">
        <v>528803.68000000005</v>
      </c>
      <c r="R167">
        <f>VLOOKUP(E167,'IVA COMPRAS'!K:P,6,FALSE)</f>
        <v>528803.68000000005</v>
      </c>
    </row>
    <row r="168" spans="1:18" hidden="1" x14ac:dyDescent="0.25">
      <c r="A168" s="7" t="s">
        <v>749</v>
      </c>
      <c r="B168" s="7" t="s">
        <v>722</v>
      </c>
      <c r="C168" s="9">
        <v>63</v>
      </c>
      <c r="D168" s="9">
        <v>22060</v>
      </c>
      <c r="E168" s="7" t="str">
        <f t="shared" si="2"/>
        <v>305038616386322060</v>
      </c>
      <c r="F168" s="9">
        <v>34228408922524</v>
      </c>
      <c r="G168" s="7" t="s">
        <v>718</v>
      </c>
      <c r="H168" s="9">
        <v>30503861638</v>
      </c>
      <c r="I168" s="7" t="s">
        <v>149</v>
      </c>
      <c r="J168" s="9">
        <v>1</v>
      </c>
      <c r="K168" s="7" t="s">
        <v>719</v>
      </c>
      <c r="L168" s="11">
        <v>29840.57</v>
      </c>
      <c r="M168" s="11"/>
      <c r="N168" s="11"/>
      <c r="O168" s="11">
        <v>0</v>
      </c>
      <c r="P168" s="11">
        <v>6266.52</v>
      </c>
      <c r="Q168" s="11">
        <v>37599.089999999997</v>
      </c>
      <c r="R168">
        <f>VLOOKUP(E168,'IVA COMPRAS'!K:P,6,FALSE)</f>
        <v>-37599.1</v>
      </c>
    </row>
    <row r="169" spans="1:18" hidden="1" x14ac:dyDescent="0.25">
      <c r="A169" s="7" t="s">
        <v>779</v>
      </c>
      <c r="B169" s="7" t="s">
        <v>717</v>
      </c>
      <c r="C169" s="9">
        <v>63</v>
      </c>
      <c r="D169" s="9">
        <v>66353</v>
      </c>
      <c r="E169" s="7" t="str">
        <f t="shared" si="2"/>
        <v>305038616386366353</v>
      </c>
      <c r="F169" s="9">
        <v>34248888877317</v>
      </c>
      <c r="G169" s="7" t="s">
        <v>718</v>
      </c>
      <c r="H169" s="9">
        <v>30503861638</v>
      </c>
      <c r="I169" s="7" t="s">
        <v>149</v>
      </c>
      <c r="J169" s="9">
        <v>1</v>
      </c>
      <c r="K169" s="7" t="s">
        <v>719</v>
      </c>
      <c r="L169" s="11">
        <v>394154.76</v>
      </c>
      <c r="M169" s="11"/>
      <c r="N169" s="11"/>
      <c r="O169" s="11">
        <v>0</v>
      </c>
      <c r="P169" s="11">
        <v>82772.5</v>
      </c>
      <c r="Q169" s="11">
        <v>496635.01</v>
      </c>
      <c r="R169">
        <f>VLOOKUP(E169,'IVA COMPRAS'!K:P,6,FALSE)</f>
        <v>496635.02</v>
      </c>
    </row>
    <row r="170" spans="1:18" hidden="1" x14ac:dyDescent="0.25">
      <c r="A170" s="7" t="s">
        <v>738</v>
      </c>
      <c r="B170" s="7" t="s">
        <v>722</v>
      </c>
      <c r="C170" s="9">
        <v>1</v>
      </c>
      <c r="D170" s="9">
        <v>388</v>
      </c>
      <c r="E170" s="7" t="str">
        <f t="shared" si="2"/>
        <v>307164230301388</v>
      </c>
      <c r="F170" s="9">
        <v>74230489538753</v>
      </c>
      <c r="G170" s="7" t="s">
        <v>718</v>
      </c>
      <c r="H170" s="9">
        <v>30716423030</v>
      </c>
      <c r="I170" s="7" t="s">
        <v>744</v>
      </c>
      <c r="J170" s="9">
        <v>1</v>
      </c>
      <c r="K170" s="7" t="s">
        <v>719</v>
      </c>
      <c r="L170" s="11">
        <v>162994</v>
      </c>
      <c r="M170" s="11">
        <v>0</v>
      </c>
      <c r="N170" s="11">
        <v>0</v>
      </c>
      <c r="O170" s="11">
        <v>0</v>
      </c>
      <c r="P170" s="11">
        <v>34228.74</v>
      </c>
      <c r="Q170" s="11">
        <v>197222.74</v>
      </c>
      <c r="R170">
        <f>VLOOKUP(E170,'IVA COMPRAS'!K:P,6,FALSE)</f>
        <v>-197222.74</v>
      </c>
    </row>
    <row r="171" spans="1:18" hidden="1" x14ac:dyDescent="0.25">
      <c r="A171" s="7" t="s">
        <v>786</v>
      </c>
      <c r="B171" s="7" t="s">
        <v>722</v>
      </c>
      <c r="C171" s="9">
        <v>1</v>
      </c>
      <c r="D171" s="9">
        <v>399</v>
      </c>
      <c r="E171" s="7" t="str">
        <f t="shared" si="2"/>
        <v>307164230301399</v>
      </c>
      <c r="F171" s="9">
        <v>74260006289813</v>
      </c>
      <c r="G171" s="7" t="s">
        <v>718</v>
      </c>
      <c r="H171" s="9">
        <v>30716423030</v>
      </c>
      <c r="I171" s="7" t="s">
        <v>744</v>
      </c>
      <c r="J171" s="9">
        <v>1</v>
      </c>
      <c r="K171" s="7" t="s">
        <v>719</v>
      </c>
      <c r="L171" s="11">
        <v>20374</v>
      </c>
      <c r="M171" s="11">
        <v>0</v>
      </c>
      <c r="N171" s="11">
        <v>0</v>
      </c>
      <c r="O171" s="11">
        <v>0</v>
      </c>
      <c r="P171" s="11">
        <v>4278.54</v>
      </c>
      <c r="Q171" s="11">
        <v>24652.54</v>
      </c>
      <c r="R171">
        <f>VLOOKUP(E171,'IVA COMPRAS'!K:P,6,FALSE)</f>
        <v>-24652.54</v>
      </c>
    </row>
    <row r="172" spans="1:18" hidden="1" x14ac:dyDescent="0.25">
      <c r="A172" s="7" t="s">
        <v>747</v>
      </c>
      <c r="B172" s="7" t="s">
        <v>717</v>
      </c>
      <c r="C172" s="9">
        <v>2</v>
      </c>
      <c r="D172" s="9">
        <v>21532</v>
      </c>
      <c r="E172" s="7" t="str">
        <f t="shared" si="2"/>
        <v>30714786667221532</v>
      </c>
      <c r="F172" s="9">
        <v>74237367027152</v>
      </c>
      <c r="G172" s="7" t="s">
        <v>718</v>
      </c>
      <c r="H172" s="9">
        <v>30714786667</v>
      </c>
      <c r="I172" s="7" t="s">
        <v>186</v>
      </c>
      <c r="J172" s="9">
        <v>1</v>
      </c>
      <c r="K172" s="7" t="s">
        <v>719</v>
      </c>
      <c r="L172" s="11">
        <v>2883150</v>
      </c>
      <c r="M172" s="11">
        <v>0</v>
      </c>
      <c r="N172" s="11">
        <v>0</v>
      </c>
      <c r="O172" s="11">
        <v>0</v>
      </c>
      <c r="P172" s="11">
        <v>605461.5</v>
      </c>
      <c r="Q172" s="11">
        <v>3546274.5</v>
      </c>
      <c r="R172">
        <f>VLOOKUP(E172,'IVA COMPRAS'!K:P,6,FALSE)</f>
        <v>3546274.5</v>
      </c>
    </row>
    <row r="173" spans="1:18" hidden="1" x14ac:dyDescent="0.25">
      <c r="A173" s="7" t="s">
        <v>749</v>
      </c>
      <c r="B173" s="7" t="s">
        <v>717</v>
      </c>
      <c r="C173" s="9">
        <v>2</v>
      </c>
      <c r="D173" s="9">
        <v>21598</v>
      </c>
      <c r="E173" s="7" t="str">
        <f t="shared" si="2"/>
        <v>30714786667221598</v>
      </c>
      <c r="F173" s="9">
        <v>74237613356913</v>
      </c>
      <c r="G173" s="7" t="s">
        <v>718</v>
      </c>
      <c r="H173" s="9">
        <v>30714786667</v>
      </c>
      <c r="I173" s="7" t="s">
        <v>186</v>
      </c>
      <c r="J173" s="9">
        <v>1</v>
      </c>
      <c r="K173" s="7" t="s">
        <v>719</v>
      </c>
      <c r="L173" s="11">
        <v>3581622</v>
      </c>
      <c r="M173" s="11">
        <v>0</v>
      </c>
      <c r="N173" s="11">
        <v>0</v>
      </c>
      <c r="O173" s="11">
        <v>0</v>
      </c>
      <c r="P173" s="11">
        <v>752140.62</v>
      </c>
      <c r="Q173" s="11">
        <v>4405395.0599999996</v>
      </c>
      <c r="R173">
        <f>VLOOKUP(E173,'IVA COMPRAS'!K:P,6,FALSE)</f>
        <v>4405395.0599999996</v>
      </c>
    </row>
    <row r="174" spans="1:18" hidden="1" x14ac:dyDescent="0.25">
      <c r="A174" s="7" t="s">
        <v>759</v>
      </c>
      <c r="B174" s="7" t="s">
        <v>717</v>
      </c>
      <c r="C174" s="9">
        <v>2</v>
      </c>
      <c r="D174" s="9">
        <v>21775</v>
      </c>
      <c r="E174" s="7" t="str">
        <f t="shared" si="2"/>
        <v>30714786667221775</v>
      </c>
      <c r="F174" s="9">
        <v>74247194339498</v>
      </c>
      <c r="G174" s="7" t="s">
        <v>718</v>
      </c>
      <c r="H174" s="9">
        <v>30714786667</v>
      </c>
      <c r="I174" s="7" t="s">
        <v>186</v>
      </c>
      <c r="J174" s="9">
        <v>1</v>
      </c>
      <c r="K174" s="7" t="s">
        <v>719</v>
      </c>
      <c r="L174" s="11">
        <v>8649450</v>
      </c>
      <c r="M174" s="11">
        <v>0</v>
      </c>
      <c r="N174" s="11">
        <v>0</v>
      </c>
      <c r="O174" s="11">
        <v>0</v>
      </c>
      <c r="P174" s="11">
        <v>1816384.5</v>
      </c>
      <c r="Q174" s="11">
        <v>10638823.5</v>
      </c>
      <c r="R174">
        <f>VLOOKUP(E174,'IVA COMPRAS'!K:P,6,FALSE)</f>
        <v>10638823.5</v>
      </c>
    </row>
    <row r="175" spans="1:18" x14ac:dyDescent="0.25">
      <c r="A175" s="7" t="s">
        <v>775</v>
      </c>
      <c r="B175" s="7" t="s">
        <v>717</v>
      </c>
      <c r="C175" s="9">
        <v>219</v>
      </c>
      <c r="D175" s="9">
        <v>1501</v>
      </c>
      <c r="E175" s="7" t="str">
        <f t="shared" si="2"/>
        <v>306868972452191501</v>
      </c>
      <c r="F175" s="9">
        <v>74255275333465</v>
      </c>
      <c r="G175" s="7" t="s">
        <v>718</v>
      </c>
      <c r="H175" s="9">
        <v>30686897245</v>
      </c>
      <c r="I175" s="7" t="s">
        <v>776</v>
      </c>
      <c r="J175" s="9">
        <v>1</v>
      </c>
      <c r="K175" s="7" t="s">
        <v>719</v>
      </c>
      <c r="L175" s="11">
        <v>214049.62</v>
      </c>
      <c r="M175" s="11">
        <v>0</v>
      </c>
      <c r="N175" s="11">
        <v>0</v>
      </c>
      <c r="O175" s="11">
        <v>0</v>
      </c>
      <c r="P175" s="11">
        <v>44950.42</v>
      </c>
      <c r="Q175" s="11">
        <v>259000.01</v>
      </c>
      <c r="R175" t="e">
        <f>VLOOKUP(E175,'IVA COMPRAS'!K:P,6,FALSE)</f>
        <v>#N/A</v>
      </c>
    </row>
    <row r="176" spans="1:18" hidden="1" x14ac:dyDescent="0.25">
      <c r="A176" s="7" t="s">
        <v>778</v>
      </c>
      <c r="B176" s="7" t="s">
        <v>717</v>
      </c>
      <c r="C176" s="9">
        <v>2</v>
      </c>
      <c r="D176" s="9">
        <v>2580</v>
      </c>
      <c r="E176" s="7" t="str">
        <f t="shared" si="2"/>
        <v>2018057502322580</v>
      </c>
      <c r="F176" s="9">
        <v>74263604062715</v>
      </c>
      <c r="G176" s="7" t="s">
        <v>718</v>
      </c>
      <c r="H176" s="9">
        <v>20180575023</v>
      </c>
      <c r="I176" s="7" t="s">
        <v>470</v>
      </c>
      <c r="J176" s="9">
        <v>1</v>
      </c>
      <c r="K176" s="7" t="s">
        <v>719</v>
      </c>
      <c r="L176" s="11">
        <v>145200</v>
      </c>
      <c r="M176" s="11">
        <v>0</v>
      </c>
      <c r="N176" s="11">
        <v>0</v>
      </c>
      <c r="O176" s="11">
        <v>0</v>
      </c>
      <c r="P176" s="11">
        <v>30492</v>
      </c>
      <c r="Q176" s="11">
        <v>175692</v>
      </c>
      <c r="R176">
        <f>VLOOKUP(E176,'IVA COMPRAS'!K:P,6,FALSE)</f>
        <v>175692</v>
      </c>
    </row>
    <row r="177" spans="1:18" hidden="1" x14ac:dyDescent="0.25">
      <c r="A177" s="7" t="s">
        <v>731</v>
      </c>
      <c r="B177" s="7" t="s">
        <v>717</v>
      </c>
      <c r="C177" s="9">
        <v>91</v>
      </c>
      <c r="D177" s="9">
        <v>245410</v>
      </c>
      <c r="E177" s="7" t="str">
        <f t="shared" si="2"/>
        <v>3070705980691245410</v>
      </c>
      <c r="F177" s="9">
        <v>74236256879385</v>
      </c>
      <c r="G177" s="7" t="s">
        <v>718</v>
      </c>
      <c r="H177" s="9">
        <v>30707059806</v>
      </c>
      <c r="I177" s="7" t="s">
        <v>735</v>
      </c>
      <c r="J177" s="9">
        <v>1</v>
      </c>
      <c r="K177" s="7" t="s">
        <v>719</v>
      </c>
      <c r="L177" s="11">
        <v>3750000</v>
      </c>
      <c r="M177" s="11">
        <v>0</v>
      </c>
      <c r="N177" s="11">
        <v>0</v>
      </c>
      <c r="O177" s="11">
        <v>0</v>
      </c>
      <c r="P177" s="11">
        <v>787500</v>
      </c>
      <c r="Q177" s="11">
        <v>4818750</v>
      </c>
      <c r="R177">
        <f>VLOOKUP(E177,'IVA COMPRAS'!K:P,6,FALSE)</f>
        <v>4818750</v>
      </c>
    </row>
    <row r="178" spans="1:18" hidden="1" x14ac:dyDescent="0.25">
      <c r="A178" s="7" t="s">
        <v>765</v>
      </c>
      <c r="B178" s="7" t="s">
        <v>717</v>
      </c>
      <c r="C178" s="9">
        <v>90</v>
      </c>
      <c r="D178" s="9">
        <v>443348</v>
      </c>
      <c r="E178" s="7" t="str">
        <f t="shared" si="2"/>
        <v>3070705980690443348</v>
      </c>
      <c r="F178" s="9">
        <v>74246477232844</v>
      </c>
      <c r="G178" s="7" t="s">
        <v>718</v>
      </c>
      <c r="H178" s="9">
        <v>30707059806</v>
      </c>
      <c r="I178" s="7" t="s">
        <v>735</v>
      </c>
      <c r="J178" s="9">
        <v>1</v>
      </c>
      <c r="K178" s="7" t="s">
        <v>719</v>
      </c>
      <c r="L178" s="11">
        <v>79488</v>
      </c>
      <c r="M178" s="11">
        <v>0</v>
      </c>
      <c r="N178" s="11">
        <v>0</v>
      </c>
      <c r="O178" s="11">
        <v>0</v>
      </c>
      <c r="P178" s="11">
        <v>16692.48</v>
      </c>
      <c r="Q178" s="11">
        <v>99757.440000000002</v>
      </c>
      <c r="R178">
        <f>VLOOKUP(E178,'IVA COMPRAS'!K:P,6,FALSE)</f>
        <v>99757.440000000002</v>
      </c>
    </row>
    <row r="179" spans="1:18" hidden="1" x14ac:dyDescent="0.25">
      <c r="A179" s="7" t="s">
        <v>765</v>
      </c>
      <c r="B179" s="7" t="s">
        <v>717</v>
      </c>
      <c r="C179" s="9">
        <v>90</v>
      </c>
      <c r="D179" s="9">
        <v>443350</v>
      </c>
      <c r="E179" s="7" t="str">
        <f t="shared" si="2"/>
        <v>3070705980690443350</v>
      </c>
      <c r="F179" s="9">
        <v>74246477238560</v>
      </c>
      <c r="G179" s="7" t="s">
        <v>718</v>
      </c>
      <c r="H179" s="9">
        <v>30707059806</v>
      </c>
      <c r="I179" s="7" t="s">
        <v>735</v>
      </c>
      <c r="J179" s="9">
        <v>1</v>
      </c>
      <c r="K179" s="7" t="s">
        <v>719</v>
      </c>
      <c r="L179" s="11">
        <v>92400</v>
      </c>
      <c r="M179" s="11">
        <v>0</v>
      </c>
      <c r="N179" s="11">
        <v>0</v>
      </c>
      <c r="O179" s="11">
        <v>0</v>
      </c>
      <c r="P179" s="11">
        <v>19404</v>
      </c>
      <c r="Q179" s="11">
        <v>115962</v>
      </c>
      <c r="R179">
        <f>VLOOKUP(E179,'IVA COMPRAS'!K:P,6,FALSE)</f>
        <v>115962</v>
      </c>
    </row>
    <row r="180" spans="1:18" hidden="1" x14ac:dyDescent="0.25">
      <c r="A180" s="7" t="s">
        <v>765</v>
      </c>
      <c r="B180" s="7" t="s">
        <v>717</v>
      </c>
      <c r="C180" s="9">
        <v>91</v>
      </c>
      <c r="D180" s="9">
        <v>246550</v>
      </c>
      <c r="E180" s="7" t="str">
        <f t="shared" si="2"/>
        <v>3070705980691246550</v>
      </c>
      <c r="F180" s="9">
        <v>74246477280180</v>
      </c>
      <c r="G180" s="7" t="s">
        <v>718</v>
      </c>
      <c r="H180" s="9">
        <v>30707059806</v>
      </c>
      <c r="I180" s="7" t="s">
        <v>735</v>
      </c>
      <c r="J180" s="9">
        <v>1</v>
      </c>
      <c r="K180" s="7" t="s">
        <v>719</v>
      </c>
      <c r="L180" s="11">
        <v>3750000</v>
      </c>
      <c r="M180" s="11">
        <v>0</v>
      </c>
      <c r="N180" s="11">
        <v>0</v>
      </c>
      <c r="O180" s="11">
        <v>0</v>
      </c>
      <c r="P180" s="11">
        <v>787500</v>
      </c>
      <c r="Q180" s="11">
        <v>4818750</v>
      </c>
      <c r="R180">
        <f>VLOOKUP(E180,'IVA COMPRAS'!K:P,6,FALSE)</f>
        <v>4818750</v>
      </c>
    </row>
    <row r="181" spans="1:18" hidden="1" x14ac:dyDescent="0.25">
      <c r="A181" s="7" t="s">
        <v>765</v>
      </c>
      <c r="B181" s="7" t="s">
        <v>717</v>
      </c>
      <c r="C181" s="9">
        <v>90</v>
      </c>
      <c r="D181" s="9">
        <v>443353</v>
      </c>
      <c r="E181" s="7" t="str">
        <f t="shared" si="2"/>
        <v>3070705980690443353</v>
      </c>
      <c r="F181" s="9">
        <v>74246477301260</v>
      </c>
      <c r="G181" s="7" t="s">
        <v>718</v>
      </c>
      <c r="H181" s="9">
        <v>30707059806</v>
      </c>
      <c r="I181" s="7" t="s">
        <v>735</v>
      </c>
      <c r="J181" s="9">
        <v>1</v>
      </c>
      <c r="K181" s="7" t="s">
        <v>719</v>
      </c>
      <c r="L181" s="11">
        <v>161700</v>
      </c>
      <c r="M181" s="11">
        <v>0</v>
      </c>
      <c r="N181" s="11">
        <v>0</v>
      </c>
      <c r="O181" s="11">
        <v>0</v>
      </c>
      <c r="P181" s="11">
        <v>33957</v>
      </c>
      <c r="Q181" s="11">
        <v>207784.5</v>
      </c>
      <c r="R181">
        <f>VLOOKUP(E181,'IVA COMPRAS'!K:P,6,FALSE)</f>
        <v>207784.5</v>
      </c>
    </row>
    <row r="182" spans="1:18" hidden="1" x14ac:dyDescent="0.25">
      <c r="A182" s="7" t="s">
        <v>778</v>
      </c>
      <c r="B182" s="7" t="s">
        <v>717</v>
      </c>
      <c r="C182" s="9">
        <v>9</v>
      </c>
      <c r="D182" s="9">
        <v>41038</v>
      </c>
      <c r="E182" s="7" t="str">
        <f t="shared" si="2"/>
        <v>30585754869941038</v>
      </c>
      <c r="F182" s="9">
        <v>74269497559225</v>
      </c>
      <c r="G182" s="7" t="s">
        <v>718</v>
      </c>
      <c r="H182" s="9">
        <v>30585754869</v>
      </c>
      <c r="I182" s="7" t="s">
        <v>474</v>
      </c>
      <c r="J182" s="9">
        <v>1</v>
      </c>
      <c r="K182" s="7" t="s">
        <v>719</v>
      </c>
      <c r="L182" s="11">
        <v>1399008.29</v>
      </c>
      <c r="M182" s="11">
        <v>0</v>
      </c>
      <c r="N182" s="11">
        <v>0</v>
      </c>
      <c r="O182" s="11">
        <v>0</v>
      </c>
      <c r="P182" s="11">
        <v>293791.74</v>
      </c>
      <c r="Q182" s="11">
        <v>1804720.69</v>
      </c>
      <c r="R182">
        <f>VLOOKUP(E182,'IVA COMPRAS'!K:P,6,FALSE)</f>
        <v>1804720.69</v>
      </c>
    </row>
    <row r="183" spans="1:18" hidden="1" x14ac:dyDescent="0.25">
      <c r="A183" s="7" t="s">
        <v>765</v>
      </c>
      <c r="B183" s="7" t="s">
        <v>717</v>
      </c>
      <c r="C183" s="9">
        <v>2</v>
      </c>
      <c r="D183" s="9">
        <v>629</v>
      </c>
      <c r="E183" s="7" t="str">
        <f t="shared" si="2"/>
        <v>232302344692629</v>
      </c>
      <c r="F183" s="9">
        <v>74259011463348</v>
      </c>
      <c r="G183" s="7" t="s">
        <v>718</v>
      </c>
      <c r="H183" s="9">
        <v>23230234469</v>
      </c>
      <c r="I183" s="7" t="s">
        <v>359</v>
      </c>
      <c r="J183" s="9">
        <v>1</v>
      </c>
      <c r="K183" s="7" t="s">
        <v>719</v>
      </c>
      <c r="L183" s="11">
        <v>180000</v>
      </c>
      <c r="M183" s="11">
        <v>0</v>
      </c>
      <c r="N183" s="11">
        <v>0</v>
      </c>
      <c r="O183" s="11">
        <v>0</v>
      </c>
      <c r="P183" s="11">
        <v>37800</v>
      </c>
      <c r="Q183" s="11">
        <v>217800</v>
      </c>
      <c r="R183">
        <f>VLOOKUP(E183,'IVA COMPRAS'!K:P,6,FALSE)</f>
        <v>217800</v>
      </c>
    </row>
    <row r="184" spans="1:18" hidden="1" x14ac:dyDescent="0.25">
      <c r="A184" s="7" t="s">
        <v>786</v>
      </c>
      <c r="B184" s="7" t="s">
        <v>717</v>
      </c>
      <c r="C184" s="9">
        <v>4</v>
      </c>
      <c r="D184" s="9">
        <v>4886</v>
      </c>
      <c r="E184" s="7" t="str">
        <f t="shared" si="2"/>
        <v>2005503657944886</v>
      </c>
      <c r="F184" s="9">
        <v>74269937350557</v>
      </c>
      <c r="G184" s="7" t="s">
        <v>718</v>
      </c>
      <c r="H184" s="9">
        <v>20055036579</v>
      </c>
      <c r="I184" s="7" t="s">
        <v>555</v>
      </c>
      <c r="J184" s="9">
        <v>1</v>
      </c>
      <c r="K184" s="7" t="s">
        <v>719</v>
      </c>
      <c r="L184" s="11">
        <v>370509.3</v>
      </c>
      <c r="M184" s="11">
        <v>0</v>
      </c>
      <c r="N184" s="11">
        <v>0</v>
      </c>
      <c r="O184" s="11">
        <v>0</v>
      </c>
      <c r="P184" s="11">
        <v>77806.95</v>
      </c>
      <c r="Q184" s="11">
        <v>448316.25</v>
      </c>
      <c r="R184">
        <f>VLOOKUP(E184,'IVA COMPRAS'!K:P,6,FALSE)</f>
        <v>448316.25</v>
      </c>
    </row>
    <row r="185" spans="1:18" hidden="1" x14ac:dyDescent="0.25">
      <c r="A185" s="7" t="s">
        <v>755</v>
      </c>
      <c r="B185" s="7" t="s">
        <v>717</v>
      </c>
      <c r="C185" s="9">
        <v>5</v>
      </c>
      <c r="D185" s="9">
        <v>6235</v>
      </c>
      <c r="E185" s="7" t="str">
        <f t="shared" si="2"/>
        <v>2024491940656235</v>
      </c>
      <c r="F185" s="9">
        <v>74246196764907</v>
      </c>
      <c r="G185" s="7" t="s">
        <v>718</v>
      </c>
      <c r="H185" s="9">
        <v>20244919406</v>
      </c>
      <c r="I185" s="7" t="s">
        <v>756</v>
      </c>
      <c r="J185" s="9">
        <v>1</v>
      </c>
      <c r="K185" s="7" t="s">
        <v>719</v>
      </c>
      <c r="L185" s="11">
        <v>60165.29</v>
      </c>
      <c r="M185" s="11">
        <v>0</v>
      </c>
      <c r="N185" s="11">
        <v>0</v>
      </c>
      <c r="O185" s="11">
        <v>0</v>
      </c>
      <c r="P185" s="11">
        <v>12634.71</v>
      </c>
      <c r="Q185" s="11">
        <v>72800</v>
      </c>
      <c r="R185">
        <f>VLOOKUP(E185,'IVA COMPRAS'!K:P,6,FALSE)</f>
        <v>72800</v>
      </c>
    </row>
    <row r="186" spans="1:18" hidden="1" x14ac:dyDescent="0.25">
      <c r="A186" s="7" t="s">
        <v>755</v>
      </c>
      <c r="B186" s="7" t="s">
        <v>717</v>
      </c>
      <c r="C186" s="9">
        <v>5</v>
      </c>
      <c r="D186" s="9">
        <v>6236</v>
      </c>
      <c r="E186" s="7" t="str">
        <f t="shared" si="2"/>
        <v>2024491940656236</v>
      </c>
      <c r="F186" s="9">
        <v>74246196764952</v>
      </c>
      <c r="G186" s="7" t="s">
        <v>718</v>
      </c>
      <c r="H186" s="9">
        <v>20244919406</v>
      </c>
      <c r="I186" s="7" t="s">
        <v>756</v>
      </c>
      <c r="J186" s="9">
        <v>1</v>
      </c>
      <c r="K186" s="7" t="s">
        <v>719</v>
      </c>
      <c r="L186" s="11">
        <v>60165.29</v>
      </c>
      <c r="M186" s="11">
        <v>0</v>
      </c>
      <c r="N186" s="11">
        <v>0</v>
      </c>
      <c r="O186" s="11">
        <v>0</v>
      </c>
      <c r="P186" s="11">
        <v>12634.71</v>
      </c>
      <c r="Q186" s="11">
        <v>72800</v>
      </c>
      <c r="R186">
        <f>VLOOKUP(E186,'IVA COMPRAS'!K:P,6,FALSE)</f>
        <v>72800</v>
      </c>
    </row>
    <row r="187" spans="1:18" hidden="1" x14ac:dyDescent="0.25">
      <c r="A187" s="7" t="s">
        <v>755</v>
      </c>
      <c r="B187" s="7" t="s">
        <v>717</v>
      </c>
      <c r="C187" s="9">
        <v>5</v>
      </c>
      <c r="D187" s="9">
        <v>6237</v>
      </c>
      <c r="E187" s="7" t="str">
        <f t="shared" si="2"/>
        <v>2024491940656237</v>
      </c>
      <c r="F187" s="9">
        <v>74246196765055</v>
      </c>
      <c r="G187" s="7" t="s">
        <v>718</v>
      </c>
      <c r="H187" s="9">
        <v>20244919406</v>
      </c>
      <c r="I187" s="7" t="s">
        <v>756</v>
      </c>
      <c r="J187" s="9">
        <v>1</v>
      </c>
      <c r="K187" s="7" t="s">
        <v>719</v>
      </c>
      <c r="L187" s="11">
        <v>60165.29</v>
      </c>
      <c r="M187" s="11">
        <v>0</v>
      </c>
      <c r="N187" s="11">
        <v>0</v>
      </c>
      <c r="O187" s="11">
        <v>0</v>
      </c>
      <c r="P187" s="11">
        <v>12634.71</v>
      </c>
      <c r="Q187" s="11">
        <v>72800</v>
      </c>
      <c r="R187">
        <f>VLOOKUP(E187,'IVA COMPRAS'!K:P,6,FALSE)</f>
        <v>72800</v>
      </c>
    </row>
    <row r="188" spans="1:18" hidden="1" x14ac:dyDescent="0.25">
      <c r="A188" s="7" t="s">
        <v>771</v>
      </c>
      <c r="B188" s="7" t="s">
        <v>717</v>
      </c>
      <c r="C188" s="9">
        <v>5</v>
      </c>
      <c r="D188" s="9">
        <v>6174</v>
      </c>
      <c r="E188" s="7" t="str">
        <f t="shared" si="2"/>
        <v>2017370978256174</v>
      </c>
      <c r="F188" s="9">
        <v>74252891298331</v>
      </c>
      <c r="G188" s="7" t="s">
        <v>718</v>
      </c>
      <c r="H188" s="9">
        <v>20173709782</v>
      </c>
      <c r="I188" s="7" t="s">
        <v>407</v>
      </c>
      <c r="J188" s="9">
        <v>1</v>
      </c>
      <c r="K188" s="7" t="s">
        <v>719</v>
      </c>
      <c r="L188" s="11">
        <v>38538.839999999997</v>
      </c>
      <c r="M188" s="11">
        <v>0</v>
      </c>
      <c r="N188" s="11">
        <v>0</v>
      </c>
      <c r="O188" s="11">
        <v>0</v>
      </c>
      <c r="P188" s="11">
        <v>8093.16</v>
      </c>
      <c r="Q188" s="11">
        <v>46632</v>
      </c>
      <c r="R188">
        <f>VLOOKUP(E188,'IVA COMPRAS'!K:P,6,FALSE)</f>
        <v>46632.01</v>
      </c>
    </row>
    <row r="189" spans="1:18" hidden="1" x14ac:dyDescent="0.25">
      <c r="A189" s="7" t="s">
        <v>783</v>
      </c>
      <c r="B189" s="7" t="s">
        <v>717</v>
      </c>
      <c r="C189" s="9">
        <v>10</v>
      </c>
      <c r="D189" s="9">
        <v>45043</v>
      </c>
      <c r="E189" s="7" t="str">
        <f t="shared" si="2"/>
        <v>305529105121045043</v>
      </c>
      <c r="F189" s="9">
        <v>74262809660249</v>
      </c>
      <c r="G189" s="7" t="s">
        <v>718</v>
      </c>
      <c r="H189" s="9">
        <v>30552910512</v>
      </c>
      <c r="I189" s="7" t="s">
        <v>523</v>
      </c>
      <c r="J189" s="9">
        <v>1</v>
      </c>
      <c r="K189" s="7" t="s">
        <v>719</v>
      </c>
      <c r="L189" s="11">
        <v>27512000</v>
      </c>
      <c r="M189" s="11">
        <v>0</v>
      </c>
      <c r="N189" s="11">
        <v>0</v>
      </c>
      <c r="O189" s="11">
        <v>0</v>
      </c>
      <c r="P189" s="11">
        <v>5777520</v>
      </c>
      <c r="Q189" s="11">
        <v>34665120</v>
      </c>
      <c r="R189">
        <f>VLOOKUP(E189,'IVA COMPRAS'!K:P,6,FALSE)</f>
        <v>34665120</v>
      </c>
    </row>
    <row r="190" spans="1:18" hidden="1" x14ac:dyDescent="0.25">
      <c r="A190" s="7" t="s">
        <v>782</v>
      </c>
      <c r="B190" s="7" t="s">
        <v>722</v>
      </c>
      <c r="C190" s="9">
        <v>110</v>
      </c>
      <c r="D190" s="9">
        <v>95853</v>
      </c>
      <c r="E190" s="7" t="str">
        <f t="shared" si="2"/>
        <v>3071130359211095853</v>
      </c>
      <c r="F190" s="9">
        <v>74262697663912</v>
      </c>
      <c r="G190" s="7" t="s">
        <v>718</v>
      </c>
      <c r="H190" s="9">
        <v>30711303592</v>
      </c>
      <c r="I190" s="7" t="s">
        <v>519</v>
      </c>
      <c r="J190" s="9">
        <v>1</v>
      </c>
      <c r="K190" s="7" t="s">
        <v>719</v>
      </c>
      <c r="L190" s="11">
        <v>10947.05</v>
      </c>
      <c r="M190" s="11">
        <v>0</v>
      </c>
      <c r="N190" s="11">
        <v>0</v>
      </c>
      <c r="O190" s="11">
        <v>0</v>
      </c>
      <c r="P190" s="11">
        <v>2298.88</v>
      </c>
      <c r="Q190" s="11">
        <v>13574.33</v>
      </c>
      <c r="R190">
        <f>VLOOKUP(E190,'IVA COMPRAS'!K:P,6,FALSE)</f>
        <v>-13574.33</v>
      </c>
    </row>
    <row r="191" spans="1:18" hidden="1" x14ac:dyDescent="0.25">
      <c r="A191" s="7" t="s">
        <v>786</v>
      </c>
      <c r="B191" s="7" t="s">
        <v>717</v>
      </c>
      <c r="C191" s="9">
        <v>110</v>
      </c>
      <c r="D191" s="9">
        <v>89358</v>
      </c>
      <c r="E191" s="7" t="str">
        <f t="shared" si="2"/>
        <v>3071130359211089358</v>
      </c>
      <c r="F191" s="9">
        <v>74262935472499</v>
      </c>
      <c r="G191" s="7" t="s">
        <v>718</v>
      </c>
      <c r="H191" s="9">
        <v>30711303592</v>
      </c>
      <c r="I191" s="7" t="s">
        <v>519</v>
      </c>
      <c r="J191" s="9">
        <v>1</v>
      </c>
      <c r="K191" s="7" t="s">
        <v>719</v>
      </c>
      <c r="L191" s="11">
        <v>1118809.76</v>
      </c>
      <c r="M191" s="11">
        <v>0</v>
      </c>
      <c r="N191" s="11">
        <v>0</v>
      </c>
      <c r="O191" s="11">
        <v>0</v>
      </c>
      <c r="P191" s="11">
        <v>234950.05</v>
      </c>
      <c r="Q191" s="11">
        <v>1437670.54</v>
      </c>
      <c r="R191">
        <f>VLOOKUP(E191,'IVA COMPRAS'!K:P,6,FALSE)</f>
        <v>1437670.54</v>
      </c>
    </row>
    <row r="192" spans="1:18" hidden="1" x14ac:dyDescent="0.25">
      <c r="A192" s="7" t="s">
        <v>786</v>
      </c>
      <c r="B192" s="7" t="s">
        <v>717</v>
      </c>
      <c r="C192" s="9">
        <v>110</v>
      </c>
      <c r="D192" s="9">
        <v>89359</v>
      </c>
      <c r="E192" s="7" t="str">
        <f t="shared" si="2"/>
        <v>3071130359211089359</v>
      </c>
      <c r="F192" s="9">
        <v>74262935472737</v>
      </c>
      <c r="G192" s="7" t="s">
        <v>718</v>
      </c>
      <c r="H192" s="9">
        <v>30711303592</v>
      </c>
      <c r="I192" s="7" t="s">
        <v>519</v>
      </c>
      <c r="J192" s="9">
        <v>1</v>
      </c>
      <c r="K192" s="7" t="s">
        <v>719</v>
      </c>
      <c r="L192" s="11">
        <v>2058472.38</v>
      </c>
      <c r="M192" s="11">
        <v>0</v>
      </c>
      <c r="N192" s="11">
        <v>0</v>
      </c>
      <c r="O192" s="11">
        <v>0</v>
      </c>
      <c r="P192" s="11">
        <v>432279.2</v>
      </c>
      <c r="Q192" s="11">
        <v>2645137.0299999998</v>
      </c>
      <c r="R192">
        <f>VLOOKUP(E192,'IVA COMPRAS'!K:P,6,FALSE)</f>
        <v>2645137.0299999998</v>
      </c>
    </row>
    <row r="193" spans="1:18" hidden="1" x14ac:dyDescent="0.25">
      <c r="A193" s="7" t="s">
        <v>786</v>
      </c>
      <c r="B193" s="7" t="s">
        <v>717</v>
      </c>
      <c r="C193" s="9">
        <v>110</v>
      </c>
      <c r="D193" s="9">
        <v>89375</v>
      </c>
      <c r="E193" s="7" t="str">
        <f t="shared" si="2"/>
        <v>3071130359211089375</v>
      </c>
      <c r="F193" s="9">
        <v>74262935476553</v>
      </c>
      <c r="G193" s="7" t="s">
        <v>718</v>
      </c>
      <c r="H193" s="9">
        <v>30711303592</v>
      </c>
      <c r="I193" s="7" t="s">
        <v>519</v>
      </c>
      <c r="J193" s="9">
        <v>1</v>
      </c>
      <c r="K193" s="7" t="s">
        <v>719</v>
      </c>
      <c r="L193" s="11">
        <v>12597786.859999999</v>
      </c>
      <c r="M193" s="11">
        <v>0</v>
      </c>
      <c r="N193" s="11">
        <v>0</v>
      </c>
      <c r="O193" s="11">
        <v>0</v>
      </c>
      <c r="P193" s="11">
        <v>2645535.2400000002</v>
      </c>
      <c r="Q193" s="11">
        <v>16188156.1</v>
      </c>
      <c r="R193">
        <f>VLOOKUP(E193,'IVA COMPRAS'!K:P,6,FALSE)</f>
        <v>16188156.1</v>
      </c>
    </row>
    <row r="194" spans="1:18" hidden="1" x14ac:dyDescent="0.25">
      <c r="A194" s="7" t="s">
        <v>786</v>
      </c>
      <c r="B194" s="7" t="s">
        <v>722</v>
      </c>
      <c r="C194" s="9">
        <v>110</v>
      </c>
      <c r="D194" s="9">
        <v>95881</v>
      </c>
      <c r="E194" s="7" t="str">
        <f t="shared" ref="E194:E257" si="3">CONCATENATE(H194,C194,D194)</f>
        <v>3071130359211095881</v>
      </c>
      <c r="F194" s="9">
        <v>74262935476833</v>
      </c>
      <c r="G194" s="7" t="s">
        <v>718</v>
      </c>
      <c r="H194" s="9">
        <v>30711303592</v>
      </c>
      <c r="I194" s="7" t="s">
        <v>519</v>
      </c>
      <c r="J194" s="9">
        <v>1</v>
      </c>
      <c r="K194" s="7" t="s">
        <v>719</v>
      </c>
      <c r="L194" s="11">
        <v>121861.57</v>
      </c>
      <c r="M194" s="11">
        <v>0</v>
      </c>
      <c r="N194" s="11">
        <v>0</v>
      </c>
      <c r="O194" s="11">
        <v>0</v>
      </c>
      <c r="P194" s="11">
        <v>25590.93</v>
      </c>
      <c r="Q194" s="11">
        <v>151108.34</v>
      </c>
      <c r="R194">
        <f>VLOOKUP(E194,'IVA COMPRAS'!K:P,6,FALSE)</f>
        <v>-151108.34</v>
      </c>
    </row>
    <row r="195" spans="1:18" hidden="1" x14ac:dyDescent="0.25">
      <c r="A195" s="7" t="s">
        <v>786</v>
      </c>
      <c r="B195" s="7" t="s">
        <v>722</v>
      </c>
      <c r="C195" s="9">
        <v>110</v>
      </c>
      <c r="D195" s="9">
        <v>95883</v>
      </c>
      <c r="E195" s="7" t="str">
        <f t="shared" si="3"/>
        <v>3071130359211095883</v>
      </c>
      <c r="F195" s="9">
        <v>74262935477096</v>
      </c>
      <c r="G195" s="7" t="s">
        <v>718</v>
      </c>
      <c r="H195" s="9">
        <v>30711303592</v>
      </c>
      <c r="I195" s="7" t="s">
        <v>519</v>
      </c>
      <c r="J195" s="9">
        <v>1</v>
      </c>
      <c r="K195" s="7" t="s">
        <v>719</v>
      </c>
      <c r="L195" s="11">
        <v>66233.52</v>
      </c>
      <c r="M195" s="11">
        <v>0</v>
      </c>
      <c r="N195" s="11">
        <v>0</v>
      </c>
      <c r="O195" s="11">
        <v>0</v>
      </c>
      <c r="P195" s="11">
        <v>13909.04</v>
      </c>
      <c r="Q195" s="11">
        <v>80142.58</v>
      </c>
      <c r="R195">
        <f>VLOOKUP(E195,'IVA COMPRAS'!K:P,6,FALSE)</f>
        <v>-80142.58</v>
      </c>
    </row>
    <row r="196" spans="1:18" hidden="1" x14ac:dyDescent="0.25">
      <c r="A196" s="7" t="s">
        <v>786</v>
      </c>
      <c r="B196" s="7" t="s">
        <v>722</v>
      </c>
      <c r="C196" s="9">
        <v>110</v>
      </c>
      <c r="D196" s="9">
        <v>95891</v>
      </c>
      <c r="E196" s="7" t="str">
        <f t="shared" si="3"/>
        <v>3071130359211095891</v>
      </c>
      <c r="F196" s="9">
        <v>74262935478424</v>
      </c>
      <c r="G196" s="7" t="s">
        <v>718</v>
      </c>
      <c r="H196" s="9">
        <v>30711303592</v>
      </c>
      <c r="I196" s="7" t="s">
        <v>519</v>
      </c>
      <c r="J196" s="9">
        <v>1</v>
      </c>
      <c r="K196" s="7" t="s">
        <v>719</v>
      </c>
      <c r="L196" s="11">
        <v>1446346.24</v>
      </c>
      <c r="M196" s="11">
        <v>0</v>
      </c>
      <c r="N196" s="11">
        <v>0</v>
      </c>
      <c r="O196" s="11">
        <v>0</v>
      </c>
      <c r="P196" s="11">
        <v>303732.71000000002</v>
      </c>
      <c r="Q196" s="11">
        <v>1793469.33</v>
      </c>
      <c r="R196">
        <f>VLOOKUP(E196,'IVA COMPRAS'!K:P,6,FALSE)</f>
        <v>-1793469.33</v>
      </c>
    </row>
    <row r="197" spans="1:18" hidden="1" x14ac:dyDescent="0.25">
      <c r="A197" s="7" t="s">
        <v>763</v>
      </c>
      <c r="B197" s="7" t="s">
        <v>717</v>
      </c>
      <c r="C197" s="9">
        <v>6</v>
      </c>
      <c r="D197" s="9">
        <v>1251</v>
      </c>
      <c r="E197" s="7" t="str">
        <f t="shared" si="3"/>
        <v>3071414473861251</v>
      </c>
      <c r="F197" s="9">
        <v>74248391030200</v>
      </c>
      <c r="G197" s="7" t="s">
        <v>718</v>
      </c>
      <c r="H197" s="9">
        <v>30714144738</v>
      </c>
      <c r="I197" s="7" t="s">
        <v>335</v>
      </c>
      <c r="J197" s="9">
        <v>1</v>
      </c>
      <c r="K197" s="7" t="s">
        <v>719</v>
      </c>
      <c r="L197" s="11">
        <v>3176448</v>
      </c>
      <c r="M197" s="11">
        <v>0</v>
      </c>
      <c r="N197" s="11">
        <v>0</v>
      </c>
      <c r="O197" s="11">
        <v>0</v>
      </c>
      <c r="P197" s="11">
        <v>667054.07999999996</v>
      </c>
      <c r="Q197" s="11">
        <v>3907031.04</v>
      </c>
      <c r="R197">
        <f>VLOOKUP(E197,'IVA COMPRAS'!K:P,6,FALSE)</f>
        <v>3907031.04</v>
      </c>
    </row>
    <row r="198" spans="1:18" hidden="1" x14ac:dyDescent="0.25">
      <c r="A198" s="7" t="s">
        <v>731</v>
      </c>
      <c r="B198" s="7" t="s">
        <v>717</v>
      </c>
      <c r="C198" s="9">
        <v>6156</v>
      </c>
      <c r="D198" s="9">
        <v>6799194</v>
      </c>
      <c r="E198" s="7" t="str">
        <f t="shared" si="3"/>
        <v>3054724233161566799194</v>
      </c>
      <c r="F198" s="9">
        <v>34221770405197</v>
      </c>
      <c r="G198" s="7" t="s">
        <v>718</v>
      </c>
      <c r="H198" s="9">
        <v>30547242331</v>
      </c>
      <c r="I198" s="7" t="s">
        <v>54</v>
      </c>
      <c r="J198" s="9">
        <v>1</v>
      </c>
      <c r="K198" s="7" t="s">
        <v>719</v>
      </c>
      <c r="L198" s="11">
        <v>383495.76</v>
      </c>
      <c r="M198" s="11">
        <v>0</v>
      </c>
      <c r="N198" s="11">
        <v>0</v>
      </c>
      <c r="O198" s="11">
        <v>0</v>
      </c>
      <c r="P198" s="11">
        <v>80534.11</v>
      </c>
      <c r="Q198" s="11">
        <v>482625.82</v>
      </c>
      <c r="R198">
        <f>VLOOKUP(E198,'IVA COMPRAS'!K:P,6,FALSE)</f>
        <v>482625.82</v>
      </c>
    </row>
    <row r="199" spans="1:18" hidden="1" x14ac:dyDescent="0.25">
      <c r="A199" s="7" t="s">
        <v>731</v>
      </c>
      <c r="B199" s="7" t="s">
        <v>717</v>
      </c>
      <c r="C199" s="9">
        <v>6156</v>
      </c>
      <c r="D199" s="9">
        <v>6799195</v>
      </c>
      <c r="E199" s="7" t="str">
        <f t="shared" si="3"/>
        <v>3054724233161566799195</v>
      </c>
      <c r="F199" s="9">
        <v>34221770405197</v>
      </c>
      <c r="G199" s="7" t="s">
        <v>718</v>
      </c>
      <c r="H199" s="9">
        <v>30547242331</v>
      </c>
      <c r="I199" s="7" t="s">
        <v>54</v>
      </c>
      <c r="J199" s="9">
        <v>1</v>
      </c>
      <c r="K199" s="7" t="s">
        <v>719</v>
      </c>
      <c r="L199" s="11">
        <v>6698764.8099999996</v>
      </c>
      <c r="M199" s="11">
        <v>0</v>
      </c>
      <c r="N199" s="11">
        <v>0</v>
      </c>
      <c r="O199" s="11">
        <v>0</v>
      </c>
      <c r="P199" s="11">
        <v>1406740.61</v>
      </c>
      <c r="Q199" s="11">
        <v>8406949.8300000001</v>
      </c>
      <c r="R199">
        <f>VLOOKUP(E199,'IVA COMPRAS'!K:P,6,FALSE)</f>
        <v>8406949.8300000001</v>
      </c>
    </row>
    <row r="200" spans="1:18" hidden="1" x14ac:dyDescent="0.25">
      <c r="A200" s="7" t="s">
        <v>747</v>
      </c>
      <c r="B200" s="7" t="s">
        <v>717</v>
      </c>
      <c r="C200" s="9">
        <v>6156</v>
      </c>
      <c r="D200" s="9">
        <v>6803082</v>
      </c>
      <c r="E200" s="7" t="str">
        <f t="shared" si="3"/>
        <v>3054724233161566803082</v>
      </c>
      <c r="F200" s="9">
        <v>34221770405197</v>
      </c>
      <c r="G200" s="7" t="s">
        <v>718</v>
      </c>
      <c r="H200" s="9">
        <v>30547242331</v>
      </c>
      <c r="I200" s="7" t="s">
        <v>54</v>
      </c>
      <c r="J200" s="9">
        <v>1</v>
      </c>
      <c r="K200" s="7" t="s">
        <v>719</v>
      </c>
      <c r="L200" s="11">
        <v>491041.95</v>
      </c>
      <c r="M200" s="11">
        <v>0</v>
      </c>
      <c r="N200" s="11">
        <v>0</v>
      </c>
      <c r="O200" s="11">
        <v>0</v>
      </c>
      <c r="P200" s="11">
        <v>103118.81</v>
      </c>
      <c r="Q200" s="11">
        <v>618712.84</v>
      </c>
      <c r="R200">
        <f>VLOOKUP(E200,'IVA COMPRAS'!K:P,6,FALSE)</f>
        <v>618712.84</v>
      </c>
    </row>
    <row r="201" spans="1:18" hidden="1" x14ac:dyDescent="0.25">
      <c r="A201" s="7" t="s">
        <v>749</v>
      </c>
      <c r="B201" s="7" t="s">
        <v>722</v>
      </c>
      <c r="C201" s="9">
        <v>6156</v>
      </c>
      <c r="D201" s="9">
        <v>2565677</v>
      </c>
      <c r="E201" s="7" t="str">
        <f t="shared" si="3"/>
        <v>3054724233161562565677</v>
      </c>
      <c r="F201" s="9">
        <v>34221770405197</v>
      </c>
      <c r="G201" s="7" t="s">
        <v>718</v>
      </c>
      <c r="H201" s="9">
        <v>30547242331</v>
      </c>
      <c r="I201" s="7" t="s">
        <v>54</v>
      </c>
      <c r="J201" s="9">
        <v>1</v>
      </c>
      <c r="K201" s="7" t="s">
        <v>719</v>
      </c>
      <c r="L201" s="11">
        <v>428073.38</v>
      </c>
      <c r="M201" s="11">
        <v>0</v>
      </c>
      <c r="N201" s="11">
        <v>0</v>
      </c>
      <c r="O201" s="11">
        <v>0</v>
      </c>
      <c r="P201" s="11">
        <v>89895.41</v>
      </c>
      <c r="Q201" s="11">
        <v>530810.97</v>
      </c>
      <c r="R201">
        <f>VLOOKUP(E201,'IVA COMPRAS'!K:P,6,FALSE)</f>
        <v>-530810.97</v>
      </c>
    </row>
    <row r="202" spans="1:18" hidden="1" x14ac:dyDescent="0.25">
      <c r="A202" s="7" t="s">
        <v>755</v>
      </c>
      <c r="B202" s="7" t="s">
        <v>717</v>
      </c>
      <c r="C202" s="9">
        <v>6156</v>
      </c>
      <c r="D202" s="9">
        <v>6811099</v>
      </c>
      <c r="E202" s="7" t="str">
        <f t="shared" si="3"/>
        <v>3054724233161566811099</v>
      </c>
      <c r="F202" s="9">
        <v>34221770405197</v>
      </c>
      <c r="G202" s="7" t="s">
        <v>718</v>
      </c>
      <c r="H202" s="9">
        <v>30547242331</v>
      </c>
      <c r="I202" s="7" t="s">
        <v>54</v>
      </c>
      <c r="J202" s="9">
        <v>1</v>
      </c>
      <c r="K202" s="7" t="s">
        <v>719</v>
      </c>
      <c r="L202" s="11">
        <v>103323</v>
      </c>
      <c r="M202" s="11">
        <v>0</v>
      </c>
      <c r="N202" s="11">
        <v>0</v>
      </c>
      <c r="O202" s="11">
        <v>0</v>
      </c>
      <c r="P202" s="11">
        <v>21697.83</v>
      </c>
      <c r="Q202" s="11">
        <v>129429.97</v>
      </c>
      <c r="R202">
        <f>VLOOKUP(E202,'IVA COMPRAS'!K:P,6,FALSE)</f>
        <v>129429.97</v>
      </c>
    </row>
    <row r="203" spans="1:18" hidden="1" x14ac:dyDescent="0.25">
      <c r="A203" s="7" t="s">
        <v>763</v>
      </c>
      <c r="B203" s="7" t="s">
        <v>717</v>
      </c>
      <c r="C203" s="9">
        <v>6156</v>
      </c>
      <c r="D203" s="9">
        <v>6815008</v>
      </c>
      <c r="E203" s="7" t="str">
        <f t="shared" si="3"/>
        <v>3054724233161566815008</v>
      </c>
      <c r="F203" s="9">
        <v>34221770405197</v>
      </c>
      <c r="G203" s="7" t="s">
        <v>718</v>
      </c>
      <c r="H203" s="9">
        <v>30547242331</v>
      </c>
      <c r="I203" s="7" t="s">
        <v>54</v>
      </c>
      <c r="J203" s="9">
        <v>1</v>
      </c>
      <c r="K203" s="7" t="s">
        <v>719</v>
      </c>
      <c r="L203" s="11">
        <v>787674.71</v>
      </c>
      <c r="M203" s="11">
        <v>0</v>
      </c>
      <c r="N203" s="11">
        <v>0</v>
      </c>
      <c r="O203" s="11">
        <v>0</v>
      </c>
      <c r="P203" s="11">
        <v>165411.69</v>
      </c>
      <c r="Q203" s="11">
        <v>991024.97</v>
      </c>
      <c r="R203">
        <f>VLOOKUP(E203,'IVA COMPRAS'!K:P,6,FALSE)</f>
        <v>991024.97</v>
      </c>
    </row>
    <row r="204" spans="1:18" hidden="1" x14ac:dyDescent="0.25">
      <c r="A204" s="7" t="s">
        <v>763</v>
      </c>
      <c r="B204" s="7" t="s">
        <v>717</v>
      </c>
      <c r="C204" s="9">
        <v>6156</v>
      </c>
      <c r="D204" s="9">
        <v>6815009</v>
      </c>
      <c r="E204" s="7" t="str">
        <f t="shared" si="3"/>
        <v>3054724233161566815009</v>
      </c>
      <c r="F204" s="9">
        <v>34221770405197</v>
      </c>
      <c r="G204" s="7" t="s">
        <v>718</v>
      </c>
      <c r="H204" s="9">
        <v>30547242331</v>
      </c>
      <c r="I204" s="7" t="s">
        <v>54</v>
      </c>
      <c r="J204" s="9">
        <v>1</v>
      </c>
      <c r="K204" s="7" t="s">
        <v>719</v>
      </c>
      <c r="L204" s="11">
        <v>995508</v>
      </c>
      <c r="M204" s="11">
        <v>0</v>
      </c>
      <c r="N204" s="11">
        <v>0</v>
      </c>
      <c r="O204" s="11">
        <v>0</v>
      </c>
      <c r="P204" s="11">
        <v>209056.68</v>
      </c>
      <c r="Q204" s="11">
        <v>1224474.8400000001</v>
      </c>
      <c r="R204">
        <f>VLOOKUP(E204,'IVA COMPRAS'!K:P,6,FALSE)</f>
        <v>1224474.8400000001</v>
      </c>
    </row>
    <row r="205" spans="1:18" hidden="1" x14ac:dyDescent="0.25">
      <c r="A205" s="7" t="s">
        <v>771</v>
      </c>
      <c r="B205" s="7" t="s">
        <v>717</v>
      </c>
      <c r="C205" s="9">
        <v>6156</v>
      </c>
      <c r="D205" s="9">
        <v>6820728</v>
      </c>
      <c r="E205" s="7" t="str">
        <f t="shared" si="3"/>
        <v>3054724233161566820728</v>
      </c>
      <c r="F205" s="9">
        <v>34241484520096</v>
      </c>
      <c r="G205" s="7" t="s">
        <v>718</v>
      </c>
      <c r="H205" s="9">
        <v>30547242331</v>
      </c>
      <c r="I205" s="7" t="s">
        <v>54</v>
      </c>
      <c r="J205" s="9">
        <v>1</v>
      </c>
      <c r="K205" s="7" t="s">
        <v>719</v>
      </c>
      <c r="L205" s="11">
        <v>351546.76</v>
      </c>
      <c r="M205" s="11">
        <v>0</v>
      </c>
      <c r="N205" s="11">
        <v>0</v>
      </c>
      <c r="O205" s="11">
        <v>0</v>
      </c>
      <c r="P205" s="11">
        <v>73824.820000000007</v>
      </c>
      <c r="Q205" s="11">
        <v>442948.91</v>
      </c>
      <c r="R205">
        <f>VLOOKUP(E205,'IVA COMPRAS'!K:P,6,FALSE)</f>
        <v>442948.91</v>
      </c>
    </row>
    <row r="206" spans="1:18" hidden="1" x14ac:dyDescent="0.25">
      <c r="A206" s="7" t="s">
        <v>779</v>
      </c>
      <c r="B206" s="7" t="s">
        <v>717</v>
      </c>
      <c r="C206" s="9">
        <v>6156</v>
      </c>
      <c r="D206" s="9">
        <v>6831764</v>
      </c>
      <c r="E206" s="7" t="str">
        <f t="shared" si="3"/>
        <v>3054724233161566831764</v>
      </c>
      <c r="F206" s="9">
        <v>34241484520096</v>
      </c>
      <c r="G206" s="7" t="s">
        <v>718</v>
      </c>
      <c r="H206" s="9">
        <v>30547242331</v>
      </c>
      <c r="I206" s="7" t="s">
        <v>54</v>
      </c>
      <c r="J206" s="9">
        <v>1</v>
      </c>
      <c r="K206" s="7" t="s">
        <v>719</v>
      </c>
      <c r="L206" s="11">
        <v>687396.48</v>
      </c>
      <c r="M206" s="11">
        <v>0</v>
      </c>
      <c r="N206" s="11">
        <v>0</v>
      </c>
      <c r="O206" s="11">
        <v>0</v>
      </c>
      <c r="P206" s="11">
        <v>144353.26</v>
      </c>
      <c r="Q206" s="11">
        <v>865500.18</v>
      </c>
      <c r="R206">
        <f>VLOOKUP(E206,'IVA COMPRAS'!K:P,6,FALSE)</f>
        <v>865500.18</v>
      </c>
    </row>
    <row r="207" spans="1:18" hidden="1" x14ac:dyDescent="0.25">
      <c r="A207" s="7" t="s">
        <v>783</v>
      </c>
      <c r="B207" s="7" t="s">
        <v>717</v>
      </c>
      <c r="C207" s="9">
        <v>6156</v>
      </c>
      <c r="D207" s="9">
        <v>6836277</v>
      </c>
      <c r="E207" s="7" t="str">
        <f t="shared" si="3"/>
        <v>3054724233161566836277</v>
      </c>
      <c r="F207" s="9">
        <v>34241484520096</v>
      </c>
      <c r="G207" s="7" t="s">
        <v>718</v>
      </c>
      <c r="H207" s="9">
        <v>30547242331</v>
      </c>
      <c r="I207" s="7" t="s">
        <v>54</v>
      </c>
      <c r="J207" s="9">
        <v>1</v>
      </c>
      <c r="K207" s="7" t="s">
        <v>719</v>
      </c>
      <c r="L207" s="11">
        <v>56843.14</v>
      </c>
      <c r="M207" s="11">
        <v>0</v>
      </c>
      <c r="N207" s="11">
        <v>0</v>
      </c>
      <c r="O207" s="11">
        <v>0</v>
      </c>
      <c r="P207" s="11">
        <v>11937.06</v>
      </c>
      <c r="Q207" s="11">
        <v>71003.009999999995</v>
      </c>
      <c r="R207">
        <f>VLOOKUP(E207,'IVA COMPRAS'!K:P,6,FALSE)</f>
        <v>71003.009999999995</v>
      </c>
    </row>
    <row r="208" spans="1:18" x14ac:dyDescent="0.25">
      <c r="A208" s="7" t="s">
        <v>783</v>
      </c>
      <c r="B208" s="7" t="s">
        <v>722</v>
      </c>
      <c r="C208" s="9">
        <v>6162</v>
      </c>
      <c r="D208" s="9">
        <v>41535</v>
      </c>
      <c r="E208" s="7" t="str">
        <f t="shared" si="3"/>
        <v>30547242331616241535</v>
      </c>
      <c r="F208" s="9">
        <v>34241484520096</v>
      </c>
      <c r="G208" s="7" t="s">
        <v>718</v>
      </c>
      <c r="H208" s="9">
        <v>30547242331</v>
      </c>
      <c r="I208" s="7" t="s">
        <v>54</v>
      </c>
      <c r="J208" s="9">
        <v>1</v>
      </c>
      <c r="K208" s="7" t="s">
        <v>719</v>
      </c>
      <c r="L208" s="11">
        <v>15074.76</v>
      </c>
      <c r="M208" s="11">
        <v>0</v>
      </c>
      <c r="N208" s="11">
        <v>0</v>
      </c>
      <c r="O208" s="11">
        <v>0</v>
      </c>
      <c r="P208" s="11">
        <v>3165.7</v>
      </c>
      <c r="Q208" s="13">
        <v>18240.45</v>
      </c>
      <c r="R208" t="e">
        <f>VLOOKUP(E208,'IVA COMPRAS'!K:P,6,FALSE)</f>
        <v>#N/A</v>
      </c>
    </row>
    <row r="209" spans="1:18" hidden="1" x14ac:dyDescent="0.25">
      <c r="A209" s="7" t="s">
        <v>783</v>
      </c>
      <c r="B209" s="7" t="s">
        <v>722</v>
      </c>
      <c r="C209" s="9">
        <v>6162</v>
      </c>
      <c r="D209" s="9">
        <v>41536</v>
      </c>
      <c r="E209" s="7" t="str">
        <f t="shared" si="3"/>
        <v>30547242331616241536</v>
      </c>
      <c r="F209" s="9">
        <v>34241484520096</v>
      </c>
      <c r="G209" s="7" t="s">
        <v>718</v>
      </c>
      <c r="H209" s="9">
        <v>30547242331</v>
      </c>
      <c r="I209" s="7" t="s">
        <v>54</v>
      </c>
      <c r="J209" s="9">
        <v>1</v>
      </c>
      <c r="K209" s="7" t="s">
        <v>719</v>
      </c>
      <c r="L209" s="11">
        <v>99550.81</v>
      </c>
      <c r="M209" s="11">
        <v>0</v>
      </c>
      <c r="N209" s="11">
        <v>0</v>
      </c>
      <c r="O209" s="11">
        <v>0</v>
      </c>
      <c r="P209" s="11">
        <v>20905.669999999998</v>
      </c>
      <c r="Q209" s="11">
        <v>120456.47</v>
      </c>
      <c r="R209">
        <f>VLOOKUP(E209,'IVA COMPRAS'!K:P,6,FALSE)</f>
        <v>-120456.47</v>
      </c>
    </row>
    <row r="210" spans="1:18" x14ac:dyDescent="0.25">
      <c r="A210" s="7" t="s">
        <v>783</v>
      </c>
      <c r="B210" s="7" t="s">
        <v>722</v>
      </c>
      <c r="C210" s="9">
        <v>6162</v>
      </c>
      <c r="D210" s="9">
        <v>41537</v>
      </c>
      <c r="E210" s="7" t="str">
        <f t="shared" si="3"/>
        <v>30547242331616241537</v>
      </c>
      <c r="F210" s="9">
        <v>34241484520096</v>
      </c>
      <c r="G210" s="7" t="s">
        <v>718</v>
      </c>
      <c r="H210" s="9">
        <v>30547242331</v>
      </c>
      <c r="I210" s="7" t="s">
        <v>54</v>
      </c>
      <c r="J210" s="9">
        <v>1</v>
      </c>
      <c r="K210" s="7" t="s">
        <v>719</v>
      </c>
      <c r="L210" s="11">
        <v>56974</v>
      </c>
      <c r="M210" s="11">
        <v>0</v>
      </c>
      <c r="N210" s="11">
        <v>0</v>
      </c>
      <c r="O210" s="11">
        <v>0</v>
      </c>
      <c r="P210" s="11">
        <v>11964.54</v>
      </c>
      <c r="Q210" s="13">
        <v>68938.52</v>
      </c>
      <c r="R210" t="e">
        <f>VLOOKUP(E210,'IVA COMPRAS'!K:P,6,FALSE)</f>
        <v>#N/A</v>
      </c>
    </row>
    <row r="211" spans="1:18" hidden="1" x14ac:dyDescent="0.25">
      <c r="A211" s="7" t="s">
        <v>772</v>
      </c>
      <c r="B211" s="7" t="s">
        <v>717</v>
      </c>
      <c r="C211" s="9">
        <v>10</v>
      </c>
      <c r="D211" s="9">
        <v>81286</v>
      </c>
      <c r="E211" s="7" t="str">
        <f t="shared" si="3"/>
        <v>306124309731081286</v>
      </c>
      <c r="F211" s="9">
        <v>74253046174665</v>
      </c>
      <c r="G211" s="7" t="s">
        <v>718</v>
      </c>
      <c r="H211" s="9">
        <v>30612430973</v>
      </c>
      <c r="I211" s="7" t="s">
        <v>437</v>
      </c>
      <c r="J211" s="9">
        <v>1</v>
      </c>
      <c r="K211" s="7" t="s">
        <v>719</v>
      </c>
      <c r="L211" s="11">
        <v>34642.53</v>
      </c>
      <c r="M211" s="11">
        <v>0</v>
      </c>
      <c r="N211" s="11">
        <v>0</v>
      </c>
      <c r="O211" s="11">
        <v>0</v>
      </c>
      <c r="P211" s="11">
        <v>3637.47</v>
      </c>
      <c r="Q211" s="11">
        <v>38972.85</v>
      </c>
      <c r="R211">
        <f>VLOOKUP(E211,'IVA COMPRAS'!K:P,6,FALSE)</f>
        <v>38972.85</v>
      </c>
    </row>
    <row r="212" spans="1:18" hidden="1" x14ac:dyDescent="0.25">
      <c r="A212" s="7" t="s">
        <v>752</v>
      </c>
      <c r="B212" s="7" t="s">
        <v>717</v>
      </c>
      <c r="C212" s="9">
        <v>12</v>
      </c>
      <c r="D212" s="9">
        <v>53935</v>
      </c>
      <c r="E212" s="7" t="str">
        <f t="shared" si="3"/>
        <v>307089380211253935</v>
      </c>
      <c r="F212" s="9">
        <v>74241006393482</v>
      </c>
      <c r="G212" s="7" t="s">
        <v>718</v>
      </c>
      <c r="H212" s="9">
        <v>30708938021</v>
      </c>
      <c r="I212" s="7" t="s">
        <v>753</v>
      </c>
      <c r="J212" s="9">
        <v>1</v>
      </c>
      <c r="K212" s="7" t="s">
        <v>719</v>
      </c>
      <c r="L212" s="11">
        <v>4311920</v>
      </c>
      <c r="M212" s="11">
        <v>0</v>
      </c>
      <c r="N212" s="11">
        <v>0</v>
      </c>
      <c r="O212" s="11">
        <v>0</v>
      </c>
      <c r="P212" s="11">
        <v>905503.2</v>
      </c>
      <c r="Q212" s="11">
        <v>5303661.5999999996</v>
      </c>
      <c r="R212">
        <f>VLOOKUP(E212,'IVA COMPRAS'!K:P,6,FALSE)</f>
        <v>5303661.5999999996</v>
      </c>
    </row>
    <row r="213" spans="1:18" hidden="1" x14ac:dyDescent="0.25">
      <c r="A213" s="7" t="s">
        <v>771</v>
      </c>
      <c r="B213" s="7" t="s">
        <v>717</v>
      </c>
      <c r="C213" s="9">
        <v>12</v>
      </c>
      <c r="D213" s="9">
        <v>54347</v>
      </c>
      <c r="E213" s="7" t="str">
        <f t="shared" si="3"/>
        <v>307089380211254347</v>
      </c>
      <c r="F213" s="9">
        <v>74251902081083</v>
      </c>
      <c r="G213" s="7" t="s">
        <v>718</v>
      </c>
      <c r="H213" s="9">
        <v>30708938021</v>
      </c>
      <c r="I213" s="7" t="s">
        <v>753</v>
      </c>
      <c r="J213" s="9">
        <v>1</v>
      </c>
      <c r="K213" s="7" t="s">
        <v>719</v>
      </c>
      <c r="L213" s="11">
        <v>8408235</v>
      </c>
      <c r="M213" s="11">
        <v>0</v>
      </c>
      <c r="N213" s="11">
        <v>0</v>
      </c>
      <c r="O213" s="11">
        <v>0</v>
      </c>
      <c r="P213" s="11">
        <v>1765729.35</v>
      </c>
      <c r="Q213" s="11">
        <v>10342129.050000001</v>
      </c>
      <c r="R213">
        <f>VLOOKUP(E213,'IVA COMPRAS'!K:P,6,FALSE)</f>
        <v>10342129.050000001</v>
      </c>
    </row>
    <row r="214" spans="1:18" hidden="1" x14ac:dyDescent="0.25">
      <c r="A214" s="7" t="s">
        <v>772</v>
      </c>
      <c r="B214" s="7" t="s">
        <v>722</v>
      </c>
      <c r="C214" s="9">
        <v>12</v>
      </c>
      <c r="D214" s="9">
        <v>4301</v>
      </c>
      <c r="E214" s="7" t="str">
        <f t="shared" si="3"/>
        <v>30708938021124301</v>
      </c>
      <c r="F214" s="9">
        <v>74251025259376</v>
      </c>
      <c r="G214" s="7" t="s">
        <v>718</v>
      </c>
      <c r="H214" s="9">
        <v>30708938021</v>
      </c>
      <c r="I214" s="7" t="s">
        <v>753</v>
      </c>
      <c r="J214" s="9">
        <v>1</v>
      </c>
      <c r="K214" s="7" t="s">
        <v>719</v>
      </c>
      <c r="L214" s="11">
        <v>2802745</v>
      </c>
      <c r="M214" s="11">
        <v>0</v>
      </c>
      <c r="N214" s="11">
        <v>0</v>
      </c>
      <c r="O214" s="11">
        <v>0</v>
      </c>
      <c r="P214" s="11">
        <v>588576.44999999995</v>
      </c>
      <c r="Q214" s="11">
        <v>3447376.35</v>
      </c>
      <c r="R214">
        <f>VLOOKUP(E214,'IVA COMPRAS'!K:P,6,FALSE)</f>
        <v>-3447376.35</v>
      </c>
    </row>
    <row r="215" spans="1:18" hidden="1" x14ac:dyDescent="0.25">
      <c r="A215" s="7" t="s">
        <v>783</v>
      </c>
      <c r="B215" s="7" t="s">
        <v>717</v>
      </c>
      <c r="C215" s="9">
        <v>12</v>
      </c>
      <c r="D215" s="9">
        <v>54848</v>
      </c>
      <c r="E215" s="7" t="str">
        <f t="shared" si="3"/>
        <v>307089380211254848</v>
      </c>
      <c r="F215" s="9">
        <v>74261828968663</v>
      </c>
      <c r="G215" s="7" t="s">
        <v>718</v>
      </c>
      <c r="H215" s="9">
        <v>30708938021</v>
      </c>
      <c r="I215" s="7" t="s">
        <v>753</v>
      </c>
      <c r="J215" s="9">
        <v>1</v>
      </c>
      <c r="K215" s="7" t="s">
        <v>719</v>
      </c>
      <c r="L215" s="11">
        <v>5605480</v>
      </c>
      <c r="M215" s="11">
        <v>0</v>
      </c>
      <c r="N215" s="11">
        <v>0</v>
      </c>
      <c r="O215" s="11">
        <v>0</v>
      </c>
      <c r="P215" s="11">
        <v>1177150.8</v>
      </c>
      <c r="Q215" s="11">
        <v>6894740.4000000004</v>
      </c>
      <c r="R215">
        <f>VLOOKUP(E215,'IVA COMPRAS'!K:P,6,FALSE)</f>
        <v>6894740.4000000004</v>
      </c>
    </row>
    <row r="216" spans="1:18" hidden="1" x14ac:dyDescent="0.25">
      <c r="A216" s="7" t="s">
        <v>716</v>
      </c>
      <c r="B216" s="7" t="s">
        <v>717</v>
      </c>
      <c r="C216" s="9">
        <v>622</v>
      </c>
      <c r="D216" s="9">
        <v>283753</v>
      </c>
      <c r="E216" s="7" t="str">
        <f t="shared" si="3"/>
        <v>30682032630622283753</v>
      </c>
      <c r="F216" s="9">
        <v>34220184343781</v>
      </c>
      <c r="G216" s="7" t="s">
        <v>718</v>
      </c>
      <c r="H216" s="9">
        <v>30682032630</v>
      </c>
      <c r="I216" s="7" t="s">
        <v>720</v>
      </c>
      <c r="J216" s="9">
        <v>1</v>
      </c>
      <c r="K216" s="7" t="s">
        <v>719</v>
      </c>
      <c r="L216" s="11">
        <v>1533727.14</v>
      </c>
      <c r="M216" s="11">
        <v>0</v>
      </c>
      <c r="N216" s="11">
        <v>0</v>
      </c>
      <c r="O216" s="11">
        <v>0</v>
      </c>
      <c r="P216" s="11">
        <v>322082.7</v>
      </c>
      <c r="Q216" s="11">
        <v>1970839.35</v>
      </c>
      <c r="R216">
        <f>VLOOKUP(E216,'IVA COMPRAS'!K:P,6,FALSE)</f>
        <v>1970839.35</v>
      </c>
    </row>
    <row r="217" spans="1:18" hidden="1" x14ac:dyDescent="0.25">
      <c r="A217" s="7" t="s">
        <v>726</v>
      </c>
      <c r="B217" s="7" t="s">
        <v>722</v>
      </c>
      <c r="C217" s="9">
        <v>622</v>
      </c>
      <c r="D217" s="9">
        <v>113410</v>
      </c>
      <c r="E217" s="7" t="str">
        <f t="shared" si="3"/>
        <v>30682032630622113410</v>
      </c>
      <c r="F217" s="9">
        <v>34220184343781</v>
      </c>
      <c r="G217" s="7" t="s">
        <v>718</v>
      </c>
      <c r="H217" s="9">
        <v>30682032630</v>
      </c>
      <c r="I217" s="7" t="s">
        <v>720</v>
      </c>
      <c r="J217" s="9">
        <v>1</v>
      </c>
      <c r="K217" s="7" t="s">
        <v>719</v>
      </c>
      <c r="L217" s="11">
        <v>119221.43</v>
      </c>
      <c r="M217" s="11">
        <v>0</v>
      </c>
      <c r="N217" s="11">
        <v>0</v>
      </c>
      <c r="O217" s="11">
        <v>0</v>
      </c>
      <c r="P217" s="11">
        <v>25036.5</v>
      </c>
      <c r="Q217" s="11">
        <v>153795.63</v>
      </c>
      <c r="R217">
        <f>VLOOKUP(E217,'IVA COMPRAS'!K:P,6,FALSE)</f>
        <v>-153795.63</v>
      </c>
    </row>
    <row r="218" spans="1:18" hidden="1" x14ac:dyDescent="0.25">
      <c r="A218" s="7" t="s">
        <v>747</v>
      </c>
      <c r="B218" s="7" t="s">
        <v>717</v>
      </c>
      <c r="C218" s="9">
        <v>622</v>
      </c>
      <c r="D218" s="9">
        <v>285040</v>
      </c>
      <c r="E218" s="7" t="str">
        <f t="shared" si="3"/>
        <v>30682032630622285040</v>
      </c>
      <c r="F218" s="9">
        <v>34220184343781</v>
      </c>
      <c r="G218" s="7" t="s">
        <v>718</v>
      </c>
      <c r="H218" s="9">
        <v>30682032630</v>
      </c>
      <c r="I218" s="7" t="s">
        <v>720</v>
      </c>
      <c r="J218" s="9">
        <v>1</v>
      </c>
      <c r="K218" s="7" t="s">
        <v>719</v>
      </c>
      <c r="L218" s="11">
        <v>265575.24</v>
      </c>
      <c r="M218" s="11">
        <v>0</v>
      </c>
      <c r="N218" s="11">
        <v>0</v>
      </c>
      <c r="O218" s="11">
        <v>0</v>
      </c>
      <c r="P218" s="11">
        <v>55770.8</v>
      </c>
      <c r="Q218" s="11">
        <v>341264.18</v>
      </c>
      <c r="R218">
        <f>VLOOKUP(E218,'IVA COMPRAS'!K:P,6,FALSE)</f>
        <v>341264.18</v>
      </c>
    </row>
    <row r="219" spans="1:18" hidden="1" x14ac:dyDescent="0.25">
      <c r="A219" s="7" t="s">
        <v>763</v>
      </c>
      <c r="B219" s="7" t="s">
        <v>717</v>
      </c>
      <c r="C219" s="9">
        <v>622</v>
      </c>
      <c r="D219" s="9">
        <v>287179</v>
      </c>
      <c r="E219" s="7" t="str">
        <f t="shared" si="3"/>
        <v>30682032630622287179</v>
      </c>
      <c r="F219" s="9">
        <v>34220184343781</v>
      </c>
      <c r="G219" s="7" t="s">
        <v>718</v>
      </c>
      <c r="H219" s="9">
        <v>30682032630</v>
      </c>
      <c r="I219" s="7" t="s">
        <v>720</v>
      </c>
      <c r="J219" s="9">
        <v>1</v>
      </c>
      <c r="K219" s="7" t="s">
        <v>719</v>
      </c>
      <c r="L219" s="11">
        <v>693876.19</v>
      </c>
      <c r="M219" s="11">
        <v>0</v>
      </c>
      <c r="N219" s="11">
        <v>0</v>
      </c>
      <c r="O219" s="11">
        <v>0</v>
      </c>
      <c r="P219" s="11">
        <v>145714</v>
      </c>
      <c r="Q219" s="11">
        <v>891630.88</v>
      </c>
      <c r="R219">
        <f>VLOOKUP(E219,'IVA COMPRAS'!K:P,6,FALSE)</f>
        <v>891630.88</v>
      </c>
    </row>
    <row r="220" spans="1:18" hidden="1" x14ac:dyDescent="0.25">
      <c r="A220" s="7" t="s">
        <v>774</v>
      </c>
      <c r="B220" s="7" t="s">
        <v>717</v>
      </c>
      <c r="C220" s="9">
        <v>622</v>
      </c>
      <c r="D220" s="9">
        <v>289191</v>
      </c>
      <c r="E220" s="7" t="str">
        <f t="shared" si="3"/>
        <v>30682032630622289191</v>
      </c>
      <c r="F220" s="9">
        <v>34240960015486</v>
      </c>
      <c r="G220" s="7" t="s">
        <v>718</v>
      </c>
      <c r="H220" s="9">
        <v>30682032630</v>
      </c>
      <c r="I220" s="7" t="s">
        <v>720</v>
      </c>
      <c r="J220" s="9">
        <v>1</v>
      </c>
      <c r="K220" s="7" t="s">
        <v>719</v>
      </c>
      <c r="L220" s="11">
        <v>263633.19</v>
      </c>
      <c r="M220" s="11">
        <v>0</v>
      </c>
      <c r="N220" s="11">
        <v>0</v>
      </c>
      <c r="O220" s="11">
        <v>0</v>
      </c>
      <c r="P220" s="11">
        <v>55362.97</v>
      </c>
      <c r="Q220" s="11">
        <v>338768.64000000001</v>
      </c>
      <c r="R220">
        <f>VLOOKUP(E220,'IVA COMPRAS'!K:P,6,FALSE)</f>
        <v>338768.64000000001</v>
      </c>
    </row>
    <row r="221" spans="1:18" hidden="1" x14ac:dyDescent="0.25">
      <c r="A221" s="7" t="s">
        <v>783</v>
      </c>
      <c r="B221" s="7" t="s">
        <v>717</v>
      </c>
      <c r="C221" s="9">
        <v>622</v>
      </c>
      <c r="D221" s="9">
        <v>291059</v>
      </c>
      <c r="E221" s="7" t="str">
        <f t="shared" si="3"/>
        <v>30682032630622291059</v>
      </c>
      <c r="F221" s="9">
        <v>34240960015486</v>
      </c>
      <c r="G221" s="7" t="s">
        <v>718</v>
      </c>
      <c r="H221" s="9">
        <v>30682032630</v>
      </c>
      <c r="I221" s="7" t="s">
        <v>720</v>
      </c>
      <c r="J221" s="9">
        <v>1</v>
      </c>
      <c r="K221" s="7" t="s">
        <v>719</v>
      </c>
      <c r="L221" s="11">
        <v>696319.05</v>
      </c>
      <c r="M221" s="11">
        <v>0</v>
      </c>
      <c r="N221" s="11">
        <v>0</v>
      </c>
      <c r="O221" s="11">
        <v>0</v>
      </c>
      <c r="P221" s="11">
        <v>146227</v>
      </c>
      <c r="Q221" s="11">
        <v>894769.99</v>
      </c>
      <c r="R221">
        <f>VLOOKUP(E221,'IVA COMPRAS'!K:P,6,FALSE)</f>
        <v>894769.99</v>
      </c>
    </row>
    <row r="222" spans="1:18" hidden="1" x14ac:dyDescent="0.25">
      <c r="A222" s="7" t="s">
        <v>786</v>
      </c>
      <c r="B222" s="7" t="s">
        <v>717</v>
      </c>
      <c r="C222" s="9">
        <v>2</v>
      </c>
      <c r="D222" s="9">
        <v>2221</v>
      </c>
      <c r="E222" s="7" t="str">
        <f t="shared" si="3"/>
        <v>2022241306122221</v>
      </c>
      <c r="F222" s="9">
        <v>74261001168061</v>
      </c>
      <c r="G222" s="7" t="s">
        <v>718</v>
      </c>
      <c r="H222" s="9">
        <v>20222413061</v>
      </c>
      <c r="I222" s="7" t="s">
        <v>552</v>
      </c>
      <c r="J222" s="9">
        <v>1</v>
      </c>
      <c r="K222" s="7" t="s">
        <v>719</v>
      </c>
      <c r="L222" s="11">
        <v>39000</v>
      </c>
      <c r="M222" s="11">
        <v>0</v>
      </c>
      <c r="N222" s="11">
        <v>0</v>
      </c>
      <c r="O222" s="11">
        <v>0</v>
      </c>
      <c r="P222" s="11">
        <v>8190</v>
      </c>
      <c r="Q222" s="11">
        <v>47190</v>
      </c>
      <c r="R222">
        <f>VLOOKUP(E222,'IVA COMPRAS'!K:P,6,FALSE)</f>
        <v>47190</v>
      </c>
    </row>
    <row r="223" spans="1:18" hidden="1" x14ac:dyDescent="0.25">
      <c r="A223" s="7" t="s">
        <v>726</v>
      </c>
      <c r="B223" s="7" t="s">
        <v>722</v>
      </c>
      <c r="C223" s="9">
        <v>2020</v>
      </c>
      <c r="D223" s="9">
        <v>4432</v>
      </c>
      <c r="E223" s="7" t="str">
        <f t="shared" si="3"/>
        <v>3050076826220204432</v>
      </c>
      <c r="F223" s="9">
        <v>34222649295504</v>
      </c>
      <c r="G223" s="7" t="s">
        <v>718</v>
      </c>
      <c r="H223" s="9">
        <v>30500768262</v>
      </c>
      <c r="I223" s="7" t="s">
        <v>729</v>
      </c>
      <c r="J223" s="9">
        <v>1</v>
      </c>
      <c r="K223" s="7" t="s">
        <v>719</v>
      </c>
      <c r="L223" s="11">
        <v>786418.38</v>
      </c>
      <c r="M223" s="11">
        <v>0</v>
      </c>
      <c r="N223" s="11">
        <v>0</v>
      </c>
      <c r="O223" s="11">
        <v>0</v>
      </c>
      <c r="P223" s="11">
        <v>165147.85999999999</v>
      </c>
      <c r="Q223" s="11">
        <v>975158.78</v>
      </c>
      <c r="R223">
        <f>VLOOKUP(E223,'IVA COMPRAS'!K:P,6,FALSE)</f>
        <v>-975158.78</v>
      </c>
    </row>
    <row r="224" spans="1:18" hidden="1" x14ac:dyDescent="0.25">
      <c r="A224" s="7" t="s">
        <v>726</v>
      </c>
      <c r="B224" s="7" t="s">
        <v>722</v>
      </c>
      <c r="C224" s="9">
        <v>2020</v>
      </c>
      <c r="D224" s="9">
        <v>4433</v>
      </c>
      <c r="E224" s="7" t="str">
        <f t="shared" si="3"/>
        <v>3050076826220204433</v>
      </c>
      <c r="F224" s="9">
        <v>34222649295504</v>
      </c>
      <c r="G224" s="7" t="s">
        <v>718</v>
      </c>
      <c r="H224" s="9">
        <v>30500768262</v>
      </c>
      <c r="I224" s="7" t="s">
        <v>729</v>
      </c>
      <c r="J224" s="9">
        <v>1</v>
      </c>
      <c r="K224" s="7" t="s">
        <v>719</v>
      </c>
      <c r="L224" s="11">
        <v>90862.57</v>
      </c>
      <c r="M224" s="11">
        <v>0</v>
      </c>
      <c r="N224" s="11">
        <v>0</v>
      </c>
      <c r="O224" s="11">
        <v>0</v>
      </c>
      <c r="P224" s="11">
        <v>19081.14</v>
      </c>
      <c r="Q224" s="11">
        <v>112669.61</v>
      </c>
      <c r="R224">
        <f>VLOOKUP(E224,'IVA COMPRAS'!K:P,6,FALSE)</f>
        <v>-112669.61</v>
      </c>
    </row>
    <row r="225" spans="1:18" hidden="1" x14ac:dyDescent="0.25">
      <c r="A225" s="7" t="s">
        <v>726</v>
      </c>
      <c r="B225" s="7" t="s">
        <v>722</v>
      </c>
      <c r="C225" s="9">
        <v>2020</v>
      </c>
      <c r="D225" s="9">
        <v>4434</v>
      </c>
      <c r="E225" s="7" t="str">
        <f t="shared" si="3"/>
        <v>3050076826220204434</v>
      </c>
      <c r="F225" s="9">
        <v>34222649295504</v>
      </c>
      <c r="G225" s="7" t="s">
        <v>718</v>
      </c>
      <c r="H225" s="9">
        <v>30500768262</v>
      </c>
      <c r="I225" s="7" t="s">
        <v>729</v>
      </c>
      <c r="J225" s="9">
        <v>1</v>
      </c>
      <c r="K225" s="7" t="s">
        <v>719</v>
      </c>
      <c r="L225" s="11">
        <v>77358.100000000006</v>
      </c>
      <c r="M225" s="11">
        <v>0</v>
      </c>
      <c r="N225" s="11">
        <v>0</v>
      </c>
      <c r="O225" s="11">
        <v>0</v>
      </c>
      <c r="P225" s="11">
        <v>16245.2</v>
      </c>
      <c r="Q225" s="11">
        <v>95924.02</v>
      </c>
      <c r="R225">
        <f>VLOOKUP(E225,'IVA COMPRAS'!K:P,6,FALSE)</f>
        <v>-95924.02</v>
      </c>
    </row>
    <row r="226" spans="1:18" hidden="1" x14ac:dyDescent="0.25">
      <c r="A226" s="7" t="s">
        <v>747</v>
      </c>
      <c r="B226" s="7" t="s">
        <v>717</v>
      </c>
      <c r="C226" s="9">
        <v>2002</v>
      </c>
      <c r="D226" s="9">
        <v>290094</v>
      </c>
      <c r="E226" s="7" t="str">
        <f t="shared" si="3"/>
        <v>305007682622002290094</v>
      </c>
      <c r="F226" s="9">
        <v>34222649295504</v>
      </c>
      <c r="G226" s="7" t="s">
        <v>718</v>
      </c>
      <c r="H226" s="9">
        <v>30500768262</v>
      </c>
      <c r="I226" s="7" t="s">
        <v>729</v>
      </c>
      <c r="J226" s="9">
        <v>1</v>
      </c>
      <c r="K226" s="7" t="s">
        <v>719</v>
      </c>
      <c r="L226" s="11">
        <v>3556063.43</v>
      </c>
      <c r="M226" s="11">
        <v>0</v>
      </c>
      <c r="N226" s="11">
        <v>0</v>
      </c>
      <c r="O226" s="11">
        <v>0</v>
      </c>
      <c r="P226" s="11">
        <v>746773.32</v>
      </c>
      <c r="Q226" s="11">
        <v>4569541.47</v>
      </c>
      <c r="R226">
        <f>VLOOKUP(E226,'IVA COMPRAS'!K:P,6,FALSE)</f>
        <v>4569541.47</v>
      </c>
    </row>
    <row r="227" spans="1:18" hidden="1" x14ac:dyDescent="0.25">
      <c r="A227" s="7" t="s">
        <v>749</v>
      </c>
      <c r="B227" s="7" t="s">
        <v>717</v>
      </c>
      <c r="C227" s="9">
        <v>2002</v>
      </c>
      <c r="D227" s="9">
        <v>290321</v>
      </c>
      <c r="E227" s="7" t="str">
        <f t="shared" si="3"/>
        <v>305007682622002290321</v>
      </c>
      <c r="F227" s="9">
        <v>34222649295504</v>
      </c>
      <c r="G227" s="7" t="s">
        <v>718</v>
      </c>
      <c r="H227" s="9">
        <v>30500768262</v>
      </c>
      <c r="I227" s="7" t="s">
        <v>729</v>
      </c>
      <c r="J227" s="9">
        <v>1</v>
      </c>
      <c r="K227" s="7" t="s">
        <v>719</v>
      </c>
      <c r="L227" s="11">
        <v>3691129.38</v>
      </c>
      <c r="M227" s="11">
        <v>0</v>
      </c>
      <c r="N227" s="11">
        <v>0</v>
      </c>
      <c r="O227" s="11">
        <v>0</v>
      </c>
      <c r="P227" s="11">
        <v>775137.17</v>
      </c>
      <c r="Q227" s="11">
        <v>4743101.2300000004</v>
      </c>
      <c r="R227">
        <f>VLOOKUP(E227,'IVA COMPRAS'!K:P,6,FALSE)</f>
        <v>4743101.2300000004</v>
      </c>
    </row>
    <row r="228" spans="1:18" hidden="1" x14ac:dyDescent="0.25">
      <c r="A228" s="7" t="s">
        <v>752</v>
      </c>
      <c r="B228" s="7" t="s">
        <v>722</v>
      </c>
      <c r="C228" s="9">
        <v>2020</v>
      </c>
      <c r="D228" s="9">
        <v>4460</v>
      </c>
      <c r="E228" s="7" t="str">
        <f t="shared" si="3"/>
        <v>3050076826220204460</v>
      </c>
      <c r="F228" s="9">
        <v>34222649295504</v>
      </c>
      <c r="G228" s="7" t="s">
        <v>718</v>
      </c>
      <c r="H228" s="9">
        <v>30500768262</v>
      </c>
      <c r="I228" s="7" t="s">
        <v>729</v>
      </c>
      <c r="J228" s="9">
        <v>1</v>
      </c>
      <c r="K228" s="7" t="s">
        <v>719</v>
      </c>
      <c r="L228" s="11">
        <v>1199000</v>
      </c>
      <c r="M228" s="11">
        <v>0</v>
      </c>
      <c r="N228" s="11">
        <v>0</v>
      </c>
      <c r="O228" s="11">
        <v>0</v>
      </c>
      <c r="P228" s="11">
        <v>251790</v>
      </c>
      <c r="Q228" s="11">
        <v>1486760</v>
      </c>
      <c r="R228">
        <f>VLOOKUP(E228,'IVA COMPRAS'!K:P,6,FALSE)</f>
        <v>-1486760</v>
      </c>
    </row>
    <row r="229" spans="1:18" hidden="1" x14ac:dyDescent="0.25">
      <c r="A229" s="7" t="s">
        <v>755</v>
      </c>
      <c r="B229" s="7" t="s">
        <v>717</v>
      </c>
      <c r="C229" s="9">
        <v>2002</v>
      </c>
      <c r="D229" s="9">
        <v>290737</v>
      </c>
      <c r="E229" s="7" t="str">
        <f t="shared" si="3"/>
        <v>305007682622002290737</v>
      </c>
      <c r="F229" s="9">
        <v>34222649295504</v>
      </c>
      <c r="G229" s="7" t="s">
        <v>718</v>
      </c>
      <c r="H229" s="9">
        <v>30500768262</v>
      </c>
      <c r="I229" s="7" t="s">
        <v>729</v>
      </c>
      <c r="J229" s="9">
        <v>1</v>
      </c>
      <c r="K229" s="7" t="s">
        <v>719</v>
      </c>
      <c r="L229" s="11">
        <v>9092502.2400000002</v>
      </c>
      <c r="M229" s="11">
        <v>0</v>
      </c>
      <c r="N229" s="11">
        <v>0</v>
      </c>
      <c r="O229" s="11">
        <v>0</v>
      </c>
      <c r="P229" s="11">
        <v>1909425.47</v>
      </c>
      <c r="Q229" s="11">
        <v>11683865.390000001</v>
      </c>
      <c r="R229">
        <f>VLOOKUP(E229,'IVA COMPRAS'!K:P,6,FALSE)</f>
        <v>11683865.390000001</v>
      </c>
    </row>
    <row r="230" spans="1:18" hidden="1" x14ac:dyDescent="0.25">
      <c r="A230" s="7" t="s">
        <v>763</v>
      </c>
      <c r="B230" s="7" t="s">
        <v>717</v>
      </c>
      <c r="C230" s="9">
        <v>2002</v>
      </c>
      <c r="D230" s="9">
        <v>290944</v>
      </c>
      <c r="E230" s="7" t="str">
        <f t="shared" si="3"/>
        <v>305007682622002290944</v>
      </c>
      <c r="F230" s="9">
        <v>34222649295504</v>
      </c>
      <c r="G230" s="7" t="s">
        <v>718</v>
      </c>
      <c r="H230" s="9">
        <v>30500768262</v>
      </c>
      <c r="I230" s="7" t="s">
        <v>729</v>
      </c>
      <c r="J230" s="9">
        <v>1</v>
      </c>
      <c r="K230" s="7" t="s">
        <v>719</v>
      </c>
      <c r="L230" s="11">
        <v>13158640.140000001</v>
      </c>
      <c r="M230" s="11">
        <v>0</v>
      </c>
      <c r="N230" s="11">
        <v>0</v>
      </c>
      <c r="O230" s="11">
        <v>0</v>
      </c>
      <c r="P230" s="11">
        <v>2763314.43</v>
      </c>
      <c r="Q230" s="11">
        <v>16908852.539999999</v>
      </c>
      <c r="R230">
        <f>VLOOKUP(E230,'IVA COMPRAS'!K:P,6,FALSE)</f>
        <v>16908852.539999999</v>
      </c>
    </row>
    <row r="231" spans="1:18" hidden="1" x14ac:dyDescent="0.25">
      <c r="A231" s="7" t="s">
        <v>765</v>
      </c>
      <c r="B231" s="7" t="s">
        <v>717</v>
      </c>
      <c r="C231" s="9">
        <v>2002</v>
      </c>
      <c r="D231" s="9">
        <v>291209</v>
      </c>
      <c r="E231" s="7" t="str">
        <f t="shared" si="3"/>
        <v>305007682622002291209</v>
      </c>
      <c r="F231" s="9">
        <v>34222649295504</v>
      </c>
      <c r="G231" s="7" t="s">
        <v>718</v>
      </c>
      <c r="H231" s="9">
        <v>30500768262</v>
      </c>
      <c r="I231" s="7" t="s">
        <v>729</v>
      </c>
      <c r="J231" s="9">
        <v>1</v>
      </c>
      <c r="K231" s="7" t="s">
        <v>719</v>
      </c>
      <c r="L231" s="11">
        <v>315100.48</v>
      </c>
      <c r="M231" s="11">
        <v>0</v>
      </c>
      <c r="N231" s="11">
        <v>0</v>
      </c>
      <c r="O231" s="11">
        <v>0</v>
      </c>
      <c r="P231" s="11">
        <v>66171.100000000006</v>
      </c>
      <c r="Q231" s="11">
        <v>404904.11</v>
      </c>
      <c r="R231">
        <f>VLOOKUP(E231,'IVA COMPRAS'!K:P,6,FALSE)</f>
        <v>404904.11</v>
      </c>
    </row>
    <row r="232" spans="1:18" hidden="1" x14ac:dyDescent="0.25">
      <c r="A232" s="7" t="s">
        <v>765</v>
      </c>
      <c r="B232" s="7" t="s">
        <v>717</v>
      </c>
      <c r="C232" s="9">
        <v>2002</v>
      </c>
      <c r="D232" s="9">
        <v>291210</v>
      </c>
      <c r="E232" s="7" t="str">
        <f t="shared" si="3"/>
        <v>305007682622002291210</v>
      </c>
      <c r="F232" s="9">
        <v>34222649295504</v>
      </c>
      <c r="G232" s="7" t="s">
        <v>718</v>
      </c>
      <c r="H232" s="9">
        <v>30500768262</v>
      </c>
      <c r="I232" s="7" t="s">
        <v>729</v>
      </c>
      <c r="J232" s="9">
        <v>1</v>
      </c>
      <c r="K232" s="7" t="s">
        <v>719</v>
      </c>
      <c r="L232" s="11">
        <v>7068774.4800000004</v>
      </c>
      <c r="M232" s="11">
        <v>0</v>
      </c>
      <c r="N232" s="11">
        <v>0</v>
      </c>
      <c r="O232" s="11">
        <v>0</v>
      </c>
      <c r="P232" s="11">
        <v>1484442.64</v>
      </c>
      <c r="Q232" s="11">
        <v>9083375.3000000007</v>
      </c>
      <c r="R232">
        <f>VLOOKUP(E232,'IVA COMPRAS'!K:P,6,FALSE)</f>
        <v>9083375.3000000007</v>
      </c>
    </row>
    <row r="233" spans="1:18" hidden="1" x14ac:dyDescent="0.25">
      <c r="A233" s="7" t="s">
        <v>774</v>
      </c>
      <c r="B233" s="7" t="s">
        <v>717</v>
      </c>
      <c r="C233" s="9">
        <v>2002</v>
      </c>
      <c r="D233" s="9">
        <v>291774</v>
      </c>
      <c r="E233" s="7" t="str">
        <f t="shared" si="3"/>
        <v>305007682622002291774</v>
      </c>
      <c r="F233" s="9">
        <v>34242792167273</v>
      </c>
      <c r="G233" s="7" t="s">
        <v>718</v>
      </c>
      <c r="H233" s="9">
        <v>30500768262</v>
      </c>
      <c r="I233" s="7" t="s">
        <v>729</v>
      </c>
      <c r="J233" s="9">
        <v>1</v>
      </c>
      <c r="K233" s="7" t="s">
        <v>719</v>
      </c>
      <c r="L233" s="11">
        <v>5822465.5700000003</v>
      </c>
      <c r="M233" s="11">
        <v>0</v>
      </c>
      <c r="N233" s="11">
        <v>0</v>
      </c>
      <c r="O233" s="11">
        <v>0</v>
      </c>
      <c r="P233" s="11">
        <v>1222717.77</v>
      </c>
      <c r="Q233" s="11">
        <v>7481868.2800000003</v>
      </c>
      <c r="R233">
        <f>VLOOKUP(E233,'IVA COMPRAS'!K:P,6,FALSE)</f>
        <v>7481868.2800000003</v>
      </c>
    </row>
    <row r="234" spans="1:18" hidden="1" x14ac:dyDescent="0.25">
      <c r="A234" s="7" t="s">
        <v>774</v>
      </c>
      <c r="B234" s="7" t="s">
        <v>717</v>
      </c>
      <c r="C234" s="9">
        <v>2002</v>
      </c>
      <c r="D234" s="9">
        <v>291775</v>
      </c>
      <c r="E234" s="7" t="str">
        <f t="shared" si="3"/>
        <v>305007682622002291775</v>
      </c>
      <c r="F234" s="9">
        <v>34242792167273</v>
      </c>
      <c r="G234" s="7" t="s">
        <v>718</v>
      </c>
      <c r="H234" s="9">
        <v>30500768262</v>
      </c>
      <c r="I234" s="7" t="s">
        <v>729</v>
      </c>
      <c r="J234" s="9">
        <v>1</v>
      </c>
      <c r="K234" s="7" t="s">
        <v>719</v>
      </c>
      <c r="L234" s="11">
        <v>9536288.8100000005</v>
      </c>
      <c r="M234" s="11">
        <v>0</v>
      </c>
      <c r="N234" s="11">
        <v>0</v>
      </c>
      <c r="O234" s="11">
        <v>0</v>
      </c>
      <c r="P234" s="11">
        <v>2002620.65</v>
      </c>
      <c r="Q234" s="11">
        <v>12254131.09</v>
      </c>
      <c r="R234">
        <f>VLOOKUP(E234,'IVA COMPRAS'!K:P,6,FALSE)</f>
        <v>12254131.09</v>
      </c>
    </row>
    <row r="235" spans="1:18" hidden="1" x14ac:dyDescent="0.25">
      <c r="A235" s="7" t="s">
        <v>782</v>
      </c>
      <c r="B235" s="7" t="s">
        <v>717</v>
      </c>
      <c r="C235" s="9">
        <v>2002</v>
      </c>
      <c r="D235" s="9">
        <v>292474</v>
      </c>
      <c r="E235" s="7" t="str">
        <f t="shared" si="3"/>
        <v>305007682622002292474</v>
      </c>
      <c r="F235" s="9">
        <v>34242792167273</v>
      </c>
      <c r="G235" s="7" t="s">
        <v>718</v>
      </c>
      <c r="H235" s="9">
        <v>30500768262</v>
      </c>
      <c r="I235" s="7" t="s">
        <v>729</v>
      </c>
      <c r="J235" s="9">
        <v>1</v>
      </c>
      <c r="K235" s="7" t="s">
        <v>719</v>
      </c>
      <c r="L235" s="11">
        <v>5408054.4800000004</v>
      </c>
      <c r="M235" s="11">
        <v>0</v>
      </c>
      <c r="N235" s="11">
        <v>0</v>
      </c>
      <c r="O235" s="11">
        <v>0</v>
      </c>
      <c r="P235" s="11">
        <v>1135691.44</v>
      </c>
      <c r="Q235" s="11">
        <v>6949350.0199999996</v>
      </c>
      <c r="R235">
        <f>VLOOKUP(E235,'IVA COMPRAS'!K:P,6,FALSE)</f>
        <v>6949350.0199999996</v>
      </c>
    </row>
    <row r="236" spans="1:18" hidden="1" x14ac:dyDescent="0.25">
      <c r="A236" s="7" t="s">
        <v>786</v>
      </c>
      <c r="B236" s="7" t="s">
        <v>717</v>
      </c>
      <c r="C236" s="9">
        <v>2002</v>
      </c>
      <c r="D236" s="9">
        <v>292735</v>
      </c>
      <c r="E236" s="7" t="str">
        <f t="shared" si="3"/>
        <v>305007682622002292735</v>
      </c>
      <c r="F236" s="9">
        <v>34242792167273</v>
      </c>
      <c r="G236" s="7" t="s">
        <v>718</v>
      </c>
      <c r="H236" s="9">
        <v>30500768262</v>
      </c>
      <c r="I236" s="7" t="s">
        <v>729</v>
      </c>
      <c r="J236" s="9">
        <v>1</v>
      </c>
      <c r="K236" s="7" t="s">
        <v>719</v>
      </c>
      <c r="L236" s="11">
        <v>6550917.6699999999</v>
      </c>
      <c r="M236" s="11">
        <v>0</v>
      </c>
      <c r="N236" s="11">
        <v>0</v>
      </c>
      <c r="O236" s="11">
        <v>0</v>
      </c>
      <c r="P236" s="11">
        <v>1375692.71</v>
      </c>
      <c r="Q236" s="11">
        <v>8417929.25</v>
      </c>
      <c r="R236">
        <f>VLOOKUP(E236,'IVA COMPRAS'!K:P,6,FALSE)</f>
        <v>8417929.25</v>
      </c>
    </row>
    <row r="237" spans="1:18" hidden="1" x14ac:dyDescent="0.25">
      <c r="A237" s="7" t="s">
        <v>738</v>
      </c>
      <c r="B237" s="7" t="s">
        <v>717</v>
      </c>
      <c r="C237" s="9">
        <v>1152</v>
      </c>
      <c r="D237" s="9">
        <v>71445</v>
      </c>
      <c r="E237" s="7" t="str">
        <f t="shared" si="3"/>
        <v>30507950848115271445</v>
      </c>
      <c r="F237" s="9">
        <v>34228663449020</v>
      </c>
      <c r="G237" s="7" t="s">
        <v>718</v>
      </c>
      <c r="H237" s="9">
        <v>30507950848</v>
      </c>
      <c r="I237" s="7" t="s">
        <v>743</v>
      </c>
      <c r="J237" s="9">
        <v>1</v>
      </c>
      <c r="K237" s="7" t="s">
        <v>719</v>
      </c>
      <c r="L237" s="11">
        <v>1576080</v>
      </c>
      <c r="M237" s="11">
        <v>0</v>
      </c>
      <c r="N237" s="11">
        <v>0</v>
      </c>
      <c r="O237" s="11">
        <v>47282.400000000001</v>
      </c>
      <c r="P237" s="11">
        <v>330976.8</v>
      </c>
      <c r="Q237" s="11">
        <v>2025262.8</v>
      </c>
      <c r="R237">
        <f>VLOOKUP(E237,'IVA COMPRAS'!K:P,6,FALSE)</f>
        <v>2025262.8</v>
      </c>
    </row>
    <row r="238" spans="1:18" hidden="1" x14ac:dyDescent="0.25">
      <c r="A238" s="7" t="s">
        <v>747</v>
      </c>
      <c r="B238" s="7" t="s">
        <v>722</v>
      </c>
      <c r="C238" s="9">
        <v>1152</v>
      </c>
      <c r="D238" s="9">
        <v>6664</v>
      </c>
      <c r="E238" s="7" t="str">
        <f t="shared" si="3"/>
        <v>3050795084811526664</v>
      </c>
      <c r="F238" s="9">
        <v>34228663449020</v>
      </c>
      <c r="G238" s="7" t="s">
        <v>718</v>
      </c>
      <c r="H238" s="9">
        <v>30507950848</v>
      </c>
      <c r="I238" s="7" t="s">
        <v>743</v>
      </c>
      <c r="J238" s="9">
        <v>1</v>
      </c>
      <c r="K238" s="7" t="s">
        <v>719</v>
      </c>
      <c r="L238" s="11">
        <v>4378</v>
      </c>
      <c r="M238" s="11">
        <v>0</v>
      </c>
      <c r="N238" s="11">
        <v>0</v>
      </c>
      <c r="O238" s="11">
        <v>131.34</v>
      </c>
      <c r="P238" s="11">
        <v>919.38</v>
      </c>
      <c r="Q238" s="11">
        <v>5428.72</v>
      </c>
      <c r="R238">
        <f>VLOOKUP(E238,'IVA COMPRAS'!K:P,6,FALSE)</f>
        <v>-5428.72</v>
      </c>
    </row>
    <row r="239" spans="1:18" hidden="1" x14ac:dyDescent="0.25">
      <c r="A239" s="7" t="s">
        <v>771</v>
      </c>
      <c r="B239" s="7" t="s">
        <v>722</v>
      </c>
      <c r="C239" s="9">
        <v>250</v>
      </c>
      <c r="D239" s="9">
        <v>344495</v>
      </c>
      <c r="E239" s="7" t="str">
        <f t="shared" si="3"/>
        <v>30507950848250344495</v>
      </c>
      <c r="F239" s="9">
        <v>34248776841874</v>
      </c>
      <c r="G239" s="7" t="s">
        <v>718</v>
      </c>
      <c r="H239" s="9">
        <v>30507950848</v>
      </c>
      <c r="I239" s="7" t="s">
        <v>743</v>
      </c>
      <c r="J239" s="9">
        <v>1</v>
      </c>
      <c r="K239" s="7" t="s">
        <v>719</v>
      </c>
      <c r="L239" s="11">
        <v>4378</v>
      </c>
      <c r="M239" s="11">
        <v>0</v>
      </c>
      <c r="N239" s="11">
        <v>0</v>
      </c>
      <c r="O239" s="11">
        <v>131.34</v>
      </c>
      <c r="P239" s="11">
        <v>919.38</v>
      </c>
      <c r="Q239" s="11">
        <v>5428.72</v>
      </c>
      <c r="R239">
        <f>VLOOKUP(E239,'IVA COMPRAS'!K:P,6,FALSE)</f>
        <v>-5428.72</v>
      </c>
    </row>
    <row r="240" spans="1:18" hidden="1" x14ac:dyDescent="0.25">
      <c r="A240" s="7" t="s">
        <v>738</v>
      </c>
      <c r="B240" s="7" t="s">
        <v>717</v>
      </c>
      <c r="C240" s="9">
        <v>679</v>
      </c>
      <c r="D240" s="9">
        <v>173926</v>
      </c>
      <c r="E240" s="7" t="str">
        <f t="shared" si="3"/>
        <v>30500858628679173926</v>
      </c>
      <c r="F240" s="9">
        <v>34228261595525</v>
      </c>
      <c r="G240" s="7" t="s">
        <v>718</v>
      </c>
      <c r="H240" s="9">
        <v>30500858628</v>
      </c>
      <c r="I240" s="7" t="s">
        <v>159</v>
      </c>
      <c r="J240" s="9">
        <v>1</v>
      </c>
      <c r="K240" s="7" t="s">
        <v>719</v>
      </c>
      <c r="L240" s="11">
        <v>3008414.9</v>
      </c>
      <c r="M240" s="11"/>
      <c r="N240" s="11"/>
      <c r="O240" s="11">
        <v>0</v>
      </c>
      <c r="P240" s="11">
        <v>631767.13</v>
      </c>
      <c r="Q240" s="11">
        <v>3865813.16</v>
      </c>
      <c r="R240">
        <f>VLOOKUP(E240,'IVA COMPRAS'!K:P,6,FALSE)</f>
        <v>3865813.16</v>
      </c>
    </row>
    <row r="241" spans="1:18" hidden="1" x14ac:dyDescent="0.25">
      <c r="A241" s="7" t="s">
        <v>738</v>
      </c>
      <c r="B241" s="7" t="s">
        <v>717</v>
      </c>
      <c r="C241" s="9">
        <v>679</v>
      </c>
      <c r="D241" s="9">
        <v>173927</v>
      </c>
      <c r="E241" s="7" t="str">
        <f t="shared" si="3"/>
        <v>30500858628679173927</v>
      </c>
      <c r="F241" s="9">
        <v>34228261595525</v>
      </c>
      <c r="G241" s="7" t="s">
        <v>718</v>
      </c>
      <c r="H241" s="9">
        <v>30500858628</v>
      </c>
      <c r="I241" s="7" t="s">
        <v>159</v>
      </c>
      <c r="J241" s="9">
        <v>1</v>
      </c>
      <c r="K241" s="7" t="s">
        <v>719</v>
      </c>
      <c r="L241" s="11">
        <v>3164523.05</v>
      </c>
      <c r="M241" s="11"/>
      <c r="N241" s="11"/>
      <c r="O241" s="11">
        <v>0</v>
      </c>
      <c r="P241" s="11">
        <v>664549.84</v>
      </c>
      <c r="Q241" s="11">
        <v>4066412.1</v>
      </c>
      <c r="R241">
        <f>VLOOKUP(E241,'IVA COMPRAS'!K:P,6,FALSE)</f>
        <v>4066412.1</v>
      </c>
    </row>
    <row r="242" spans="1:18" hidden="1" x14ac:dyDescent="0.25">
      <c r="A242" s="7" t="s">
        <v>738</v>
      </c>
      <c r="B242" s="7" t="s">
        <v>717</v>
      </c>
      <c r="C242" s="9">
        <v>702</v>
      </c>
      <c r="D242" s="9">
        <v>430978</v>
      </c>
      <c r="E242" s="7" t="str">
        <f t="shared" si="3"/>
        <v>30500858628702430978</v>
      </c>
      <c r="F242" s="9">
        <v>34228261595525</v>
      </c>
      <c r="G242" s="7" t="s">
        <v>718</v>
      </c>
      <c r="H242" s="9">
        <v>30500858628</v>
      </c>
      <c r="I242" s="7" t="s">
        <v>159</v>
      </c>
      <c r="J242" s="9">
        <v>1</v>
      </c>
      <c r="K242" s="7" t="s">
        <v>719</v>
      </c>
      <c r="L242" s="11">
        <v>401121.95</v>
      </c>
      <c r="M242" s="11"/>
      <c r="N242" s="11"/>
      <c r="O242" s="11">
        <v>0</v>
      </c>
      <c r="P242" s="11">
        <v>84235.61</v>
      </c>
      <c r="Q242" s="11">
        <v>515441.75</v>
      </c>
      <c r="R242">
        <f>VLOOKUP(E242,'IVA COMPRAS'!K:P,6,FALSE)</f>
        <v>515441.76</v>
      </c>
    </row>
    <row r="243" spans="1:18" hidden="1" x14ac:dyDescent="0.25">
      <c r="A243" s="7" t="s">
        <v>738</v>
      </c>
      <c r="B243" s="7" t="s">
        <v>717</v>
      </c>
      <c r="C243" s="9">
        <v>702</v>
      </c>
      <c r="D243" s="9">
        <v>430979</v>
      </c>
      <c r="E243" s="7" t="str">
        <f t="shared" si="3"/>
        <v>30500858628702430979</v>
      </c>
      <c r="F243" s="9">
        <v>34228261595525</v>
      </c>
      <c r="G243" s="7" t="s">
        <v>718</v>
      </c>
      <c r="H243" s="9">
        <v>30500858628</v>
      </c>
      <c r="I243" s="7" t="s">
        <v>159</v>
      </c>
      <c r="J243" s="9">
        <v>1</v>
      </c>
      <c r="K243" s="7" t="s">
        <v>719</v>
      </c>
      <c r="L243" s="11">
        <v>5087311.1900000004</v>
      </c>
      <c r="M243" s="11"/>
      <c r="N243" s="11"/>
      <c r="O243" s="11">
        <v>0</v>
      </c>
      <c r="P243" s="11">
        <v>1068335.3500000001</v>
      </c>
      <c r="Q243" s="11">
        <v>6537194.8200000003</v>
      </c>
      <c r="R243">
        <f>VLOOKUP(E243,'IVA COMPRAS'!K:P,6,FALSE)</f>
        <v>6537194.7999999998</v>
      </c>
    </row>
    <row r="244" spans="1:18" hidden="1" x14ac:dyDescent="0.25">
      <c r="A244" s="7" t="s">
        <v>772</v>
      </c>
      <c r="B244" s="7" t="s">
        <v>717</v>
      </c>
      <c r="C244" s="9">
        <v>702</v>
      </c>
      <c r="D244" s="9">
        <v>432872</v>
      </c>
      <c r="E244" s="7" t="str">
        <f t="shared" si="3"/>
        <v>30500858628702432872</v>
      </c>
      <c r="F244" s="9">
        <v>34248384691775</v>
      </c>
      <c r="G244" s="7" t="s">
        <v>718</v>
      </c>
      <c r="H244" s="9">
        <v>30500858628</v>
      </c>
      <c r="I244" s="7" t="s">
        <v>159</v>
      </c>
      <c r="J244" s="9">
        <v>1</v>
      </c>
      <c r="K244" s="7" t="s">
        <v>719</v>
      </c>
      <c r="L244" s="11">
        <v>551410.62</v>
      </c>
      <c r="M244" s="11"/>
      <c r="N244" s="11"/>
      <c r="O244" s="11">
        <v>0</v>
      </c>
      <c r="P244" s="11">
        <v>115796.23</v>
      </c>
      <c r="Q244" s="11">
        <v>708562.66</v>
      </c>
      <c r="R244">
        <f>VLOOKUP(E244,'IVA COMPRAS'!K:P,6,FALSE)</f>
        <v>708562.66</v>
      </c>
    </row>
    <row r="245" spans="1:18" hidden="1" x14ac:dyDescent="0.25">
      <c r="A245" s="7" t="s">
        <v>772</v>
      </c>
      <c r="B245" s="7" t="s">
        <v>717</v>
      </c>
      <c r="C245" s="9">
        <v>702</v>
      </c>
      <c r="D245" s="9">
        <v>432873</v>
      </c>
      <c r="E245" s="7" t="str">
        <f t="shared" si="3"/>
        <v>30500858628702432873</v>
      </c>
      <c r="F245" s="9">
        <v>34248384691775</v>
      </c>
      <c r="G245" s="7" t="s">
        <v>718</v>
      </c>
      <c r="H245" s="9">
        <v>30500858628</v>
      </c>
      <c r="I245" s="7" t="s">
        <v>159</v>
      </c>
      <c r="J245" s="9">
        <v>1</v>
      </c>
      <c r="K245" s="7" t="s">
        <v>719</v>
      </c>
      <c r="L245" s="11">
        <v>3378071.19</v>
      </c>
      <c r="M245" s="11"/>
      <c r="N245" s="11"/>
      <c r="O245" s="11">
        <v>0</v>
      </c>
      <c r="P245" s="11">
        <v>709394.95</v>
      </c>
      <c r="Q245" s="11">
        <v>4340821.45</v>
      </c>
      <c r="R245">
        <f>VLOOKUP(E245,'IVA COMPRAS'!K:P,6,FALSE)</f>
        <v>4340821.45</v>
      </c>
    </row>
    <row r="246" spans="1:18" hidden="1" x14ac:dyDescent="0.25">
      <c r="A246" s="7" t="s">
        <v>778</v>
      </c>
      <c r="B246" s="7" t="s">
        <v>722</v>
      </c>
      <c r="C246" s="9">
        <v>667</v>
      </c>
      <c r="D246" s="9">
        <v>293451</v>
      </c>
      <c r="E246" s="7" t="str">
        <f t="shared" si="3"/>
        <v>30500858628667293451</v>
      </c>
      <c r="F246" s="9">
        <v>34248384691775</v>
      </c>
      <c r="G246" s="7" t="s">
        <v>718</v>
      </c>
      <c r="H246" s="9">
        <v>30500858628</v>
      </c>
      <c r="I246" s="7" t="s">
        <v>159</v>
      </c>
      <c r="J246" s="9">
        <v>1</v>
      </c>
      <c r="K246" s="7" t="s">
        <v>719</v>
      </c>
      <c r="L246" s="11">
        <v>500497.81</v>
      </c>
      <c r="M246" s="11"/>
      <c r="N246" s="11"/>
      <c r="O246" s="11">
        <v>0</v>
      </c>
      <c r="P246" s="11">
        <v>105104.54</v>
      </c>
      <c r="Q246" s="11">
        <v>620617.26</v>
      </c>
      <c r="R246">
        <f>VLOOKUP(E246,'IVA COMPRAS'!K:P,6,FALSE)</f>
        <v>-620617.25</v>
      </c>
    </row>
    <row r="247" spans="1:18" hidden="1" x14ac:dyDescent="0.25">
      <c r="A247" s="7" t="s">
        <v>755</v>
      </c>
      <c r="B247" s="7" t="s">
        <v>717</v>
      </c>
      <c r="C247" s="9">
        <v>9</v>
      </c>
      <c r="D247" s="9">
        <v>17114</v>
      </c>
      <c r="E247" s="7" t="str">
        <f t="shared" si="3"/>
        <v>30525346389917114</v>
      </c>
      <c r="F247" s="9">
        <v>74249177835820</v>
      </c>
      <c r="G247" s="7" t="s">
        <v>718</v>
      </c>
      <c r="H247" s="9">
        <v>30525346389</v>
      </c>
      <c r="I247" s="7" t="s">
        <v>758</v>
      </c>
      <c r="J247" s="9">
        <v>1</v>
      </c>
      <c r="K247" s="7" t="s">
        <v>719</v>
      </c>
      <c r="L247" s="11">
        <v>2263675.4300000002</v>
      </c>
      <c r="M247" s="11">
        <v>0</v>
      </c>
      <c r="N247" s="11">
        <v>0</v>
      </c>
      <c r="O247" s="11">
        <v>0</v>
      </c>
      <c r="P247" s="11">
        <v>237685.92</v>
      </c>
      <c r="Q247" s="11">
        <v>2637181.89</v>
      </c>
      <c r="R247">
        <f>VLOOKUP(E247,'IVA COMPRAS'!K:P,6,FALSE)</f>
        <v>2637181.89</v>
      </c>
    </row>
    <row r="248" spans="1:18" hidden="1" x14ac:dyDescent="0.25">
      <c r="A248" s="7" t="s">
        <v>775</v>
      </c>
      <c r="B248" s="7" t="s">
        <v>717</v>
      </c>
      <c r="C248" s="9">
        <v>5</v>
      </c>
      <c r="D248" s="9">
        <v>3060122</v>
      </c>
      <c r="E248" s="7" t="str">
        <f t="shared" si="3"/>
        <v>3070265297553060122</v>
      </c>
      <c r="F248" s="9">
        <v>74255240460808</v>
      </c>
      <c r="G248" s="7" t="s">
        <v>718</v>
      </c>
      <c r="H248" s="9">
        <v>30702652975</v>
      </c>
      <c r="I248" s="7" t="s">
        <v>459</v>
      </c>
      <c r="J248" s="9">
        <v>1</v>
      </c>
      <c r="K248" s="7" t="s">
        <v>719</v>
      </c>
      <c r="L248" s="11">
        <v>2376.3200000000002</v>
      </c>
      <c r="M248" s="11">
        <v>0</v>
      </c>
      <c r="N248" s="11">
        <v>0</v>
      </c>
      <c r="O248" s="11">
        <v>0</v>
      </c>
      <c r="P248" s="11">
        <v>499.03</v>
      </c>
      <c r="Q248" s="11">
        <v>2875.35</v>
      </c>
      <c r="R248">
        <f>VLOOKUP(E248,'IVA COMPRAS'!K:P,6,FALSE)</f>
        <v>2875.35</v>
      </c>
    </row>
    <row r="249" spans="1:18" hidden="1" x14ac:dyDescent="0.25">
      <c r="A249" s="7" t="s">
        <v>775</v>
      </c>
      <c r="B249" s="7" t="s">
        <v>717</v>
      </c>
      <c r="C249" s="9">
        <v>5</v>
      </c>
      <c r="D249" s="9">
        <v>3060123</v>
      </c>
      <c r="E249" s="7" t="str">
        <f t="shared" si="3"/>
        <v>3070265297553060123</v>
      </c>
      <c r="F249" s="9">
        <v>74255240460811</v>
      </c>
      <c r="G249" s="7" t="s">
        <v>718</v>
      </c>
      <c r="H249" s="9">
        <v>30702652975</v>
      </c>
      <c r="I249" s="7" t="s">
        <v>459</v>
      </c>
      <c r="J249" s="9">
        <v>1</v>
      </c>
      <c r="K249" s="7" t="s">
        <v>719</v>
      </c>
      <c r="L249" s="11">
        <v>221880</v>
      </c>
      <c r="M249" s="11">
        <v>0</v>
      </c>
      <c r="N249" s="11">
        <v>0</v>
      </c>
      <c r="O249" s="11">
        <v>0</v>
      </c>
      <c r="P249" s="11">
        <v>46594.8</v>
      </c>
      <c r="Q249" s="11">
        <v>274021.8</v>
      </c>
      <c r="R249">
        <f>VLOOKUP(E249,'IVA COMPRAS'!K:P,6,FALSE)</f>
        <v>274021.8</v>
      </c>
    </row>
    <row r="250" spans="1:18" hidden="1" x14ac:dyDescent="0.25">
      <c r="A250" s="7" t="s">
        <v>749</v>
      </c>
      <c r="B250" s="7" t="s">
        <v>717</v>
      </c>
      <c r="C250" s="9">
        <v>3</v>
      </c>
      <c r="D250" s="9">
        <v>50560</v>
      </c>
      <c r="E250" s="7" t="str">
        <f t="shared" si="3"/>
        <v>30711497974350560</v>
      </c>
      <c r="F250" s="9">
        <v>74234747135843</v>
      </c>
      <c r="G250" s="7" t="s">
        <v>718</v>
      </c>
      <c r="H250" s="9">
        <v>30711497974</v>
      </c>
      <c r="I250" s="7" t="s">
        <v>217</v>
      </c>
      <c r="J250" s="9">
        <v>1</v>
      </c>
      <c r="K250" s="7" t="s">
        <v>719</v>
      </c>
      <c r="L250" s="11">
        <v>944002.9</v>
      </c>
      <c r="M250" s="11">
        <v>0</v>
      </c>
      <c r="N250" s="11">
        <v>0</v>
      </c>
      <c r="O250" s="11">
        <v>0</v>
      </c>
      <c r="P250" s="11">
        <v>198240.61</v>
      </c>
      <c r="Q250" s="11">
        <v>1142243.51</v>
      </c>
      <c r="R250">
        <f>VLOOKUP(E250,'IVA COMPRAS'!K:P,6,FALSE)</f>
        <v>1142243.51</v>
      </c>
    </row>
    <row r="251" spans="1:18" hidden="1" x14ac:dyDescent="0.25">
      <c r="A251" s="7" t="s">
        <v>770</v>
      </c>
      <c r="B251" s="7" t="s">
        <v>717</v>
      </c>
      <c r="C251" s="9">
        <v>3</v>
      </c>
      <c r="D251" s="9">
        <v>51060</v>
      </c>
      <c r="E251" s="7" t="str">
        <f t="shared" si="3"/>
        <v>30711497974351060</v>
      </c>
      <c r="F251" s="9">
        <v>74254820974851</v>
      </c>
      <c r="G251" s="7" t="s">
        <v>718</v>
      </c>
      <c r="H251" s="9">
        <v>30711497974</v>
      </c>
      <c r="I251" s="7" t="s">
        <v>217</v>
      </c>
      <c r="J251" s="9">
        <v>1</v>
      </c>
      <c r="K251" s="7" t="s">
        <v>719</v>
      </c>
      <c r="L251" s="11">
        <v>1106333.3</v>
      </c>
      <c r="M251" s="11">
        <v>0</v>
      </c>
      <c r="N251" s="11">
        <v>0</v>
      </c>
      <c r="O251" s="11">
        <v>0</v>
      </c>
      <c r="P251" s="11">
        <v>232329.99</v>
      </c>
      <c r="Q251" s="11">
        <v>1338663.29</v>
      </c>
      <c r="R251">
        <f>VLOOKUP(E251,'IVA COMPRAS'!K:P,6,FALSE)</f>
        <v>1338663.29</v>
      </c>
    </row>
    <row r="252" spans="1:18" hidden="1" x14ac:dyDescent="0.25">
      <c r="A252" s="7" t="s">
        <v>724</v>
      </c>
      <c r="B252" s="7" t="s">
        <v>717</v>
      </c>
      <c r="C252" s="9">
        <v>21</v>
      </c>
      <c r="D252" s="9">
        <v>1125131</v>
      </c>
      <c r="E252" s="7" t="str">
        <f t="shared" si="3"/>
        <v>30550245309211125131</v>
      </c>
      <c r="F252" s="9">
        <v>74239593711330</v>
      </c>
      <c r="G252" s="7" t="s">
        <v>718</v>
      </c>
      <c r="H252" s="9">
        <v>30550245309</v>
      </c>
      <c r="I252" s="7" t="s">
        <v>725</v>
      </c>
      <c r="J252" s="9">
        <v>1</v>
      </c>
      <c r="K252" s="7" t="s">
        <v>719</v>
      </c>
      <c r="L252" s="11">
        <v>2226154.64</v>
      </c>
      <c r="M252" s="11">
        <v>0</v>
      </c>
      <c r="N252" s="11">
        <v>0</v>
      </c>
      <c r="O252" s="11">
        <v>0</v>
      </c>
      <c r="P252" s="11">
        <v>233892.24</v>
      </c>
      <c r="Q252" s="11">
        <v>2560223.84</v>
      </c>
      <c r="R252">
        <f>VLOOKUP(E252,'IVA COMPRAS'!K:P,6,FALSE)</f>
        <v>2560223.84</v>
      </c>
    </row>
    <row r="253" spans="1:18" hidden="1" x14ac:dyDescent="0.25">
      <c r="A253" s="7" t="s">
        <v>738</v>
      </c>
      <c r="B253" s="7" t="s">
        <v>717</v>
      </c>
      <c r="C253" s="9">
        <v>7980</v>
      </c>
      <c r="D253" s="9">
        <v>28703</v>
      </c>
      <c r="E253" s="7" t="str">
        <f t="shared" si="3"/>
        <v>30678774495798028703</v>
      </c>
      <c r="F253" s="9">
        <v>74235467838215</v>
      </c>
      <c r="G253" s="7" t="s">
        <v>718</v>
      </c>
      <c r="H253" s="9">
        <v>30678774495</v>
      </c>
      <c r="I253" s="7" t="s">
        <v>739</v>
      </c>
      <c r="J253" s="9">
        <v>1</v>
      </c>
      <c r="K253" s="7" t="s">
        <v>719</v>
      </c>
      <c r="L253" s="11">
        <v>14776.48</v>
      </c>
      <c r="M253" s="11">
        <v>0</v>
      </c>
      <c r="N253" s="11">
        <v>0</v>
      </c>
      <c r="O253" s="11">
        <v>0</v>
      </c>
      <c r="P253" s="11">
        <v>3103.06</v>
      </c>
      <c r="Q253" s="11">
        <v>20844.810000000001</v>
      </c>
      <c r="R253" t="s">
        <v>791</v>
      </c>
    </row>
    <row r="254" spans="1:18" hidden="1" x14ac:dyDescent="0.25">
      <c r="A254" s="7" t="s">
        <v>738</v>
      </c>
      <c r="B254" s="7" t="s">
        <v>717</v>
      </c>
      <c r="C254" s="9">
        <v>7148</v>
      </c>
      <c r="D254" s="9">
        <v>27297</v>
      </c>
      <c r="E254" s="7" t="str">
        <f t="shared" si="3"/>
        <v>30678774495714827297</v>
      </c>
      <c r="F254" s="9">
        <v>74235525803970</v>
      </c>
      <c r="G254" s="7" t="s">
        <v>718</v>
      </c>
      <c r="H254" s="9">
        <v>30678774495</v>
      </c>
      <c r="I254" s="7" t="s">
        <v>739</v>
      </c>
      <c r="J254" s="9">
        <v>1</v>
      </c>
      <c r="K254" s="7" t="s">
        <v>719</v>
      </c>
      <c r="L254" s="11">
        <v>50435.49</v>
      </c>
      <c r="M254" s="11">
        <v>0</v>
      </c>
      <c r="N254" s="11">
        <v>0</v>
      </c>
      <c r="O254" s="11">
        <v>0</v>
      </c>
      <c r="P254" s="11">
        <v>10591.45</v>
      </c>
      <c r="Q254" s="11">
        <v>69155.27</v>
      </c>
      <c r="R254" t="s">
        <v>791</v>
      </c>
    </row>
    <row r="255" spans="1:18" hidden="1" x14ac:dyDescent="0.25">
      <c r="A255" s="7" t="s">
        <v>747</v>
      </c>
      <c r="B255" s="7" t="s">
        <v>717</v>
      </c>
      <c r="C255" s="9">
        <v>7298</v>
      </c>
      <c r="D255" s="9">
        <v>31523</v>
      </c>
      <c r="E255" s="7" t="str">
        <f t="shared" si="3"/>
        <v>30678774495729831523</v>
      </c>
      <c r="F255" s="9">
        <v>74235569513633</v>
      </c>
      <c r="G255" s="7" t="s">
        <v>718</v>
      </c>
      <c r="H255" s="9">
        <v>30678774495</v>
      </c>
      <c r="I255" s="7" t="s">
        <v>739</v>
      </c>
      <c r="J255" s="9">
        <v>1</v>
      </c>
      <c r="K255" s="7" t="s">
        <v>719</v>
      </c>
      <c r="L255" s="11">
        <v>45240.42</v>
      </c>
      <c r="M255" s="11">
        <v>0</v>
      </c>
      <c r="N255" s="11">
        <v>0</v>
      </c>
      <c r="O255" s="11">
        <v>0</v>
      </c>
      <c r="P255" s="11">
        <v>9500.49</v>
      </c>
      <c r="Q255" s="11">
        <v>62031.99</v>
      </c>
      <c r="R255">
        <f>VLOOKUP(E255,'IVA COMPRAS'!K:P,6,FALSE)</f>
        <v>62031.99</v>
      </c>
    </row>
    <row r="256" spans="1:18" hidden="1" x14ac:dyDescent="0.25">
      <c r="A256" s="7" t="s">
        <v>747</v>
      </c>
      <c r="B256" s="7" t="s">
        <v>717</v>
      </c>
      <c r="C256" s="9">
        <v>7980</v>
      </c>
      <c r="D256" s="9">
        <v>28739</v>
      </c>
      <c r="E256" s="7" t="str">
        <f t="shared" si="3"/>
        <v>30678774495798028739</v>
      </c>
      <c r="F256" s="9">
        <v>74235595018901</v>
      </c>
      <c r="G256" s="7" t="s">
        <v>718</v>
      </c>
      <c r="H256" s="9">
        <v>30678774495</v>
      </c>
      <c r="I256" s="7" t="s">
        <v>739</v>
      </c>
      <c r="J256" s="9">
        <v>1</v>
      </c>
      <c r="K256" s="7" t="s">
        <v>719</v>
      </c>
      <c r="L256" s="11">
        <v>80446.44</v>
      </c>
      <c r="M256" s="11">
        <v>0</v>
      </c>
      <c r="N256" s="11">
        <v>0</v>
      </c>
      <c r="O256" s="11">
        <v>0</v>
      </c>
      <c r="P256" s="11">
        <v>16893.75</v>
      </c>
      <c r="Q256" s="11">
        <v>109408.44</v>
      </c>
      <c r="R256">
        <f>VLOOKUP(E256,'IVA COMPRAS'!K:P,6,FALSE)</f>
        <v>109408.43</v>
      </c>
    </row>
    <row r="257" spans="1:18" hidden="1" x14ac:dyDescent="0.25">
      <c r="A257" s="7" t="s">
        <v>752</v>
      </c>
      <c r="B257" s="7" t="s">
        <v>717</v>
      </c>
      <c r="C257" s="9">
        <v>6938</v>
      </c>
      <c r="D257" s="9">
        <v>21418</v>
      </c>
      <c r="E257" s="7" t="str">
        <f t="shared" si="3"/>
        <v>30678774495693821418</v>
      </c>
      <c r="F257" s="9">
        <v>74245028004502</v>
      </c>
      <c r="G257" s="7" t="s">
        <v>718</v>
      </c>
      <c r="H257" s="9">
        <v>30678774495</v>
      </c>
      <c r="I257" s="7" t="s">
        <v>739</v>
      </c>
      <c r="J257" s="9">
        <v>1</v>
      </c>
      <c r="K257" s="7" t="s">
        <v>719</v>
      </c>
      <c r="L257" s="11">
        <v>45897.24</v>
      </c>
      <c r="M257" s="11">
        <v>0</v>
      </c>
      <c r="N257" s="11">
        <v>0</v>
      </c>
      <c r="O257" s="11">
        <v>0</v>
      </c>
      <c r="P257" s="11">
        <v>9638.42</v>
      </c>
      <c r="Q257" s="11">
        <v>59999.94</v>
      </c>
      <c r="R257">
        <f>VLOOKUP(E257,'IVA COMPRAS'!K:P,6,FALSE)</f>
        <v>59999.95</v>
      </c>
    </row>
    <row r="258" spans="1:18" hidden="1" x14ac:dyDescent="0.25">
      <c r="A258" s="7" t="s">
        <v>759</v>
      </c>
      <c r="B258" s="7" t="s">
        <v>717</v>
      </c>
      <c r="C258" s="9">
        <v>7882</v>
      </c>
      <c r="D258" s="9">
        <v>27528</v>
      </c>
      <c r="E258" s="7" t="str">
        <f t="shared" ref="E258:E321" si="4">CONCATENATE(H258,C258,D258)</f>
        <v>30678774495788227528</v>
      </c>
      <c r="F258" s="9">
        <v>74245310149665</v>
      </c>
      <c r="G258" s="7" t="s">
        <v>718</v>
      </c>
      <c r="H258" s="9">
        <v>30678774495</v>
      </c>
      <c r="I258" s="7" t="s">
        <v>739</v>
      </c>
      <c r="J258" s="9">
        <v>1</v>
      </c>
      <c r="K258" s="7" t="s">
        <v>719</v>
      </c>
      <c r="L258" s="11">
        <v>68596.649999999994</v>
      </c>
      <c r="M258" s="11">
        <v>0</v>
      </c>
      <c r="N258" s="11">
        <v>0</v>
      </c>
      <c r="O258" s="11">
        <v>0</v>
      </c>
      <c r="P258" s="11">
        <v>14405.3</v>
      </c>
      <c r="Q258" s="11">
        <v>90487.77</v>
      </c>
      <c r="R258">
        <f>VLOOKUP(E258,'IVA COMPRAS'!K:P,6,FALSE)</f>
        <v>90487.77</v>
      </c>
    </row>
    <row r="259" spans="1:18" hidden="1" x14ac:dyDescent="0.25">
      <c r="A259" s="7" t="s">
        <v>763</v>
      </c>
      <c r="B259" s="7" t="s">
        <v>717</v>
      </c>
      <c r="C259" s="9">
        <v>7260</v>
      </c>
      <c r="D259" s="9">
        <v>16190</v>
      </c>
      <c r="E259" s="7" t="str">
        <f t="shared" si="4"/>
        <v>30678774495726016190</v>
      </c>
      <c r="F259" s="9">
        <v>74245431521685</v>
      </c>
      <c r="G259" s="7" t="s">
        <v>718</v>
      </c>
      <c r="H259" s="9">
        <v>30678774495</v>
      </c>
      <c r="I259" s="7" t="s">
        <v>739</v>
      </c>
      <c r="J259" s="9">
        <v>1</v>
      </c>
      <c r="K259" s="7" t="s">
        <v>719</v>
      </c>
      <c r="L259" s="11">
        <v>48458.66</v>
      </c>
      <c r="M259" s="11">
        <v>0</v>
      </c>
      <c r="N259" s="11">
        <v>0</v>
      </c>
      <c r="O259" s="11">
        <v>0</v>
      </c>
      <c r="P259" s="11">
        <v>10176.32</v>
      </c>
      <c r="Q259" s="11">
        <v>63006</v>
      </c>
      <c r="R259">
        <f>VLOOKUP(E259,'IVA COMPRAS'!K:P,6,FALSE)</f>
        <v>63006</v>
      </c>
    </row>
    <row r="260" spans="1:18" hidden="1" x14ac:dyDescent="0.25">
      <c r="A260" s="7" t="s">
        <v>771</v>
      </c>
      <c r="B260" s="7" t="s">
        <v>717</v>
      </c>
      <c r="C260" s="9">
        <v>8052</v>
      </c>
      <c r="D260" s="9">
        <v>12275</v>
      </c>
      <c r="E260" s="7" t="str">
        <f t="shared" si="4"/>
        <v>30678774495805212275</v>
      </c>
      <c r="F260" s="9">
        <v>74255915350995</v>
      </c>
      <c r="G260" s="7" t="s">
        <v>718</v>
      </c>
      <c r="H260" s="9">
        <v>30678774495</v>
      </c>
      <c r="I260" s="7" t="s">
        <v>739</v>
      </c>
      <c r="J260" s="9">
        <v>1</v>
      </c>
      <c r="K260" s="7" t="s">
        <v>719</v>
      </c>
      <c r="L260" s="11">
        <v>49216.68</v>
      </c>
      <c r="M260" s="11">
        <v>0</v>
      </c>
      <c r="N260" s="11">
        <v>0</v>
      </c>
      <c r="O260" s="11">
        <v>0</v>
      </c>
      <c r="P260" s="11">
        <v>10335.5</v>
      </c>
      <c r="Q260" s="11">
        <v>65617.17</v>
      </c>
      <c r="R260">
        <f>VLOOKUP(E260,'IVA COMPRAS'!K:P,6,FALSE)</f>
        <v>65617.17</v>
      </c>
    </row>
    <row r="261" spans="1:18" hidden="1" x14ac:dyDescent="0.25">
      <c r="A261" s="7" t="s">
        <v>771</v>
      </c>
      <c r="B261" s="7" t="s">
        <v>717</v>
      </c>
      <c r="C261" s="9">
        <v>7148</v>
      </c>
      <c r="D261" s="9">
        <v>27747</v>
      </c>
      <c r="E261" s="7" t="str">
        <f t="shared" si="4"/>
        <v>30678774495714827747</v>
      </c>
      <c r="F261" s="9">
        <v>74255977100799</v>
      </c>
      <c r="G261" s="7" t="s">
        <v>718</v>
      </c>
      <c r="H261" s="9">
        <v>30678774495</v>
      </c>
      <c r="I261" s="7" t="s">
        <v>739</v>
      </c>
      <c r="J261" s="9">
        <v>1</v>
      </c>
      <c r="K261" s="7" t="s">
        <v>719</v>
      </c>
      <c r="L261" s="11">
        <v>45984.28</v>
      </c>
      <c r="M261" s="11">
        <v>0</v>
      </c>
      <c r="N261" s="11">
        <v>0</v>
      </c>
      <c r="O261" s="11">
        <v>0</v>
      </c>
      <c r="P261" s="11">
        <v>9656.7000000000007</v>
      </c>
      <c r="Q261" s="11">
        <v>63051.95</v>
      </c>
      <c r="R261" t="s">
        <v>791</v>
      </c>
    </row>
    <row r="262" spans="1:18" hidden="1" x14ac:dyDescent="0.25">
      <c r="A262" s="7" t="s">
        <v>774</v>
      </c>
      <c r="B262" s="7" t="s">
        <v>717</v>
      </c>
      <c r="C262" s="9">
        <v>7146</v>
      </c>
      <c r="D262" s="9">
        <v>28087</v>
      </c>
      <c r="E262" s="7" t="str">
        <f t="shared" si="4"/>
        <v>30678774495714628087</v>
      </c>
      <c r="F262" s="9">
        <v>74255180820533</v>
      </c>
      <c r="G262" s="7" t="s">
        <v>718</v>
      </c>
      <c r="H262" s="9">
        <v>30678774495</v>
      </c>
      <c r="I262" s="7" t="s">
        <v>739</v>
      </c>
      <c r="J262" s="9">
        <v>1</v>
      </c>
      <c r="K262" s="7" t="s">
        <v>719</v>
      </c>
      <c r="L262" s="11">
        <v>48214.31</v>
      </c>
      <c r="M262" s="11">
        <v>0</v>
      </c>
      <c r="N262" s="11">
        <v>0</v>
      </c>
      <c r="O262" s="11">
        <v>0</v>
      </c>
      <c r="P262" s="11">
        <v>10125.01</v>
      </c>
      <c r="Q262" s="11">
        <v>66109.679999999993</v>
      </c>
      <c r="R262" t="s">
        <v>791</v>
      </c>
    </row>
    <row r="263" spans="1:18" hidden="1" x14ac:dyDescent="0.25">
      <c r="A263" s="7" t="s">
        <v>779</v>
      </c>
      <c r="B263" s="7" t="s">
        <v>717</v>
      </c>
      <c r="C263" s="9">
        <v>8200</v>
      </c>
      <c r="D263" s="9">
        <v>9552</v>
      </c>
      <c r="E263" s="7" t="str">
        <f t="shared" si="4"/>
        <v>3067877449582009552</v>
      </c>
      <c r="F263" s="9">
        <v>74265635744775</v>
      </c>
      <c r="G263" s="7" t="s">
        <v>718</v>
      </c>
      <c r="H263" s="9">
        <v>30678774495</v>
      </c>
      <c r="I263" s="7" t="s">
        <v>739</v>
      </c>
      <c r="J263" s="9">
        <v>1</v>
      </c>
      <c r="K263" s="7" t="s">
        <v>719</v>
      </c>
      <c r="L263" s="11">
        <v>68504.7</v>
      </c>
      <c r="M263" s="11">
        <v>0</v>
      </c>
      <c r="N263" s="11">
        <v>0</v>
      </c>
      <c r="O263" s="11">
        <v>0</v>
      </c>
      <c r="P263" s="11">
        <v>14385.98</v>
      </c>
      <c r="Q263" s="11">
        <v>90492.22</v>
      </c>
      <c r="R263">
        <f>VLOOKUP(E263,'IVA COMPRAS'!K:P,6,FALSE)</f>
        <v>90492.21</v>
      </c>
    </row>
    <row r="264" spans="1:18" hidden="1" x14ac:dyDescent="0.25">
      <c r="A264" s="7" t="s">
        <v>779</v>
      </c>
      <c r="B264" s="7" t="s">
        <v>717</v>
      </c>
      <c r="C264" s="9">
        <v>8250</v>
      </c>
      <c r="D264" s="9">
        <v>8623</v>
      </c>
      <c r="E264" s="7" t="str">
        <f t="shared" si="4"/>
        <v>3067877449582508623</v>
      </c>
      <c r="F264" s="9">
        <v>74265667416313</v>
      </c>
      <c r="G264" s="7" t="s">
        <v>718</v>
      </c>
      <c r="H264" s="9">
        <v>30678774495</v>
      </c>
      <c r="I264" s="7" t="s">
        <v>739</v>
      </c>
      <c r="J264" s="9">
        <v>1</v>
      </c>
      <c r="K264" s="7" t="s">
        <v>719</v>
      </c>
      <c r="L264" s="11">
        <v>36456.980000000003</v>
      </c>
      <c r="M264" s="11">
        <v>0</v>
      </c>
      <c r="N264" s="11">
        <v>0</v>
      </c>
      <c r="O264" s="11">
        <v>0</v>
      </c>
      <c r="P264" s="11">
        <v>7655.97</v>
      </c>
      <c r="Q264" s="11">
        <v>50307.33</v>
      </c>
      <c r="R264" t="s">
        <v>791</v>
      </c>
    </row>
    <row r="265" spans="1:18" hidden="1" x14ac:dyDescent="0.25">
      <c r="A265" s="7" t="s">
        <v>778</v>
      </c>
      <c r="B265" s="7" t="s">
        <v>730</v>
      </c>
      <c r="C265" s="9">
        <v>7</v>
      </c>
      <c r="D265" s="9">
        <v>76</v>
      </c>
      <c r="E265" s="7" t="str">
        <f t="shared" si="4"/>
        <v>27316244918776</v>
      </c>
      <c r="F265" s="9">
        <v>74268450126490</v>
      </c>
      <c r="G265" s="7" t="s">
        <v>718</v>
      </c>
      <c r="H265" s="9">
        <v>27316244918</v>
      </c>
      <c r="I265" s="7" t="s">
        <v>485</v>
      </c>
      <c r="J265" s="9">
        <v>1</v>
      </c>
      <c r="K265" s="7" t="s">
        <v>719</v>
      </c>
      <c r="L265" s="11"/>
      <c r="M265" s="11"/>
      <c r="N265" s="11"/>
      <c r="O265" s="11">
        <v>0</v>
      </c>
      <c r="P265" s="11"/>
      <c r="Q265" s="11">
        <v>200000</v>
      </c>
      <c r="R265">
        <f>VLOOKUP(E265,'IVA COMPRAS'!K:P,6,FALSE)</f>
        <v>200000</v>
      </c>
    </row>
    <row r="266" spans="1:18" hidden="1" x14ac:dyDescent="0.25">
      <c r="A266" s="7" t="s">
        <v>778</v>
      </c>
      <c r="B266" s="7" t="s">
        <v>730</v>
      </c>
      <c r="C266" s="9">
        <v>7</v>
      </c>
      <c r="D266" s="9">
        <v>77</v>
      </c>
      <c r="E266" s="7" t="str">
        <f t="shared" si="4"/>
        <v>27316244918777</v>
      </c>
      <c r="F266" s="9">
        <v>74268450371664</v>
      </c>
      <c r="G266" s="7" t="s">
        <v>718</v>
      </c>
      <c r="H266" s="9">
        <v>27316244918</v>
      </c>
      <c r="I266" s="7" t="s">
        <v>485</v>
      </c>
      <c r="J266" s="9">
        <v>1</v>
      </c>
      <c r="K266" s="7" t="s">
        <v>719</v>
      </c>
      <c r="L266" s="11"/>
      <c r="M266" s="11"/>
      <c r="N266" s="11"/>
      <c r="O266" s="11">
        <v>0</v>
      </c>
      <c r="P266" s="11"/>
      <c r="Q266" s="11">
        <v>300000</v>
      </c>
      <c r="R266">
        <f>VLOOKUP(E266,'IVA COMPRAS'!K:P,6,FALSE)</f>
        <v>300000</v>
      </c>
    </row>
    <row r="267" spans="1:18" hidden="1" x14ac:dyDescent="0.25">
      <c r="A267" s="7" t="s">
        <v>749</v>
      </c>
      <c r="B267" s="7" t="s">
        <v>717</v>
      </c>
      <c r="C267" s="9">
        <v>18</v>
      </c>
      <c r="D267" s="9">
        <v>5757</v>
      </c>
      <c r="E267" s="7" t="str">
        <f t="shared" si="4"/>
        <v>30624419193185757</v>
      </c>
      <c r="F267" s="9">
        <v>74233682880400</v>
      </c>
      <c r="G267" s="7" t="s">
        <v>718</v>
      </c>
      <c r="H267" s="9">
        <v>30624419193</v>
      </c>
      <c r="I267" s="7" t="s">
        <v>227</v>
      </c>
      <c r="J267" s="9">
        <v>1</v>
      </c>
      <c r="K267" s="7" t="s">
        <v>719</v>
      </c>
      <c r="L267" s="11">
        <v>7815600</v>
      </c>
      <c r="M267" s="11">
        <v>0</v>
      </c>
      <c r="N267" s="11">
        <v>0</v>
      </c>
      <c r="O267" s="11">
        <v>0</v>
      </c>
      <c r="P267" s="11">
        <v>1641276</v>
      </c>
      <c r="Q267" s="11">
        <v>9847656</v>
      </c>
      <c r="R267">
        <f>VLOOKUP(E267,'IVA COMPRAS'!K:P,6,FALSE)</f>
        <v>9847656</v>
      </c>
    </row>
    <row r="268" spans="1:18" hidden="1" x14ac:dyDescent="0.25">
      <c r="A268" s="7" t="s">
        <v>783</v>
      </c>
      <c r="B268" s="7" t="s">
        <v>717</v>
      </c>
      <c r="C268" s="9">
        <v>18</v>
      </c>
      <c r="D268" s="9">
        <v>5797</v>
      </c>
      <c r="E268" s="7" t="str">
        <f t="shared" si="4"/>
        <v>30624419193185797</v>
      </c>
      <c r="F268" s="9">
        <v>74263855020812</v>
      </c>
      <c r="G268" s="7" t="s">
        <v>718</v>
      </c>
      <c r="H268" s="9">
        <v>30624419193</v>
      </c>
      <c r="I268" s="7" t="s">
        <v>227</v>
      </c>
      <c r="J268" s="9">
        <v>1</v>
      </c>
      <c r="K268" s="7" t="s">
        <v>719</v>
      </c>
      <c r="L268" s="11">
        <v>6720000</v>
      </c>
      <c r="M268" s="11">
        <v>0</v>
      </c>
      <c r="N268" s="11">
        <v>0</v>
      </c>
      <c r="O268" s="11">
        <v>0</v>
      </c>
      <c r="P268" s="11">
        <v>1411200</v>
      </c>
      <c r="Q268" s="11">
        <v>8467200</v>
      </c>
      <c r="R268">
        <f>VLOOKUP(E268,'IVA COMPRAS'!K:P,6,FALSE)</f>
        <v>8467200</v>
      </c>
    </row>
    <row r="269" spans="1:18" hidden="1" x14ac:dyDescent="0.25">
      <c r="A269" s="7" t="s">
        <v>726</v>
      </c>
      <c r="B269" s="7" t="s">
        <v>717</v>
      </c>
      <c r="C269" s="9">
        <v>3</v>
      </c>
      <c r="D269" s="9">
        <v>101085</v>
      </c>
      <c r="E269" s="7" t="str">
        <f t="shared" si="4"/>
        <v>307039574783101085</v>
      </c>
      <c r="F269" s="9">
        <v>74238215245592</v>
      </c>
      <c r="G269" s="7" t="s">
        <v>718</v>
      </c>
      <c r="H269" s="9">
        <v>30703957478</v>
      </c>
      <c r="I269" s="7" t="s">
        <v>71</v>
      </c>
      <c r="J269" s="9">
        <v>1</v>
      </c>
      <c r="K269" s="7" t="s">
        <v>719</v>
      </c>
      <c r="L269" s="11">
        <v>583670.25</v>
      </c>
      <c r="M269" s="11">
        <v>0</v>
      </c>
      <c r="N269" s="11">
        <v>0</v>
      </c>
      <c r="O269" s="11">
        <v>0</v>
      </c>
      <c r="P269" s="11">
        <v>122570.75</v>
      </c>
      <c r="Q269" s="11">
        <v>717914.4</v>
      </c>
      <c r="R269">
        <f>VLOOKUP(E269,'IVA COMPRAS'!K:P,6,FALSE)</f>
        <v>717914.4</v>
      </c>
    </row>
    <row r="270" spans="1:18" hidden="1" x14ac:dyDescent="0.25">
      <c r="A270" s="7" t="s">
        <v>749</v>
      </c>
      <c r="B270" s="7" t="s">
        <v>717</v>
      </c>
      <c r="C270" s="9">
        <v>3</v>
      </c>
      <c r="D270" s="9">
        <v>101224</v>
      </c>
      <c r="E270" s="7" t="str">
        <f t="shared" si="4"/>
        <v>307039574783101224</v>
      </c>
      <c r="F270" s="9">
        <v>74238718469772</v>
      </c>
      <c r="G270" s="7" t="s">
        <v>718</v>
      </c>
      <c r="H270" s="9">
        <v>30703957478</v>
      </c>
      <c r="I270" s="7" t="s">
        <v>71</v>
      </c>
      <c r="J270" s="9">
        <v>1</v>
      </c>
      <c r="K270" s="7" t="s">
        <v>719</v>
      </c>
      <c r="L270" s="11">
        <v>1001669.42</v>
      </c>
      <c r="M270" s="11">
        <v>0</v>
      </c>
      <c r="N270" s="11">
        <v>0</v>
      </c>
      <c r="O270" s="11">
        <v>0</v>
      </c>
      <c r="P270" s="11">
        <v>210350.58</v>
      </c>
      <c r="Q270" s="11">
        <v>1232053.3899999999</v>
      </c>
      <c r="R270">
        <f>VLOOKUP(E270,'IVA COMPRAS'!K:P,6,FALSE)</f>
        <v>1232053.3899999999</v>
      </c>
    </row>
    <row r="271" spans="1:18" hidden="1" x14ac:dyDescent="0.25">
      <c r="A271" s="7" t="s">
        <v>759</v>
      </c>
      <c r="B271" s="7" t="s">
        <v>717</v>
      </c>
      <c r="C271" s="9">
        <v>3</v>
      </c>
      <c r="D271" s="9">
        <v>101337</v>
      </c>
      <c r="E271" s="7" t="str">
        <f t="shared" si="4"/>
        <v>307039574783101337</v>
      </c>
      <c r="F271" s="9">
        <v>74248275029890</v>
      </c>
      <c r="G271" s="7" t="s">
        <v>718</v>
      </c>
      <c r="H271" s="9">
        <v>30703957478</v>
      </c>
      <c r="I271" s="7" t="s">
        <v>71</v>
      </c>
      <c r="J271" s="9">
        <v>1</v>
      </c>
      <c r="K271" s="7" t="s">
        <v>719</v>
      </c>
      <c r="L271" s="11">
        <v>1265795.04</v>
      </c>
      <c r="M271" s="11">
        <v>0</v>
      </c>
      <c r="N271" s="11">
        <v>0</v>
      </c>
      <c r="O271" s="11">
        <v>0</v>
      </c>
      <c r="P271" s="11">
        <v>265816.96000000002</v>
      </c>
      <c r="Q271" s="11">
        <v>1556927.9</v>
      </c>
      <c r="R271">
        <f>VLOOKUP(E271,'IVA COMPRAS'!K:P,6,FALSE)</f>
        <v>1556927.9</v>
      </c>
    </row>
    <row r="272" spans="1:18" hidden="1" x14ac:dyDescent="0.25">
      <c r="A272" s="7" t="s">
        <v>771</v>
      </c>
      <c r="B272" s="7" t="s">
        <v>717</v>
      </c>
      <c r="C272" s="9">
        <v>3</v>
      </c>
      <c r="D272" s="9">
        <v>101508</v>
      </c>
      <c r="E272" s="7" t="str">
        <f t="shared" si="4"/>
        <v>307039574783101508</v>
      </c>
      <c r="F272" s="9">
        <v>74258916277912</v>
      </c>
      <c r="G272" s="7" t="s">
        <v>718</v>
      </c>
      <c r="H272" s="9">
        <v>30703957478</v>
      </c>
      <c r="I272" s="7" t="s">
        <v>71</v>
      </c>
      <c r="J272" s="9">
        <v>1</v>
      </c>
      <c r="K272" s="7" t="s">
        <v>719</v>
      </c>
      <c r="L272" s="11">
        <v>1755884.3</v>
      </c>
      <c r="M272" s="11">
        <v>0</v>
      </c>
      <c r="N272" s="11">
        <v>0</v>
      </c>
      <c r="O272" s="11">
        <v>0</v>
      </c>
      <c r="P272" s="11">
        <v>368735.7</v>
      </c>
      <c r="Q272" s="11">
        <v>2159737.69</v>
      </c>
      <c r="R272">
        <f>VLOOKUP(E272,'IVA COMPRAS'!K:P,6,FALSE)</f>
        <v>2159737.69</v>
      </c>
    </row>
    <row r="273" spans="1:18" hidden="1" x14ac:dyDescent="0.25">
      <c r="A273" s="7" t="s">
        <v>778</v>
      </c>
      <c r="B273" s="7" t="s">
        <v>717</v>
      </c>
      <c r="C273" s="9">
        <v>3</v>
      </c>
      <c r="D273" s="9">
        <v>101654</v>
      </c>
      <c r="E273" s="7" t="str">
        <f t="shared" si="4"/>
        <v>307039574783101654</v>
      </c>
      <c r="F273" s="9">
        <v>74268479236591</v>
      </c>
      <c r="G273" s="7" t="s">
        <v>718</v>
      </c>
      <c r="H273" s="9">
        <v>30703957478</v>
      </c>
      <c r="I273" s="7" t="s">
        <v>71</v>
      </c>
      <c r="J273" s="9">
        <v>1</v>
      </c>
      <c r="K273" s="7" t="s">
        <v>719</v>
      </c>
      <c r="L273" s="11">
        <v>849289.26</v>
      </c>
      <c r="M273" s="11">
        <v>0</v>
      </c>
      <c r="N273" s="11">
        <v>0</v>
      </c>
      <c r="O273" s="11">
        <v>0</v>
      </c>
      <c r="P273" s="11">
        <v>178350.74</v>
      </c>
      <c r="Q273" s="11">
        <v>1044625.79</v>
      </c>
      <c r="R273">
        <f>VLOOKUP(E273,'IVA COMPRAS'!K:P,6,FALSE)</f>
        <v>1044625.79</v>
      </c>
    </row>
    <row r="274" spans="1:18" hidden="1" x14ac:dyDescent="0.25">
      <c r="A274" s="7" t="s">
        <v>747</v>
      </c>
      <c r="B274" s="7" t="s">
        <v>717</v>
      </c>
      <c r="C274" s="9">
        <v>1</v>
      </c>
      <c r="D274" s="9">
        <v>2398</v>
      </c>
      <c r="E274" s="7" t="str">
        <f t="shared" si="4"/>
        <v>3071616110912398</v>
      </c>
      <c r="F274" s="9">
        <v>74239621120581</v>
      </c>
      <c r="G274" s="7" t="s">
        <v>718</v>
      </c>
      <c r="H274" s="9">
        <v>30716161109</v>
      </c>
      <c r="I274" s="7" t="s">
        <v>183</v>
      </c>
      <c r="J274" s="9">
        <v>1</v>
      </c>
      <c r="K274" s="7" t="s">
        <v>719</v>
      </c>
      <c r="L274" s="11">
        <v>1876050</v>
      </c>
      <c r="M274" s="11">
        <v>0</v>
      </c>
      <c r="N274" s="11">
        <v>0</v>
      </c>
      <c r="O274" s="11">
        <v>0</v>
      </c>
      <c r="P274" s="11">
        <v>393970.5</v>
      </c>
      <c r="Q274" s="11">
        <v>2270020.5</v>
      </c>
      <c r="R274">
        <f>VLOOKUP(E274,'IVA COMPRAS'!K:P,6,FALSE)</f>
        <v>2270020.5</v>
      </c>
    </row>
    <row r="275" spans="1:18" hidden="1" x14ac:dyDescent="0.25">
      <c r="A275" s="7" t="s">
        <v>749</v>
      </c>
      <c r="B275" s="7" t="s">
        <v>717</v>
      </c>
      <c r="C275" s="9">
        <v>4</v>
      </c>
      <c r="D275" s="9">
        <v>1159</v>
      </c>
      <c r="E275" s="7" t="str">
        <f t="shared" si="4"/>
        <v>2010832176941159</v>
      </c>
      <c r="F275" s="9">
        <v>74239734733421</v>
      </c>
      <c r="G275" s="7" t="s">
        <v>718</v>
      </c>
      <c r="H275" s="9">
        <v>20108321769</v>
      </c>
      <c r="I275" s="7" t="s">
        <v>221</v>
      </c>
      <c r="J275" s="9">
        <v>1</v>
      </c>
      <c r="K275" s="7" t="s">
        <v>719</v>
      </c>
      <c r="L275" s="11">
        <v>22314.05</v>
      </c>
      <c r="M275" s="11">
        <v>0</v>
      </c>
      <c r="N275" s="11">
        <v>0</v>
      </c>
      <c r="O275" s="11">
        <v>0</v>
      </c>
      <c r="P275" s="11">
        <v>4685.95</v>
      </c>
      <c r="Q275" s="11">
        <v>27000</v>
      </c>
      <c r="R275">
        <f>VLOOKUP(E275,'IVA COMPRAS'!K:P,6,FALSE)</f>
        <v>27000</v>
      </c>
    </row>
    <row r="276" spans="1:18" hidden="1" x14ac:dyDescent="0.25">
      <c r="A276" s="7" t="s">
        <v>755</v>
      </c>
      <c r="B276" s="7" t="s">
        <v>717</v>
      </c>
      <c r="C276" s="9">
        <v>1102</v>
      </c>
      <c r="D276" s="9">
        <v>25072</v>
      </c>
      <c r="E276" s="7" t="str">
        <f t="shared" si="4"/>
        <v>30640382097110225072</v>
      </c>
      <c r="F276" s="9">
        <v>74247150039731</v>
      </c>
      <c r="G276" s="7" t="s">
        <v>718</v>
      </c>
      <c r="H276" s="9">
        <v>30640382097</v>
      </c>
      <c r="I276" s="7" t="s">
        <v>299</v>
      </c>
      <c r="J276" s="9">
        <v>1</v>
      </c>
      <c r="K276" s="7" t="s">
        <v>719</v>
      </c>
      <c r="L276" s="11">
        <v>3141621.29</v>
      </c>
      <c r="M276" s="11">
        <v>0</v>
      </c>
      <c r="N276" s="11">
        <v>0</v>
      </c>
      <c r="O276" s="11">
        <v>0</v>
      </c>
      <c r="P276" s="11">
        <v>659740.47</v>
      </c>
      <c r="Q276" s="11">
        <v>4036983.35</v>
      </c>
      <c r="R276">
        <f>VLOOKUP(E276,'IVA COMPRAS'!K:P,6,FALSE)</f>
        <v>4036983.35</v>
      </c>
    </row>
    <row r="277" spans="1:18" hidden="1" x14ac:dyDescent="0.25">
      <c r="A277" s="7" t="s">
        <v>759</v>
      </c>
      <c r="B277" s="7" t="s">
        <v>717</v>
      </c>
      <c r="C277" s="9">
        <v>32</v>
      </c>
      <c r="D277" s="9">
        <v>82792</v>
      </c>
      <c r="E277" s="7" t="str">
        <f t="shared" si="4"/>
        <v>305012142793282792</v>
      </c>
      <c r="F277" s="9">
        <v>74249269908194</v>
      </c>
      <c r="G277" s="7" t="s">
        <v>718</v>
      </c>
      <c r="H277" s="9">
        <v>30501214279</v>
      </c>
      <c r="I277" s="7" t="s">
        <v>322</v>
      </c>
      <c r="J277" s="9">
        <v>1</v>
      </c>
      <c r="K277" s="7" t="s">
        <v>719</v>
      </c>
      <c r="L277" s="11">
        <v>3914034.19</v>
      </c>
      <c r="M277" s="11">
        <v>0</v>
      </c>
      <c r="N277" s="11">
        <v>0</v>
      </c>
      <c r="O277" s="11">
        <v>0</v>
      </c>
      <c r="P277" s="11">
        <v>821947.18</v>
      </c>
      <c r="Q277" s="11">
        <v>5029533.93</v>
      </c>
      <c r="R277">
        <f>VLOOKUP(E277,'IVA COMPRAS'!K:P,6,FALSE)</f>
        <v>5029533.93</v>
      </c>
    </row>
    <row r="278" spans="1:18" hidden="1" x14ac:dyDescent="0.25">
      <c r="A278" s="7" t="s">
        <v>738</v>
      </c>
      <c r="B278" s="7" t="s">
        <v>730</v>
      </c>
      <c r="C278" s="9">
        <v>2</v>
      </c>
      <c r="D278" s="9">
        <v>191</v>
      </c>
      <c r="E278" s="7" t="str">
        <f t="shared" si="4"/>
        <v>203300659832191</v>
      </c>
      <c r="F278" s="9">
        <v>74233544547224</v>
      </c>
      <c r="G278" s="7" t="s">
        <v>718</v>
      </c>
      <c r="H278" s="9">
        <v>20330065983</v>
      </c>
      <c r="I278" s="7" t="s">
        <v>173</v>
      </c>
      <c r="J278" s="9">
        <v>1</v>
      </c>
      <c r="K278" s="7" t="s">
        <v>719</v>
      </c>
      <c r="L278" s="11"/>
      <c r="M278" s="11"/>
      <c r="N278" s="11"/>
      <c r="O278" s="11">
        <v>0</v>
      </c>
      <c r="P278" s="11"/>
      <c r="Q278" s="11">
        <v>213000</v>
      </c>
      <c r="R278">
        <f>VLOOKUP(E278,'IVA COMPRAS'!K:P,6,FALSE)</f>
        <v>213000</v>
      </c>
    </row>
    <row r="279" spans="1:18" hidden="1" x14ac:dyDescent="0.25">
      <c r="A279" s="7" t="s">
        <v>747</v>
      </c>
      <c r="B279" s="7" t="s">
        <v>717</v>
      </c>
      <c r="C279" s="9">
        <v>8</v>
      </c>
      <c r="D279" s="9">
        <v>3348</v>
      </c>
      <c r="E279" s="7" t="str">
        <f t="shared" si="4"/>
        <v>3070916018083348</v>
      </c>
      <c r="F279" s="9">
        <v>74230621959525</v>
      </c>
      <c r="G279" s="7" t="s">
        <v>718</v>
      </c>
      <c r="H279" s="9">
        <v>30709160180</v>
      </c>
      <c r="I279" s="7" t="s">
        <v>191</v>
      </c>
      <c r="J279" s="9">
        <v>1</v>
      </c>
      <c r="K279" s="7" t="s">
        <v>719</v>
      </c>
      <c r="L279" s="11">
        <v>17222400</v>
      </c>
      <c r="M279" s="11">
        <v>0</v>
      </c>
      <c r="N279" s="11">
        <v>0</v>
      </c>
      <c r="O279" s="11">
        <v>0</v>
      </c>
      <c r="P279" s="11">
        <v>3616704</v>
      </c>
      <c r="Q279" s="11">
        <v>21183552</v>
      </c>
      <c r="R279">
        <f>VLOOKUP(E279,'IVA COMPRAS'!K:P,6,FALSE)</f>
        <v>21183552</v>
      </c>
    </row>
    <row r="280" spans="1:18" hidden="1" x14ac:dyDescent="0.25">
      <c r="A280" s="7" t="s">
        <v>752</v>
      </c>
      <c r="B280" s="7" t="s">
        <v>717</v>
      </c>
      <c r="C280" s="9">
        <v>1</v>
      </c>
      <c r="D280" s="9">
        <v>820</v>
      </c>
      <c r="E280" s="7" t="str">
        <f t="shared" si="4"/>
        <v>307150480661820</v>
      </c>
      <c r="F280" s="9">
        <v>74246378750701</v>
      </c>
      <c r="G280" s="7" t="s">
        <v>718</v>
      </c>
      <c r="H280" s="9">
        <v>30715048066</v>
      </c>
      <c r="I280" s="7" t="s">
        <v>245</v>
      </c>
      <c r="J280" s="9">
        <v>1</v>
      </c>
      <c r="K280" s="7" t="s">
        <v>719</v>
      </c>
      <c r="L280" s="11">
        <v>1680000</v>
      </c>
      <c r="M280" s="11">
        <v>0</v>
      </c>
      <c r="N280" s="11">
        <v>0</v>
      </c>
      <c r="O280" s="11">
        <v>0</v>
      </c>
      <c r="P280" s="11">
        <v>352800</v>
      </c>
      <c r="Q280" s="11">
        <v>2032800</v>
      </c>
      <c r="R280">
        <f>VLOOKUP(E280,'IVA COMPRAS'!K:P,6,FALSE)</f>
        <v>2032800</v>
      </c>
    </row>
    <row r="281" spans="1:18" hidden="1" x14ac:dyDescent="0.25">
      <c r="A281" s="7" t="s">
        <v>772</v>
      </c>
      <c r="B281" s="7" t="s">
        <v>717</v>
      </c>
      <c r="C281" s="9">
        <v>1</v>
      </c>
      <c r="D281" s="9">
        <v>821</v>
      </c>
      <c r="E281" s="7" t="str">
        <f t="shared" si="4"/>
        <v>307150480661821</v>
      </c>
      <c r="F281" s="9">
        <v>74266488010014</v>
      </c>
      <c r="G281" s="7" t="s">
        <v>718</v>
      </c>
      <c r="H281" s="9">
        <v>30715048066</v>
      </c>
      <c r="I281" s="7" t="s">
        <v>245</v>
      </c>
      <c r="J281" s="9">
        <v>1</v>
      </c>
      <c r="K281" s="7" t="s">
        <v>719</v>
      </c>
      <c r="L281" s="11">
        <v>2352000</v>
      </c>
      <c r="M281" s="11">
        <v>0</v>
      </c>
      <c r="N281" s="11">
        <v>0</v>
      </c>
      <c r="O281" s="11">
        <v>0</v>
      </c>
      <c r="P281" s="11">
        <v>493920</v>
      </c>
      <c r="Q281" s="11">
        <v>2845920</v>
      </c>
      <c r="R281">
        <f>VLOOKUP(E281,'IVA COMPRAS'!K:P,6,FALSE)</f>
        <v>2845920</v>
      </c>
    </row>
    <row r="282" spans="1:18" hidden="1" x14ac:dyDescent="0.25">
      <c r="A282" s="7" t="s">
        <v>782</v>
      </c>
      <c r="B282" s="7" t="s">
        <v>730</v>
      </c>
      <c r="C282" s="9">
        <v>2</v>
      </c>
      <c r="D282" s="9">
        <v>130</v>
      </c>
      <c r="E282" s="7" t="str">
        <f t="shared" si="4"/>
        <v>271657992032130</v>
      </c>
      <c r="F282" s="9">
        <v>74263756948599</v>
      </c>
      <c r="G282" s="7" t="s">
        <v>718</v>
      </c>
      <c r="H282" s="9">
        <v>27165799203</v>
      </c>
      <c r="I282" s="7" t="s">
        <v>516</v>
      </c>
      <c r="J282" s="9">
        <v>1</v>
      </c>
      <c r="K282" s="7" t="s">
        <v>719</v>
      </c>
      <c r="L282" s="11"/>
      <c r="M282" s="11"/>
      <c r="N282" s="11"/>
      <c r="O282" s="11">
        <v>0</v>
      </c>
      <c r="P282" s="11"/>
      <c r="Q282" s="11">
        <v>200000</v>
      </c>
      <c r="R282">
        <f>VLOOKUP(E282,'IVA COMPRAS'!K:P,6,FALSE)</f>
        <v>200000</v>
      </c>
    </row>
    <row r="283" spans="1:18" hidden="1" x14ac:dyDescent="0.25">
      <c r="A283" s="7" t="s">
        <v>726</v>
      </c>
      <c r="B283" s="7" t="s">
        <v>717</v>
      </c>
      <c r="C283" s="9">
        <v>2</v>
      </c>
      <c r="D283" s="9">
        <v>814</v>
      </c>
      <c r="E283" s="7" t="str">
        <f t="shared" si="4"/>
        <v>200843183622814</v>
      </c>
      <c r="F283" s="9">
        <v>74232345944902</v>
      </c>
      <c r="G283" s="7" t="s">
        <v>718</v>
      </c>
      <c r="H283" s="9">
        <v>20084318362</v>
      </c>
      <c r="I283" s="7" t="s">
        <v>65</v>
      </c>
      <c r="J283" s="9">
        <v>1</v>
      </c>
      <c r="K283" s="7" t="s">
        <v>719</v>
      </c>
      <c r="L283" s="11">
        <v>768785</v>
      </c>
      <c r="M283" s="11">
        <v>0</v>
      </c>
      <c r="N283" s="11">
        <v>0</v>
      </c>
      <c r="O283" s="11">
        <v>0</v>
      </c>
      <c r="P283" s="11">
        <v>161444.85</v>
      </c>
      <c r="Q283" s="11">
        <v>930229.85</v>
      </c>
      <c r="R283">
        <f>VLOOKUP(E283,'IVA COMPRAS'!K:P,6,FALSE)</f>
        <v>930229.85</v>
      </c>
    </row>
    <row r="284" spans="1:18" hidden="1" x14ac:dyDescent="0.25">
      <c r="A284" s="7" t="s">
        <v>755</v>
      </c>
      <c r="B284" s="7" t="s">
        <v>717</v>
      </c>
      <c r="C284" s="9">
        <v>5</v>
      </c>
      <c r="D284" s="9">
        <v>6287</v>
      </c>
      <c r="E284" s="7" t="str">
        <f t="shared" si="4"/>
        <v>3069628267256287</v>
      </c>
      <c r="F284" s="9">
        <v>74242178035183</v>
      </c>
      <c r="G284" s="7" t="s">
        <v>718</v>
      </c>
      <c r="H284" s="9">
        <v>30696282672</v>
      </c>
      <c r="I284" s="7" t="s">
        <v>280</v>
      </c>
      <c r="J284" s="9">
        <v>1</v>
      </c>
      <c r="K284" s="7" t="s">
        <v>719</v>
      </c>
      <c r="L284" s="11">
        <v>125388</v>
      </c>
      <c r="M284" s="11">
        <v>0</v>
      </c>
      <c r="N284" s="11">
        <v>0</v>
      </c>
      <c r="O284" s="11">
        <v>0</v>
      </c>
      <c r="P284" s="11">
        <v>26331.48</v>
      </c>
      <c r="Q284" s="11">
        <v>151719.48000000001</v>
      </c>
      <c r="R284">
        <f>VLOOKUP(E284,'IVA COMPRAS'!K:P,6,FALSE)</f>
        <v>151719.48000000001</v>
      </c>
    </row>
    <row r="285" spans="1:18" hidden="1" x14ac:dyDescent="0.25">
      <c r="A285" s="7" t="s">
        <v>775</v>
      </c>
      <c r="B285" s="7" t="s">
        <v>730</v>
      </c>
      <c r="C285" s="9">
        <v>2</v>
      </c>
      <c r="D285" s="9">
        <v>361</v>
      </c>
      <c r="E285" s="7" t="str">
        <f t="shared" si="4"/>
        <v>202452948252361</v>
      </c>
      <c r="F285" s="9">
        <v>74255282491567</v>
      </c>
      <c r="G285" s="7" t="s">
        <v>718</v>
      </c>
      <c r="H285" s="9">
        <v>20245294825</v>
      </c>
      <c r="I285" s="7" t="s">
        <v>463</v>
      </c>
      <c r="J285" s="9">
        <v>1</v>
      </c>
      <c r="K285" s="7" t="s">
        <v>719</v>
      </c>
      <c r="L285" s="11"/>
      <c r="M285" s="11"/>
      <c r="N285" s="11"/>
      <c r="O285" s="11">
        <v>0</v>
      </c>
      <c r="P285" s="11"/>
      <c r="Q285" s="11">
        <v>40000</v>
      </c>
      <c r="R285">
        <f>VLOOKUP(E285,'IVA COMPRAS'!K:P,6,FALSE)</f>
        <v>40000</v>
      </c>
    </row>
    <row r="286" spans="1:18" hidden="1" x14ac:dyDescent="0.25">
      <c r="A286" s="7" t="s">
        <v>749</v>
      </c>
      <c r="B286" s="7" t="s">
        <v>717</v>
      </c>
      <c r="C286" s="9">
        <v>3950</v>
      </c>
      <c r="D286" s="9">
        <v>1900905</v>
      </c>
      <c r="E286" s="7" t="str">
        <f t="shared" si="4"/>
        <v>3063945373839501900905</v>
      </c>
      <c r="F286" s="9">
        <v>74238774095356</v>
      </c>
      <c r="G286" s="7" t="s">
        <v>718</v>
      </c>
      <c r="H286" s="9">
        <v>30639453738</v>
      </c>
      <c r="I286" s="7" t="s">
        <v>750</v>
      </c>
      <c r="J286" s="9">
        <v>1</v>
      </c>
      <c r="K286" s="7" t="s">
        <v>719</v>
      </c>
      <c r="L286" s="11">
        <v>60975.01</v>
      </c>
      <c r="M286" s="11">
        <v>0</v>
      </c>
      <c r="N286" s="11">
        <v>0</v>
      </c>
      <c r="O286" s="11">
        <v>0</v>
      </c>
      <c r="P286" s="11">
        <v>12804.76</v>
      </c>
      <c r="Q286" s="11">
        <v>76828.509999999995</v>
      </c>
      <c r="R286">
        <f>VLOOKUP(E286,'IVA COMPRAS'!K:P,6,FALSE)</f>
        <v>76828.509999999995</v>
      </c>
    </row>
    <row r="287" spans="1:18" hidden="1" x14ac:dyDescent="0.25">
      <c r="A287" s="7" t="s">
        <v>788</v>
      </c>
      <c r="B287" s="7" t="s">
        <v>717</v>
      </c>
      <c r="C287" s="9">
        <v>6364</v>
      </c>
      <c r="D287" s="9">
        <v>8420649</v>
      </c>
      <c r="E287" s="7" t="str">
        <f t="shared" si="4"/>
        <v>3063945373863648420649</v>
      </c>
      <c r="F287" s="9">
        <v>74278589155583</v>
      </c>
      <c r="G287" s="7" t="s">
        <v>718</v>
      </c>
      <c r="H287" s="9">
        <v>30639453738</v>
      </c>
      <c r="I287" s="7" t="s">
        <v>750</v>
      </c>
      <c r="J287" s="9">
        <v>1</v>
      </c>
      <c r="K287" s="7" t="s">
        <v>719</v>
      </c>
      <c r="L287" s="11">
        <v>268225.51</v>
      </c>
      <c r="M287" s="11">
        <v>0</v>
      </c>
      <c r="N287" s="11">
        <v>0</v>
      </c>
      <c r="O287" s="11">
        <v>0</v>
      </c>
      <c r="P287" s="11">
        <v>56421.61</v>
      </c>
      <c r="Q287" s="11">
        <v>339662.15</v>
      </c>
      <c r="R287">
        <f>VLOOKUP(E287,'IVA COMPRAS'!K:P,6,FALSE)</f>
        <v>339662.15</v>
      </c>
    </row>
    <row r="288" spans="1:18" hidden="1" x14ac:dyDescent="0.25">
      <c r="A288" s="7" t="s">
        <v>738</v>
      </c>
      <c r="B288" s="7" t="s">
        <v>717</v>
      </c>
      <c r="C288" s="9">
        <v>7</v>
      </c>
      <c r="D288" s="9">
        <v>2510</v>
      </c>
      <c r="E288" s="7" t="str">
        <f t="shared" si="4"/>
        <v>3071583023672510</v>
      </c>
      <c r="F288" s="9">
        <v>74236492066853</v>
      </c>
      <c r="G288" s="7" t="s">
        <v>718</v>
      </c>
      <c r="H288" s="9">
        <v>30715830236</v>
      </c>
      <c r="I288" s="7" t="s">
        <v>142</v>
      </c>
      <c r="J288" s="9">
        <v>1</v>
      </c>
      <c r="K288" s="7" t="s">
        <v>719</v>
      </c>
      <c r="L288" s="11">
        <v>386880</v>
      </c>
      <c r="M288" s="11">
        <v>0</v>
      </c>
      <c r="N288" s="11">
        <v>0</v>
      </c>
      <c r="O288" s="11">
        <v>0</v>
      </c>
      <c r="P288" s="11">
        <v>81244.800000000003</v>
      </c>
      <c r="Q288" s="11">
        <v>468124.8</v>
      </c>
      <c r="R288">
        <f>VLOOKUP(E288,'IVA COMPRAS'!K:P,6,FALSE)</f>
        <v>468124.8</v>
      </c>
    </row>
    <row r="289" spans="1:18" hidden="1" x14ac:dyDescent="0.25">
      <c r="A289" s="7" t="s">
        <v>765</v>
      </c>
      <c r="B289" s="7" t="s">
        <v>717</v>
      </c>
      <c r="C289" s="9">
        <v>2</v>
      </c>
      <c r="D289" s="9">
        <v>5675</v>
      </c>
      <c r="E289" s="7" t="str">
        <f t="shared" si="4"/>
        <v>3050450466925675</v>
      </c>
      <c r="F289" s="9">
        <v>74249546904563</v>
      </c>
      <c r="G289" s="7" t="s">
        <v>718</v>
      </c>
      <c r="H289" s="9">
        <v>30504504669</v>
      </c>
      <c r="I289" s="7" t="s">
        <v>362</v>
      </c>
      <c r="J289" s="9">
        <v>1</v>
      </c>
      <c r="K289" s="7" t="s">
        <v>719</v>
      </c>
      <c r="L289" s="11">
        <v>94187</v>
      </c>
      <c r="M289" s="11">
        <v>0</v>
      </c>
      <c r="N289" s="11">
        <v>0</v>
      </c>
      <c r="O289" s="11">
        <v>0</v>
      </c>
      <c r="P289" s="11">
        <v>19779.27</v>
      </c>
      <c r="Q289" s="11">
        <v>113966.27</v>
      </c>
      <c r="R289">
        <f>VLOOKUP(E289,'IVA COMPRAS'!K:P,6,FALSE)</f>
        <v>113966.27</v>
      </c>
    </row>
    <row r="290" spans="1:18" hidden="1" x14ac:dyDescent="0.25">
      <c r="A290" s="7" t="s">
        <v>752</v>
      </c>
      <c r="B290" s="7" t="s">
        <v>717</v>
      </c>
      <c r="C290" s="9">
        <v>437</v>
      </c>
      <c r="D290" s="9">
        <v>1670551</v>
      </c>
      <c r="E290" s="7" t="str">
        <f t="shared" si="4"/>
        <v>305010926964371670551</v>
      </c>
      <c r="F290" s="9">
        <v>34226821715387</v>
      </c>
      <c r="G290" s="7" t="s">
        <v>718</v>
      </c>
      <c r="H290" s="9">
        <v>30501092696</v>
      </c>
      <c r="I290" s="7" t="s">
        <v>262</v>
      </c>
      <c r="J290" s="9">
        <v>1</v>
      </c>
      <c r="K290" s="7" t="s">
        <v>719</v>
      </c>
      <c r="L290" s="11">
        <v>2058056.19</v>
      </c>
      <c r="M290" s="11">
        <v>0</v>
      </c>
      <c r="N290" s="11">
        <v>0</v>
      </c>
      <c r="O290" s="11">
        <v>0</v>
      </c>
      <c r="P290" s="11">
        <v>432191.8</v>
      </c>
      <c r="Q290" s="11">
        <v>2644602.1800000002</v>
      </c>
      <c r="R290">
        <f>VLOOKUP(E290,'IVA COMPRAS'!K:P,6,FALSE)</f>
        <v>2644602.1800000002</v>
      </c>
    </row>
    <row r="291" spans="1:18" hidden="1" x14ac:dyDescent="0.25">
      <c r="A291" s="7" t="s">
        <v>752</v>
      </c>
      <c r="B291" s="7" t="s">
        <v>717</v>
      </c>
      <c r="C291" s="9">
        <v>437</v>
      </c>
      <c r="D291" s="9">
        <v>1670552</v>
      </c>
      <c r="E291" s="7" t="str">
        <f t="shared" si="4"/>
        <v>305010926964371670552</v>
      </c>
      <c r="F291" s="9">
        <v>34226821715387</v>
      </c>
      <c r="G291" s="7" t="s">
        <v>718</v>
      </c>
      <c r="H291" s="9">
        <v>30501092696</v>
      </c>
      <c r="I291" s="7" t="s">
        <v>262</v>
      </c>
      <c r="J291" s="9">
        <v>1</v>
      </c>
      <c r="K291" s="7" t="s">
        <v>719</v>
      </c>
      <c r="L291" s="11">
        <v>3524005.52</v>
      </c>
      <c r="M291" s="11">
        <v>0</v>
      </c>
      <c r="N291" s="11">
        <v>0</v>
      </c>
      <c r="O291" s="11">
        <v>0</v>
      </c>
      <c r="P291" s="11">
        <v>740041.16</v>
      </c>
      <c r="Q291" s="11">
        <v>4528347.09</v>
      </c>
      <c r="R291">
        <f>VLOOKUP(E291,'IVA COMPRAS'!K:P,6,FALSE)</f>
        <v>4528347.09</v>
      </c>
    </row>
    <row r="292" spans="1:18" hidden="1" x14ac:dyDescent="0.25">
      <c r="A292" s="7" t="s">
        <v>752</v>
      </c>
      <c r="B292" s="7" t="s">
        <v>717</v>
      </c>
      <c r="C292" s="9">
        <v>437</v>
      </c>
      <c r="D292" s="9">
        <v>1670553</v>
      </c>
      <c r="E292" s="7" t="str">
        <f t="shared" si="4"/>
        <v>305010926964371670553</v>
      </c>
      <c r="F292" s="9">
        <v>34226821715387</v>
      </c>
      <c r="G292" s="7" t="s">
        <v>718</v>
      </c>
      <c r="H292" s="9">
        <v>30501092696</v>
      </c>
      <c r="I292" s="7" t="s">
        <v>262</v>
      </c>
      <c r="J292" s="9">
        <v>1</v>
      </c>
      <c r="K292" s="7" t="s">
        <v>719</v>
      </c>
      <c r="L292" s="11">
        <v>9601552.1899999995</v>
      </c>
      <c r="M292" s="11">
        <v>0</v>
      </c>
      <c r="N292" s="11">
        <v>0</v>
      </c>
      <c r="O292" s="11">
        <v>0</v>
      </c>
      <c r="P292" s="11">
        <v>2016325.96</v>
      </c>
      <c r="Q292" s="11">
        <v>12337994.59</v>
      </c>
      <c r="R292">
        <f>VLOOKUP(E292,'IVA COMPRAS'!K:P,6,FALSE)</f>
        <v>12337994.59</v>
      </c>
    </row>
    <row r="293" spans="1:18" hidden="1" x14ac:dyDescent="0.25">
      <c r="A293" s="7" t="s">
        <v>752</v>
      </c>
      <c r="B293" s="7" t="s">
        <v>717</v>
      </c>
      <c r="C293" s="9">
        <v>437</v>
      </c>
      <c r="D293" s="9">
        <v>1670554</v>
      </c>
      <c r="E293" s="7" t="str">
        <f t="shared" si="4"/>
        <v>305010926964371670554</v>
      </c>
      <c r="F293" s="9">
        <v>34226821715387</v>
      </c>
      <c r="G293" s="7" t="s">
        <v>718</v>
      </c>
      <c r="H293" s="9">
        <v>30501092696</v>
      </c>
      <c r="I293" s="7" t="s">
        <v>262</v>
      </c>
      <c r="J293" s="9">
        <v>1</v>
      </c>
      <c r="K293" s="7" t="s">
        <v>719</v>
      </c>
      <c r="L293" s="11">
        <v>14955207.810000001</v>
      </c>
      <c r="M293" s="11">
        <v>0</v>
      </c>
      <c r="N293" s="11">
        <v>0</v>
      </c>
      <c r="O293" s="11">
        <v>0</v>
      </c>
      <c r="P293" s="11">
        <v>3140593.64</v>
      </c>
      <c r="Q293" s="11">
        <v>19217442.059999999</v>
      </c>
      <c r="R293">
        <f>VLOOKUP(E293,'IVA COMPRAS'!K:P,6,FALSE)</f>
        <v>19217442.059999999</v>
      </c>
    </row>
    <row r="294" spans="1:18" hidden="1" x14ac:dyDescent="0.25">
      <c r="A294" s="7" t="s">
        <v>752</v>
      </c>
      <c r="B294" s="7" t="s">
        <v>717</v>
      </c>
      <c r="C294" s="9">
        <v>437</v>
      </c>
      <c r="D294" s="9">
        <v>1670555</v>
      </c>
      <c r="E294" s="7" t="str">
        <f t="shared" si="4"/>
        <v>305010926964371670555</v>
      </c>
      <c r="F294" s="9">
        <v>34226821715387</v>
      </c>
      <c r="G294" s="7" t="s">
        <v>718</v>
      </c>
      <c r="H294" s="9">
        <v>30501092696</v>
      </c>
      <c r="I294" s="7" t="s">
        <v>262</v>
      </c>
      <c r="J294" s="9">
        <v>1</v>
      </c>
      <c r="K294" s="7" t="s">
        <v>719</v>
      </c>
      <c r="L294" s="11">
        <v>11874056</v>
      </c>
      <c r="M294" s="11">
        <v>0</v>
      </c>
      <c r="N294" s="11">
        <v>0</v>
      </c>
      <c r="O294" s="11">
        <v>0</v>
      </c>
      <c r="P294" s="11">
        <v>2493551.7599999998</v>
      </c>
      <c r="Q294" s="11">
        <v>15258161.93</v>
      </c>
      <c r="R294">
        <f>VLOOKUP(E294,'IVA COMPRAS'!K:P,6,FALSE)</f>
        <v>15258161.93</v>
      </c>
    </row>
    <row r="295" spans="1:18" hidden="1" x14ac:dyDescent="0.25">
      <c r="A295" s="7" t="s">
        <v>752</v>
      </c>
      <c r="B295" s="7" t="s">
        <v>717</v>
      </c>
      <c r="C295" s="9">
        <v>437</v>
      </c>
      <c r="D295" s="9">
        <v>1670556</v>
      </c>
      <c r="E295" s="7" t="str">
        <f t="shared" si="4"/>
        <v>305010926964371670556</v>
      </c>
      <c r="F295" s="9">
        <v>34226821715387</v>
      </c>
      <c r="G295" s="7" t="s">
        <v>718</v>
      </c>
      <c r="H295" s="9">
        <v>30501092696</v>
      </c>
      <c r="I295" s="7" t="s">
        <v>262</v>
      </c>
      <c r="J295" s="9">
        <v>1</v>
      </c>
      <c r="K295" s="7" t="s">
        <v>719</v>
      </c>
      <c r="L295" s="11">
        <v>7464635.29</v>
      </c>
      <c r="M295" s="11">
        <v>0</v>
      </c>
      <c r="N295" s="11">
        <v>0</v>
      </c>
      <c r="O295" s="11">
        <v>0</v>
      </c>
      <c r="P295" s="11">
        <v>1567573.41</v>
      </c>
      <c r="Q295" s="11">
        <v>9592056.3599999994</v>
      </c>
      <c r="R295">
        <f>VLOOKUP(E295,'IVA COMPRAS'!K:P,6,FALSE)</f>
        <v>9592056.3599999994</v>
      </c>
    </row>
    <row r="296" spans="1:18" x14ac:dyDescent="0.25">
      <c r="A296" s="7" t="s">
        <v>759</v>
      </c>
      <c r="B296" s="7" t="s">
        <v>722</v>
      </c>
      <c r="C296" s="9">
        <v>437</v>
      </c>
      <c r="D296" s="9">
        <v>298097</v>
      </c>
      <c r="E296" s="7" t="str">
        <f t="shared" si="4"/>
        <v>30501092696437298097</v>
      </c>
      <c r="F296" s="9">
        <v>34226821715387</v>
      </c>
      <c r="G296" s="7" t="s">
        <v>718</v>
      </c>
      <c r="H296" s="9">
        <v>30501092696</v>
      </c>
      <c r="I296" s="7" t="s">
        <v>262</v>
      </c>
      <c r="J296" s="9">
        <v>1</v>
      </c>
      <c r="K296" s="7" t="s">
        <v>719</v>
      </c>
      <c r="L296" s="11">
        <v>1538705.19</v>
      </c>
      <c r="M296" s="11">
        <v>0</v>
      </c>
      <c r="N296" s="11">
        <v>0</v>
      </c>
      <c r="O296" s="11">
        <v>0</v>
      </c>
      <c r="P296" s="11">
        <v>323128.09000000003</v>
      </c>
      <c r="Q296" s="13">
        <v>1907994.35</v>
      </c>
      <c r="R296" t="e">
        <f>VLOOKUP(E296,'IVA COMPRAS'!K:P,6,FALSE)</f>
        <v>#N/A</v>
      </c>
    </row>
    <row r="297" spans="1:18" hidden="1" x14ac:dyDescent="0.25">
      <c r="A297" s="7" t="s">
        <v>763</v>
      </c>
      <c r="B297" s="7" t="s">
        <v>722</v>
      </c>
      <c r="C297" s="9">
        <v>437</v>
      </c>
      <c r="D297" s="9">
        <v>298837</v>
      </c>
      <c r="E297" s="7" t="str">
        <f t="shared" si="4"/>
        <v>30501092696437298837</v>
      </c>
      <c r="F297" s="9">
        <v>34226821715387</v>
      </c>
      <c r="G297" s="7" t="s">
        <v>718</v>
      </c>
      <c r="H297" s="9">
        <v>30501092696</v>
      </c>
      <c r="I297" s="7" t="s">
        <v>262</v>
      </c>
      <c r="J297" s="9">
        <v>1</v>
      </c>
      <c r="K297" s="7" t="s">
        <v>719</v>
      </c>
      <c r="L297" s="11">
        <v>576097.48</v>
      </c>
      <c r="M297" s="11">
        <v>0</v>
      </c>
      <c r="N297" s="11">
        <v>0</v>
      </c>
      <c r="O297" s="11">
        <v>0</v>
      </c>
      <c r="P297" s="11">
        <v>120980.47</v>
      </c>
      <c r="Q297" s="11">
        <v>714360.9</v>
      </c>
      <c r="R297">
        <f>VLOOKUP(E297,'IVA COMPRAS'!K:P,6,FALSE)</f>
        <v>-714360.9</v>
      </c>
    </row>
    <row r="298" spans="1:18" hidden="1" x14ac:dyDescent="0.25">
      <c r="A298" s="7" t="s">
        <v>763</v>
      </c>
      <c r="B298" s="7" t="s">
        <v>722</v>
      </c>
      <c r="C298" s="9">
        <v>437</v>
      </c>
      <c r="D298" s="9">
        <v>298915</v>
      </c>
      <c r="E298" s="7" t="str">
        <f t="shared" si="4"/>
        <v>30501092696437298915</v>
      </c>
      <c r="F298" s="9">
        <v>34226821715387</v>
      </c>
      <c r="G298" s="7" t="s">
        <v>718</v>
      </c>
      <c r="H298" s="9">
        <v>30501092696</v>
      </c>
      <c r="I298" s="7" t="s">
        <v>262</v>
      </c>
      <c r="J298" s="9">
        <v>1</v>
      </c>
      <c r="K298" s="7" t="s">
        <v>719</v>
      </c>
      <c r="L298" s="11">
        <v>2551989.62</v>
      </c>
      <c r="M298" s="11">
        <v>0</v>
      </c>
      <c r="N298" s="11">
        <v>0</v>
      </c>
      <c r="O298" s="11">
        <v>0</v>
      </c>
      <c r="P298" s="11">
        <v>535917.81999999995</v>
      </c>
      <c r="Q298" s="11">
        <v>3164467.11</v>
      </c>
      <c r="R298">
        <f>VLOOKUP(E298,'IVA COMPRAS'!K:P,6,FALSE)</f>
        <v>-3164467.11</v>
      </c>
    </row>
    <row r="299" spans="1:18" hidden="1" x14ac:dyDescent="0.25">
      <c r="A299" s="7" t="s">
        <v>763</v>
      </c>
      <c r="B299" s="7" t="s">
        <v>722</v>
      </c>
      <c r="C299" s="9">
        <v>437</v>
      </c>
      <c r="D299" s="9">
        <v>298918</v>
      </c>
      <c r="E299" s="7" t="str">
        <f t="shared" si="4"/>
        <v>30501092696437298918</v>
      </c>
      <c r="F299" s="9">
        <v>34226821715387</v>
      </c>
      <c r="G299" s="7" t="s">
        <v>718</v>
      </c>
      <c r="H299" s="9">
        <v>30501092696</v>
      </c>
      <c r="I299" s="7" t="s">
        <v>262</v>
      </c>
      <c r="J299" s="9">
        <v>1</v>
      </c>
      <c r="K299" s="7" t="s">
        <v>719</v>
      </c>
      <c r="L299" s="11">
        <v>1920310.43</v>
      </c>
      <c r="M299" s="11">
        <v>0</v>
      </c>
      <c r="N299" s="11">
        <v>0</v>
      </c>
      <c r="O299" s="11">
        <v>0</v>
      </c>
      <c r="P299" s="11">
        <v>403265.19</v>
      </c>
      <c r="Q299" s="11">
        <v>2381184.94</v>
      </c>
      <c r="R299">
        <f>VLOOKUP(E299,'IVA COMPRAS'!K:P,6,FALSE)</f>
        <v>-2381184.94</v>
      </c>
    </row>
    <row r="300" spans="1:18" x14ac:dyDescent="0.25">
      <c r="A300" s="7" t="s">
        <v>763</v>
      </c>
      <c r="B300" s="7" t="s">
        <v>722</v>
      </c>
      <c r="C300" s="9">
        <v>437</v>
      </c>
      <c r="D300" s="9">
        <v>298921</v>
      </c>
      <c r="E300" s="7" t="str">
        <f t="shared" si="4"/>
        <v>30501092696437298921</v>
      </c>
      <c r="F300" s="9">
        <v>34226821715387</v>
      </c>
      <c r="G300" s="7" t="s">
        <v>718</v>
      </c>
      <c r="H300" s="9">
        <v>30501092696</v>
      </c>
      <c r="I300" s="7" t="s">
        <v>262</v>
      </c>
      <c r="J300" s="9">
        <v>1</v>
      </c>
      <c r="K300" s="7" t="s">
        <v>719</v>
      </c>
      <c r="L300" s="11">
        <v>170083.9</v>
      </c>
      <c r="M300" s="11">
        <v>0</v>
      </c>
      <c r="N300" s="11">
        <v>0</v>
      </c>
      <c r="O300" s="11">
        <v>0</v>
      </c>
      <c r="P300" s="11">
        <v>35717.620000000003</v>
      </c>
      <c r="Q300" s="13">
        <v>210904.05</v>
      </c>
      <c r="R300" t="e">
        <f>VLOOKUP(E300,'IVA COMPRAS'!K:P,6,FALSE)</f>
        <v>#N/A</v>
      </c>
    </row>
    <row r="301" spans="1:18" x14ac:dyDescent="0.25">
      <c r="A301" s="7" t="s">
        <v>763</v>
      </c>
      <c r="B301" s="7" t="s">
        <v>722</v>
      </c>
      <c r="C301" s="9">
        <v>437</v>
      </c>
      <c r="D301" s="9">
        <v>298924</v>
      </c>
      <c r="E301" s="7" t="str">
        <f t="shared" si="4"/>
        <v>30501092696437298924</v>
      </c>
      <c r="F301" s="9">
        <v>34226821715387</v>
      </c>
      <c r="G301" s="7" t="s">
        <v>718</v>
      </c>
      <c r="H301" s="9">
        <v>30501092696</v>
      </c>
      <c r="I301" s="7" t="s">
        <v>262</v>
      </c>
      <c r="J301" s="9">
        <v>1</v>
      </c>
      <c r="K301" s="7" t="s">
        <v>719</v>
      </c>
      <c r="L301" s="11">
        <v>364309.1</v>
      </c>
      <c r="M301" s="11">
        <v>0</v>
      </c>
      <c r="N301" s="11">
        <v>0</v>
      </c>
      <c r="O301" s="11">
        <v>0</v>
      </c>
      <c r="P301" s="11">
        <v>76504.91</v>
      </c>
      <c r="Q301" s="13">
        <v>451743.29</v>
      </c>
      <c r="R301" t="e">
        <f>VLOOKUP(E301,'IVA COMPRAS'!K:P,6,FALSE)</f>
        <v>#N/A</v>
      </c>
    </row>
    <row r="302" spans="1:18" x14ac:dyDescent="0.25">
      <c r="A302" s="7" t="s">
        <v>763</v>
      </c>
      <c r="B302" s="7" t="s">
        <v>722</v>
      </c>
      <c r="C302" s="9">
        <v>437</v>
      </c>
      <c r="D302" s="9">
        <v>298927</v>
      </c>
      <c r="E302" s="7" t="str">
        <f t="shared" si="4"/>
        <v>30501092696437298927</v>
      </c>
      <c r="F302" s="9">
        <v>34226821715387</v>
      </c>
      <c r="G302" s="7" t="s">
        <v>718</v>
      </c>
      <c r="H302" s="9">
        <v>30501092696</v>
      </c>
      <c r="I302" s="7" t="s">
        <v>262</v>
      </c>
      <c r="J302" s="9">
        <v>1</v>
      </c>
      <c r="K302" s="7" t="s">
        <v>719</v>
      </c>
      <c r="L302" s="11">
        <v>712500</v>
      </c>
      <c r="M302" s="11">
        <v>0</v>
      </c>
      <c r="N302" s="11">
        <v>0</v>
      </c>
      <c r="O302" s="11">
        <v>0</v>
      </c>
      <c r="P302" s="11">
        <v>149625</v>
      </c>
      <c r="Q302" s="13">
        <v>883500</v>
      </c>
      <c r="R302" t="e">
        <f>VLOOKUP(E302,'IVA COMPRAS'!K:P,6,FALSE)</f>
        <v>#N/A</v>
      </c>
    </row>
    <row r="303" spans="1:18" hidden="1" x14ac:dyDescent="0.25">
      <c r="A303" s="7" t="s">
        <v>786</v>
      </c>
      <c r="B303" s="7" t="s">
        <v>717</v>
      </c>
      <c r="C303" s="9">
        <v>437</v>
      </c>
      <c r="D303" s="9">
        <v>1678604</v>
      </c>
      <c r="E303" s="7" t="str">
        <f t="shared" si="4"/>
        <v>305010926964371678604</v>
      </c>
      <c r="F303" s="9">
        <v>34246846348662</v>
      </c>
      <c r="G303" s="7" t="s">
        <v>718</v>
      </c>
      <c r="H303" s="9">
        <v>30501092696</v>
      </c>
      <c r="I303" s="7" t="s">
        <v>262</v>
      </c>
      <c r="J303" s="9">
        <v>1</v>
      </c>
      <c r="K303" s="7" t="s">
        <v>719</v>
      </c>
      <c r="L303" s="11">
        <v>2361465.52</v>
      </c>
      <c r="M303" s="11">
        <v>0</v>
      </c>
      <c r="N303" s="11">
        <v>0</v>
      </c>
      <c r="O303" s="11">
        <v>0</v>
      </c>
      <c r="P303" s="11">
        <v>495907.76</v>
      </c>
      <c r="Q303" s="11">
        <v>3034483.2</v>
      </c>
      <c r="R303">
        <f>VLOOKUP(E303,'IVA COMPRAS'!K:P,6,FALSE)</f>
        <v>3034483.2</v>
      </c>
    </row>
    <row r="304" spans="1:18" hidden="1" x14ac:dyDescent="0.25">
      <c r="A304" s="7" t="s">
        <v>786</v>
      </c>
      <c r="B304" s="7" t="s">
        <v>717</v>
      </c>
      <c r="C304" s="9">
        <v>437</v>
      </c>
      <c r="D304" s="9">
        <v>1678605</v>
      </c>
      <c r="E304" s="7" t="str">
        <f t="shared" si="4"/>
        <v>305010926964371678605</v>
      </c>
      <c r="F304" s="9">
        <v>34246846348662</v>
      </c>
      <c r="G304" s="7" t="s">
        <v>718</v>
      </c>
      <c r="H304" s="9">
        <v>30501092696</v>
      </c>
      <c r="I304" s="7" t="s">
        <v>262</v>
      </c>
      <c r="J304" s="9">
        <v>1</v>
      </c>
      <c r="K304" s="7" t="s">
        <v>719</v>
      </c>
      <c r="L304" s="11">
        <v>10680637.48</v>
      </c>
      <c r="M304" s="11">
        <v>0</v>
      </c>
      <c r="N304" s="11">
        <v>0</v>
      </c>
      <c r="O304" s="11">
        <v>0</v>
      </c>
      <c r="P304" s="11">
        <v>2242933.87</v>
      </c>
      <c r="Q304" s="11">
        <v>13724619.130000001</v>
      </c>
      <c r="R304">
        <f>VLOOKUP(E304,'IVA COMPRAS'!K:P,6,FALSE)</f>
        <v>13724619.130000001</v>
      </c>
    </row>
    <row r="305" spans="1:18" hidden="1" x14ac:dyDescent="0.25">
      <c r="A305" s="7" t="s">
        <v>786</v>
      </c>
      <c r="B305" s="7" t="s">
        <v>717</v>
      </c>
      <c r="C305" s="9">
        <v>437</v>
      </c>
      <c r="D305" s="9">
        <v>1678606</v>
      </c>
      <c r="E305" s="7" t="str">
        <f t="shared" si="4"/>
        <v>305010926964371678606</v>
      </c>
      <c r="F305" s="9">
        <v>34246846348662</v>
      </c>
      <c r="G305" s="7" t="s">
        <v>718</v>
      </c>
      <c r="H305" s="9">
        <v>30501092696</v>
      </c>
      <c r="I305" s="7" t="s">
        <v>262</v>
      </c>
      <c r="J305" s="9">
        <v>1</v>
      </c>
      <c r="K305" s="7" t="s">
        <v>719</v>
      </c>
      <c r="L305" s="11">
        <v>2156049.5699999998</v>
      </c>
      <c r="M305" s="11">
        <v>0</v>
      </c>
      <c r="N305" s="11">
        <v>0</v>
      </c>
      <c r="O305" s="11">
        <v>0</v>
      </c>
      <c r="P305" s="11">
        <v>452770.41</v>
      </c>
      <c r="Q305" s="11">
        <v>2770523.68</v>
      </c>
      <c r="R305">
        <f>VLOOKUP(E305,'IVA COMPRAS'!K:P,6,FALSE)</f>
        <v>2770523.68</v>
      </c>
    </row>
    <row r="306" spans="1:18" hidden="1" x14ac:dyDescent="0.25">
      <c r="A306" s="7" t="s">
        <v>772</v>
      </c>
      <c r="B306" s="7" t="s">
        <v>717</v>
      </c>
      <c r="C306" s="9">
        <v>3</v>
      </c>
      <c r="D306" s="9">
        <v>3940</v>
      </c>
      <c r="E306" s="7" t="str">
        <f t="shared" si="4"/>
        <v>3071529613233940</v>
      </c>
      <c r="F306" s="9">
        <v>74252997672633</v>
      </c>
      <c r="G306" s="7" t="s">
        <v>718</v>
      </c>
      <c r="H306" s="9">
        <v>30715296132</v>
      </c>
      <c r="I306" s="7" t="s">
        <v>434</v>
      </c>
      <c r="J306" s="9">
        <v>1</v>
      </c>
      <c r="K306" s="7" t="s">
        <v>719</v>
      </c>
      <c r="L306" s="11">
        <v>1834710.8</v>
      </c>
      <c r="M306" s="11">
        <v>0</v>
      </c>
      <c r="N306" s="11">
        <v>0</v>
      </c>
      <c r="O306" s="11">
        <v>0</v>
      </c>
      <c r="P306" s="11">
        <v>385289.27</v>
      </c>
      <c r="Q306" s="11">
        <v>2220000.0699999998</v>
      </c>
      <c r="R306">
        <f>VLOOKUP(E306,'IVA COMPRAS'!K:P,6,FALSE)</f>
        <v>2220000.0699999998</v>
      </c>
    </row>
    <row r="307" spans="1:18" hidden="1" x14ac:dyDescent="0.25">
      <c r="A307" s="7" t="s">
        <v>772</v>
      </c>
      <c r="B307" s="7" t="s">
        <v>722</v>
      </c>
      <c r="C307" s="9">
        <v>3</v>
      </c>
      <c r="D307" s="9">
        <v>135</v>
      </c>
      <c r="E307" s="7" t="str">
        <f t="shared" si="4"/>
        <v>307152961323135</v>
      </c>
      <c r="F307" s="9">
        <v>74252034614353</v>
      </c>
      <c r="G307" s="7" t="s">
        <v>718</v>
      </c>
      <c r="H307" s="9">
        <v>30715296132</v>
      </c>
      <c r="I307" s="7" t="s">
        <v>434</v>
      </c>
      <c r="J307" s="9">
        <v>1</v>
      </c>
      <c r="K307" s="7" t="s">
        <v>719</v>
      </c>
      <c r="L307" s="11">
        <v>91735.54</v>
      </c>
      <c r="M307" s="11">
        <v>0</v>
      </c>
      <c r="N307" s="11">
        <v>0</v>
      </c>
      <c r="O307" s="11">
        <v>0</v>
      </c>
      <c r="P307" s="11">
        <v>19264.46</v>
      </c>
      <c r="Q307" s="11">
        <v>111000</v>
      </c>
      <c r="R307">
        <f>VLOOKUP(E307,'IVA COMPRAS'!K:P,6,FALSE)</f>
        <v>-111000</v>
      </c>
    </row>
    <row r="308" spans="1:18" hidden="1" x14ac:dyDescent="0.25">
      <c r="A308" s="7" t="s">
        <v>738</v>
      </c>
      <c r="B308" s="7" t="s">
        <v>730</v>
      </c>
      <c r="C308" s="9">
        <v>2</v>
      </c>
      <c r="D308" s="9">
        <v>6</v>
      </c>
      <c r="E308" s="7" t="str">
        <f t="shared" si="4"/>
        <v>2332453310926</v>
      </c>
      <c r="F308" s="9">
        <v>74239632603319</v>
      </c>
      <c r="G308" s="7" t="s">
        <v>718</v>
      </c>
      <c r="H308" s="9">
        <v>23324533109</v>
      </c>
      <c r="I308" s="7" t="s">
        <v>746</v>
      </c>
      <c r="J308" s="9">
        <v>1</v>
      </c>
      <c r="K308" s="7" t="s">
        <v>719</v>
      </c>
      <c r="L308" s="11"/>
      <c r="M308" s="11"/>
      <c r="N308" s="11"/>
      <c r="O308" s="11">
        <v>0</v>
      </c>
      <c r="P308" s="11"/>
      <c r="Q308" s="11">
        <v>31673</v>
      </c>
      <c r="R308" t="s">
        <v>790</v>
      </c>
    </row>
    <row r="309" spans="1:18" hidden="1" x14ac:dyDescent="0.25">
      <c r="A309" s="7" t="s">
        <v>726</v>
      </c>
      <c r="B309" s="7" t="s">
        <v>717</v>
      </c>
      <c r="C309" s="9">
        <v>1</v>
      </c>
      <c r="D309" s="9">
        <v>500614</v>
      </c>
      <c r="E309" s="7" t="str">
        <f t="shared" si="4"/>
        <v>337163077491500614</v>
      </c>
      <c r="F309" s="9">
        <v>74239916443300</v>
      </c>
      <c r="G309" s="7" t="s">
        <v>718</v>
      </c>
      <c r="H309" s="9">
        <v>33716307749</v>
      </c>
      <c r="I309" s="7" t="s">
        <v>62</v>
      </c>
      <c r="J309" s="9">
        <v>1</v>
      </c>
      <c r="K309" s="7" t="s">
        <v>719</v>
      </c>
      <c r="L309" s="11">
        <v>33638.839999999997</v>
      </c>
      <c r="M309" s="11">
        <v>0</v>
      </c>
      <c r="N309" s="11">
        <v>0</v>
      </c>
      <c r="O309" s="11">
        <v>0</v>
      </c>
      <c r="P309" s="11">
        <v>7064.16</v>
      </c>
      <c r="Q309" s="11">
        <v>41236.58</v>
      </c>
      <c r="R309">
        <f>VLOOKUP(E309,'IVA COMPRAS'!K:P,6,FALSE)</f>
        <v>41236.58</v>
      </c>
    </row>
    <row r="310" spans="1:18" hidden="1" x14ac:dyDescent="0.25">
      <c r="A310" s="7" t="s">
        <v>716</v>
      </c>
      <c r="B310" s="7" t="s">
        <v>717</v>
      </c>
      <c r="C310" s="9">
        <v>43</v>
      </c>
      <c r="D310" s="9">
        <v>297442</v>
      </c>
      <c r="E310" s="7" t="str">
        <f t="shared" si="4"/>
        <v>3050097982443297442</v>
      </c>
      <c r="F310" s="9">
        <v>34224658096404</v>
      </c>
      <c r="G310" s="7" t="s">
        <v>718</v>
      </c>
      <c r="H310" s="9">
        <v>30500979824</v>
      </c>
      <c r="I310" s="7" t="s">
        <v>721</v>
      </c>
      <c r="J310" s="9">
        <v>1</v>
      </c>
      <c r="K310" s="7" t="s">
        <v>719</v>
      </c>
      <c r="L310" s="11">
        <v>1441217.33</v>
      </c>
      <c r="M310" s="11">
        <v>0</v>
      </c>
      <c r="N310" s="11">
        <v>0</v>
      </c>
      <c r="O310" s="11">
        <v>0</v>
      </c>
      <c r="P310" s="11">
        <v>302655.64</v>
      </c>
      <c r="Q310" s="11">
        <v>1851964.28</v>
      </c>
      <c r="R310">
        <f>VLOOKUP(E310,'IVA COMPRAS'!K:P,6,FALSE)</f>
        <v>1851964.28</v>
      </c>
    </row>
    <row r="311" spans="1:18" hidden="1" x14ac:dyDescent="0.25">
      <c r="A311" s="7" t="s">
        <v>777</v>
      </c>
      <c r="B311" s="7" t="s">
        <v>717</v>
      </c>
      <c r="C311" s="9">
        <v>43</v>
      </c>
      <c r="D311" s="9">
        <v>299915</v>
      </c>
      <c r="E311" s="7" t="str">
        <f t="shared" si="4"/>
        <v>3050097982443299915</v>
      </c>
      <c r="F311" s="9">
        <v>34244248468170</v>
      </c>
      <c r="G311" s="7" t="s">
        <v>718</v>
      </c>
      <c r="H311" s="9">
        <v>30500979824</v>
      </c>
      <c r="I311" s="7" t="s">
        <v>721</v>
      </c>
      <c r="J311" s="9">
        <v>1</v>
      </c>
      <c r="K311" s="7" t="s">
        <v>719</v>
      </c>
      <c r="L311" s="11">
        <v>1693267.19</v>
      </c>
      <c r="M311" s="11">
        <v>0</v>
      </c>
      <c r="N311" s="11">
        <v>0</v>
      </c>
      <c r="O311" s="11">
        <v>0</v>
      </c>
      <c r="P311" s="11">
        <v>355586.11</v>
      </c>
      <c r="Q311" s="11">
        <v>2175848.35</v>
      </c>
      <c r="R311">
        <f>VLOOKUP(E311,'IVA COMPRAS'!K:P,6,FALSE)</f>
        <v>2175848.35</v>
      </c>
    </row>
    <row r="312" spans="1:18" hidden="1" x14ac:dyDescent="0.25">
      <c r="A312" s="7" t="s">
        <v>731</v>
      </c>
      <c r="B312" s="7" t="s">
        <v>730</v>
      </c>
      <c r="C312" s="9">
        <v>3</v>
      </c>
      <c r="D312" s="9">
        <v>5361</v>
      </c>
      <c r="E312" s="7" t="str">
        <f t="shared" si="4"/>
        <v>2018056301735361</v>
      </c>
      <c r="F312" s="9">
        <v>74237309321175</v>
      </c>
      <c r="G312" s="7" t="s">
        <v>718</v>
      </c>
      <c r="H312" s="9">
        <v>20180563017</v>
      </c>
      <c r="I312" s="7" t="s">
        <v>135</v>
      </c>
      <c r="J312" s="9">
        <v>1</v>
      </c>
      <c r="K312" s="7" t="s">
        <v>719</v>
      </c>
      <c r="L312" s="11"/>
      <c r="M312" s="11"/>
      <c r="N312" s="11"/>
      <c r="O312" s="11">
        <v>0</v>
      </c>
      <c r="P312" s="11"/>
      <c r="Q312" s="11">
        <v>200000</v>
      </c>
      <c r="R312">
        <f>VLOOKUP(E312,'IVA COMPRAS'!K:P,6,FALSE)</f>
        <v>200000</v>
      </c>
    </row>
    <row r="313" spans="1:18" hidden="1" x14ac:dyDescent="0.25">
      <c r="A313" s="7" t="s">
        <v>779</v>
      </c>
      <c r="B313" s="7" t="s">
        <v>717</v>
      </c>
      <c r="C313" s="9">
        <v>30</v>
      </c>
      <c r="D313" s="9">
        <v>10019</v>
      </c>
      <c r="E313" s="7" t="str">
        <f t="shared" si="4"/>
        <v>306952436733010019</v>
      </c>
      <c r="F313" s="9">
        <v>74263573706231</v>
      </c>
      <c r="G313" s="7" t="s">
        <v>718</v>
      </c>
      <c r="H313" s="9">
        <v>30695243673</v>
      </c>
      <c r="I313" s="7" t="s">
        <v>499</v>
      </c>
      <c r="J313" s="9">
        <v>1</v>
      </c>
      <c r="K313" s="7" t="s">
        <v>719</v>
      </c>
      <c r="L313" s="11">
        <v>53852.52</v>
      </c>
      <c r="M313" s="11">
        <v>0</v>
      </c>
      <c r="N313" s="11">
        <v>0</v>
      </c>
      <c r="O313" s="11">
        <v>0</v>
      </c>
      <c r="P313" s="11">
        <v>11309.03</v>
      </c>
      <c r="Q313" s="11">
        <v>72641.14</v>
      </c>
      <c r="R313">
        <f>VLOOKUP(E313,'IVA COMPRAS'!K:P,6,FALSE)</f>
        <v>72641.14</v>
      </c>
    </row>
    <row r="314" spans="1:18" hidden="1" x14ac:dyDescent="0.25">
      <c r="A314" s="7" t="s">
        <v>771</v>
      </c>
      <c r="B314" s="7" t="s">
        <v>730</v>
      </c>
      <c r="C314" s="9">
        <v>2</v>
      </c>
      <c r="D314" s="9">
        <v>98</v>
      </c>
      <c r="E314" s="7" t="str">
        <f t="shared" si="4"/>
        <v>20317431954298</v>
      </c>
      <c r="F314" s="9">
        <v>74254954250897</v>
      </c>
      <c r="G314" s="7" t="s">
        <v>718</v>
      </c>
      <c r="H314" s="9">
        <v>20317431954</v>
      </c>
      <c r="I314" s="7" t="s">
        <v>418</v>
      </c>
      <c r="J314" s="9">
        <v>1</v>
      </c>
      <c r="K314" s="7" t="s">
        <v>719</v>
      </c>
      <c r="L314" s="11"/>
      <c r="M314" s="11"/>
      <c r="N314" s="11"/>
      <c r="O314" s="11">
        <v>0</v>
      </c>
      <c r="P314" s="11"/>
      <c r="Q314" s="11">
        <v>30000</v>
      </c>
      <c r="R314">
        <f>VLOOKUP(E314,'IVA COMPRAS'!K:P,6,FALSE)</f>
        <v>30000</v>
      </c>
    </row>
  </sheetData>
  <autoFilter ref="A1:R314">
    <filterColumn colId="17">
      <filters>
        <filter val="#N/A"/>
      </filters>
    </filterColumn>
  </autoFilter>
  <sortState ref="A2:R314">
    <sortCondition ref="I2:I314"/>
    <sortCondition ref="A2:A3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IVA COMPRAS</vt:lpstr>
      <vt:lpstr>MIS COMPROBANTES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Zuppelli</dc:creator>
  <cp:lastModifiedBy>Claudia Zuppelli</cp:lastModifiedBy>
  <dcterms:created xsi:type="dcterms:W3CDTF">2024-07-16T16:07:54Z</dcterms:created>
  <dcterms:modified xsi:type="dcterms:W3CDTF">2024-07-17T15:19:50Z</dcterms:modified>
</cp:coreProperties>
</file>