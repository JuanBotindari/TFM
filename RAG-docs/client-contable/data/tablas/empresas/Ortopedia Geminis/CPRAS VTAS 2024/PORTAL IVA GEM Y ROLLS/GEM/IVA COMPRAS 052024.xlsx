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116" windowHeight="11400" activeTab="1"/>
  </bookViews>
  <sheets>
    <sheet name="IVA COMPRAS" sheetId="1" r:id="rId1"/>
    <sheet name="MIS COMPROBANTES" sheetId="2" r:id="rId2"/>
    <sheet name="Hoja3" sheetId="3" r:id="rId3"/>
  </sheets>
  <definedNames>
    <definedName name="_xlnm._FilterDatabase" localSheetId="0" hidden="1">'IVA COMPRAS'!$A$1:$T$1</definedName>
    <definedName name="_xlnm._FilterDatabase" localSheetId="1" hidden="1">'MIS COMPROBANTES'!$A$1:$R$337</definedName>
  </definedNames>
  <calcPr calcId="144525"/>
</workbook>
</file>

<file path=xl/calcChain.xml><?xml version="1.0" encoding="utf-8"?>
<calcChain xmlns="http://schemas.openxmlformats.org/spreadsheetml/2006/main">
  <c r="E52" i="2" l="1"/>
  <c r="R52" i="2" s="1"/>
  <c r="E9" i="2"/>
  <c r="R9" i="2" s="1"/>
  <c r="E236" i="2"/>
  <c r="E287" i="2"/>
  <c r="R287" i="2" s="1"/>
  <c r="E21" i="2"/>
  <c r="R21" i="2" s="1"/>
  <c r="E70" i="2"/>
  <c r="R70" i="2" s="1"/>
  <c r="E288" i="2"/>
  <c r="R288" i="2" s="1"/>
  <c r="E22" i="2"/>
  <c r="R22" i="2" s="1"/>
  <c r="E95" i="2"/>
  <c r="R95" i="2" s="1"/>
  <c r="E96" i="2"/>
  <c r="R96" i="2" s="1"/>
  <c r="E97" i="2"/>
  <c r="R97" i="2" s="1"/>
  <c r="E98" i="2"/>
  <c r="R98" i="2" s="1"/>
  <c r="E86" i="2"/>
  <c r="R86" i="2" s="1"/>
  <c r="E144" i="2"/>
  <c r="R144" i="2" s="1"/>
  <c r="E134" i="2"/>
  <c r="R134" i="2" s="1"/>
  <c r="E135" i="2"/>
  <c r="R135" i="2" s="1"/>
  <c r="E305" i="2"/>
  <c r="R305" i="2" s="1"/>
  <c r="E23" i="2"/>
  <c r="R23" i="2" s="1"/>
  <c r="E145" i="2"/>
  <c r="R145" i="2" s="1"/>
  <c r="E130" i="2"/>
  <c r="R130" i="2" s="1"/>
  <c r="E53" i="2"/>
  <c r="R53" i="2" s="1"/>
  <c r="E337" i="2"/>
  <c r="R337" i="2" s="1"/>
  <c r="E54" i="2"/>
  <c r="R54" i="2" s="1"/>
  <c r="E237" i="2"/>
  <c r="R237" i="2" s="1"/>
  <c r="E15" i="2"/>
  <c r="R15" i="2" s="1"/>
  <c r="E55" i="2"/>
  <c r="R55" i="2" s="1"/>
  <c r="E56" i="2"/>
  <c r="R56" i="2" s="1"/>
  <c r="E57" i="2"/>
  <c r="R57" i="2" s="1"/>
  <c r="E27" i="2"/>
  <c r="R27" i="2" s="1"/>
  <c r="E331" i="2"/>
  <c r="R331" i="2" s="1"/>
  <c r="E196" i="2"/>
  <c r="R196" i="2" s="1"/>
  <c r="E165" i="2"/>
  <c r="R165" i="2" s="1"/>
  <c r="E166" i="2"/>
  <c r="R166" i="2" s="1"/>
  <c r="E28" i="2"/>
  <c r="R28" i="2" s="1"/>
  <c r="E271" i="2"/>
  <c r="R271" i="2" s="1"/>
  <c r="E176" i="2"/>
  <c r="R176" i="2" s="1"/>
  <c r="E148" i="2"/>
  <c r="R148" i="2" s="1"/>
  <c r="E16" i="2"/>
  <c r="R16" i="2" s="1"/>
  <c r="E17" i="2"/>
  <c r="R17" i="2" s="1"/>
  <c r="E168" i="2"/>
  <c r="R168" i="2" s="1"/>
  <c r="E66" i="2"/>
  <c r="R66" i="2" s="1"/>
  <c r="E184" i="2"/>
  <c r="R184" i="2" s="1"/>
  <c r="E149" i="2"/>
  <c r="R149" i="2" s="1"/>
  <c r="E333" i="2"/>
  <c r="R333" i="2" s="1"/>
  <c r="E230" i="2"/>
  <c r="R230" i="2" s="1"/>
  <c r="E119" i="2"/>
  <c r="R119" i="2" s="1"/>
  <c r="E299" i="2"/>
  <c r="R299" i="2" s="1"/>
  <c r="E74" i="2"/>
  <c r="R74" i="2" s="1"/>
  <c r="E273" i="2"/>
  <c r="R273" i="2" s="1"/>
  <c r="E307" i="2"/>
  <c r="R307" i="2" s="1"/>
  <c r="E300" i="2"/>
  <c r="R300" i="2" s="1"/>
  <c r="E11" i="2"/>
  <c r="E238" i="2"/>
  <c r="R238" i="2" s="1"/>
  <c r="E2" i="2"/>
  <c r="R2" i="2" s="1"/>
  <c r="E5" i="2"/>
  <c r="R5" i="2" s="1"/>
  <c r="E316" i="2"/>
  <c r="R316" i="2" s="1"/>
  <c r="E317" i="2"/>
  <c r="R317" i="2" s="1"/>
  <c r="E318" i="2"/>
  <c r="R318" i="2" s="1"/>
  <c r="E319" i="2"/>
  <c r="R319" i="2" s="1"/>
  <c r="E320" i="2"/>
  <c r="R320" i="2" s="1"/>
  <c r="E3" i="2"/>
  <c r="R3" i="2" s="1"/>
  <c r="E36" i="2"/>
  <c r="R36" i="2" s="1"/>
  <c r="E37" i="2"/>
  <c r="R37" i="2" s="1"/>
  <c r="E38" i="2"/>
  <c r="R38" i="2" s="1"/>
  <c r="E129" i="2"/>
  <c r="E12" i="2"/>
  <c r="E10" i="2"/>
  <c r="R10" i="2" s="1"/>
  <c r="E294" i="2"/>
  <c r="R294" i="2" s="1"/>
  <c r="E296" i="2"/>
  <c r="R296" i="2" s="1"/>
  <c r="E150" i="2"/>
  <c r="R150" i="2" s="1"/>
  <c r="E213" i="2"/>
  <c r="R213" i="2" s="1"/>
  <c r="E289" i="2"/>
  <c r="R289" i="2" s="1"/>
  <c r="E120" i="2"/>
  <c r="R120" i="2" s="1"/>
  <c r="E308" i="2"/>
  <c r="R308" i="2" s="1"/>
  <c r="E151" i="2"/>
  <c r="R151" i="2" s="1"/>
  <c r="E136" i="2"/>
  <c r="R136" i="2" s="1"/>
  <c r="E26" i="2"/>
  <c r="R26" i="2" s="1"/>
  <c r="E131" i="2"/>
  <c r="R131" i="2" s="1"/>
  <c r="E114" i="2"/>
  <c r="R114" i="2" s="1"/>
  <c r="E115" i="2"/>
  <c r="R115" i="2" s="1"/>
  <c r="E116" i="2"/>
  <c r="R116" i="2" s="1"/>
  <c r="E177" i="2"/>
  <c r="R177" i="2" s="1"/>
  <c r="E137" i="2"/>
  <c r="R137" i="2" s="1"/>
  <c r="E248" i="2"/>
  <c r="R248" i="2" s="1"/>
  <c r="E328" i="2"/>
  <c r="R328" i="2" s="1"/>
  <c r="E163" i="2"/>
  <c r="R163" i="2" s="1"/>
  <c r="E50" i="2"/>
  <c r="R50" i="2" s="1"/>
  <c r="E58" i="2"/>
  <c r="R58" i="2" s="1"/>
  <c r="E59" i="2"/>
  <c r="R59" i="2" s="1"/>
  <c r="E76" i="2"/>
  <c r="R76" i="2" s="1"/>
  <c r="E77" i="2"/>
  <c r="R77" i="2" s="1"/>
  <c r="E274" i="2"/>
  <c r="E87" i="2"/>
  <c r="R87" i="2" s="1"/>
  <c r="E301" i="2"/>
  <c r="R301" i="2" s="1"/>
  <c r="E182" i="2"/>
  <c r="R182" i="2" s="1"/>
  <c r="E99" i="2"/>
  <c r="R99" i="2" s="1"/>
  <c r="E73" i="2"/>
  <c r="R73" i="2" s="1"/>
  <c r="E121" i="2"/>
  <c r="R121" i="2" s="1"/>
  <c r="E67" i="2"/>
  <c r="R67" i="2" s="1"/>
  <c r="E211" i="2"/>
  <c r="E275" i="2"/>
  <c r="R275" i="2" s="1"/>
  <c r="E197" i="2"/>
  <c r="R197" i="2" s="1"/>
  <c r="E198" i="2"/>
  <c r="E239" i="2"/>
  <c r="R239" i="2" s="1"/>
  <c r="E272" i="2"/>
  <c r="R272" i="2" s="1"/>
  <c r="E189" i="2"/>
  <c r="R189" i="2" s="1"/>
  <c r="E190" i="2"/>
  <c r="R190" i="2" s="1"/>
  <c r="E153" i="2"/>
  <c r="R153" i="2" s="1"/>
  <c r="E185" i="2"/>
  <c r="R185" i="2" s="1"/>
  <c r="E146" i="2"/>
  <c r="R146" i="2" s="1"/>
  <c r="E231" i="2"/>
  <c r="R231" i="2" s="1"/>
  <c r="E254" i="2"/>
  <c r="R254" i="2" s="1"/>
  <c r="E255" i="2"/>
  <c r="R255" i="2" s="1"/>
  <c r="E290" i="2"/>
  <c r="R290" i="2" s="1"/>
  <c r="E206" i="2"/>
  <c r="R206" i="2" s="1"/>
  <c r="E6" i="2"/>
  <c r="R6" i="2" s="1"/>
  <c r="E161" i="2"/>
  <c r="E191" i="2"/>
  <c r="R191" i="2" s="1"/>
  <c r="E147" i="2"/>
  <c r="R147" i="2" s="1"/>
  <c r="E132" i="2"/>
  <c r="R132" i="2" s="1"/>
  <c r="E199" i="2"/>
  <c r="R199" i="2" s="1"/>
  <c r="E240" i="2"/>
  <c r="R240" i="2" s="1"/>
  <c r="E214" i="2"/>
  <c r="R214" i="2" s="1"/>
  <c r="E249" i="2"/>
  <c r="E122" i="2"/>
  <c r="R122" i="2" s="1"/>
  <c r="E162" i="2"/>
  <c r="R162" i="2" s="1"/>
  <c r="E160" i="2"/>
  <c r="R160" i="2" s="1"/>
  <c r="E65" i="2"/>
  <c r="R65" i="2" s="1"/>
  <c r="E200" i="2"/>
  <c r="E321" i="2"/>
  <c r="E39" i="2"/>
  <c r="R39" i="2" s="1"/>
  <c r="E40" i="2"/>
  <c r="R40" i="2" s="1"/>
  <c r="E4" i="2"/>
  <c r="R4" i="2" s="1"/>
  <c r="E41" i="2"/>
  <c r="R41" i="2" s="1"/>
  <c r="E78" i="2"/>
  <c r="R78" i="2" s="1"/>
  <c r="E29" i="2"/>
  <c r="R29" i="2" s="1"/>
  <c r="E291" i="2"/>
  <c r="R291" i="2" s="1"/>
  <c r="E138" i="2"/>
  <c r="R138" i="2" s="1"/>
  <c r="E212" i="2"/>
  <c r="R212" i="2" s="1"/>
  <c r="E250" i="2"/>
  <c r="E193" i="2"/>
  <c r="R193" i="2" s="1"/>
  <c r="E215" i="2"/>
  <c r="R215" i="2" s="1"/>
  <c r="E51" i="2"/>
  <c r="R51" i="2" s="1"/>
  <c r="E216" i="2"/>
  <c r="R216" i="2" s="1"/>
  <c r="E170" i="2"/>
  <c r="R170" i="2" s="1"/>
  <c r="E180" i="2"/>
  <c r="R180" i="2" s="1"/>
  <c r="E71" i="2"/>
  <c r="R71" i="2" s="1"/>
  <c r="E232" i="2"/>
  <c r="R232" i="2" s="1"/>
  <c r="E302" i="2"/>
  <c r="R302" i="2" s="1"/>
  <c r="E88" i="2"/>
  <c r="R88" i="2" s="1"/>
  <c r="E322" i="2"/>
  <c r="R322" i="2" s="1"/>
  <c r="E323" i="2"/>
  <c r="E324" i="2"/>
  <c r="E325" i="2"/>
  <c r="E326" i="2"/>
  <c r="R326" i="2" s="1"/>
  <c r="E327" i="2"/>
  <c r="E154" i="2"/>
  <c r="R154" i="2" s="1"/>
  <c r="E334" i="2"/>
  <c r="R334" i="2" s="1"/>
  <c r="E24" i="2"/>
  <c r="R24" i="2" s="1"/>
  <c r="E18" i="2"/>
  <c r="R18" i="2" s="1"/>
  <c r="E217" i="2"/>
  <c r="R217" i="2" s="1"/>
  <c r="E68" i="2"/>
  <c r="R68" i="2" s="1"/>
  <c r="E241" i="2"/>
  <c r="R241" i="2" s="1"/>
  <c r="E19" i="2"/>
  <c r="R19" i="2" s="1"/>
  <c r="E30" i="2"/>
  <c r="R30" i="2" s="1"/>
  <c r="E276" i="2"/>
  <c r="R276" i="2" s="1"/>
  <c r="E171" i="2"/>
  <c r="R171" i="2" s="1"/>
  <c r="E123" i="2"/>
  <c r="R123" i="2" s="1"/>
  <c r="E31" i="2"/>
  <c r="R31" i="2" s="1"/>
  <c r="E20" i="2"/>
  <c r="R20" i="2" s="1"/>
  <c r="E25" i="2"/>
  <c r="R25" i="2" s="1"/>
  <c r="E233" i="2"/>
  <c r="R233" i="2" s="1"/>
  <c r="E108" i="2"/>
  <c r="R108" i="2" s="1"/>
  <c r="E109" i="2"/>
  <c r="R109" i="2" s="1"/>
  <c r="E110" i="2"/>
  <c r="R110" i="2" s="1"/>
  <c r="E124" i="2"/>
  <c r="R124" i="2" s="1"/>
  <c r="E218" i="2"/>
  <c r="R218" i="2" s="1"/>
  <c r="E42" i="2"/>
  <c r="R42" i="2" s="1"/>
  <c r="E43" i="2"/>
  <c r="R43" i="2" s="1"/>
  <c r="E312" i="2"/>
  <c r="R312" i="2" s="1"/>
  <c r="E32" i="2"/>
  <c r="R32" i="2" s="1"/>
  <c r="E277" i="2"/>
  <c r="R277" i="2" s="1"/>
  <c r="E169" i="2"/>
  <c r="R169" i="2" s="1"/>
  <c r="E278" i="2"/>
  <c r="E181" i="2"/>
  <c r="R181" i="2" s="1"/>
  <c r="E167" i="2"/>
  <c r="R167" i="2" s="1"/>
  <c r="E33" i="2"/>
  <c r="R33" i="2" s="1"/>
  <c r="E242" i="2"/>
  <c r="R242" i="2" s="1"/>
  <c r="E178" i="2"/>
  <c r="R178" i="2" s="1"/>
  <c r="E139" i="2"/>
  <c r="R139" i="2" s="1"/>
  <c r="E219" i="2"/>
  <c r="R219" i="2" s="1"/>
  <c r="E251" i="2"/>
  <c r="E89" i="2"/>
  <c r="R89" i="2" s="1"/>
  <c r="E90" i="2"/>
  <c r="R90" i="2" s="1"/>
  <c r="E125" i="2"/>
  <c r="R125" i="2" s="1"/>
  <c r="E297" i="2"/>
  <c r="R297" i="2" s="1"/>
  <c r="E315" i="2"/>
  <c r="R315" i="2" s="1"/>
  <c r="E243" i="2"/>
  <c r="R243" i="2" s="1"/>
  <c r="E152" i="2"/>
  <c r="R152" i="2" s="1"/>
  <c r="E313" i="2"/>
  <c r="R313" i="2" s="1"/>
  <c r="E311" i="2"/>
  <c r="R311" i="2" s="1"/>
  <c r="E117" i="2"/>
  <c r="R117" i="2" s="1"/>
  <c r="E269" i="2"/>
  <c r="R269" i="2" s="1"/>
  <c r="E270" i="2"/>
  <c r="R270" i="2" s="1"/>
  <c r="E79" i="2"/>
  <c r="R79" i="2" s="1"/>
  <c r="E100" i="2"/>
  <c r="R100" i="2" s="1"/>
  <c r="E101" i="2"/>
  <c r="R101" i="2" s="1"/>
  <c r="E102" i="2"/>
  <c r="R102" i="2" s="1"/>
  <c r="E103" i="2"/>
  <c r="R103" i="2" s="1"/>
  <c r="E244" i="2"/>
  <c r="R244" i="2" s="1"/>
  <c r="E60" i="2"/>
  <c r="R60" i="2" s="1"/>
  <c r="E61" i="2"/>
  <c r="R61" i="2" s="1"/>
  <c r="E62" i="2"/>
  <c r="R62" i="2" s="1"/>
  <c r="E310" i="2"/>
  <c r="R310" i="2" s="1"/>
  <c r="E118" i="2"/>
  <c r="R118" i="2" s="1"/>
  <c r="E332" i="2"/>
  <c r="R332" i="2" s="1"/>
  <c r="E186" i="2"/>
  <c r="R186" i="2" s="1"/>
  <c r="E44" i="2"/>
  <c r="R44" i="2" s="1"/>
  <c r="E252" i="2"/>
  <c r="R252" i="2" s="1"/>
  <c r="E80" i="2"/>
  <c r="E226" i="2"/>
  <c r="R226" i="2" s="1"/>
  <c r="E220" i="2"/>
  <c r="R220" i="2" s="1"/>
  <c r="E256" i="2"/>
  <c r="R256" i="2" s="1"/>
  <c r="E257" i="2"/>
  <c r="R257" i="2" s="1"/>
  <c r="E258" i="2"/>
  <c r="R258" i="2" s="1"/>
  <c r="E259" i="2"/>
  <c r="R259" i="2" s="1"/>
  <c r="E126" i="2"/>
  <c r="R126" i="2" s="1"/>
  <c r="E260" i="2"/>
  <c r="R260" i="2" s="1"/>
  <c r="E261" i="2"/>
  <c r="R261" i="2" s="1"/>
  <c r="E221" i="2"/>
  <c r="R221" i="2" s="1"/>
  <c r="E336" i="2"/>
  <c r="R336" i="2" s="1"/>
  <c r="E81" i="2"/>
  <c r="R81" i="2" s="1"/>
  <c r="E82" i="2"/>
  <c r="R82" i="2" s="1"/>
  <c r="E225" i="2"/>
  <c r="R225" i="2" s="1"/>
  <c r="E262" i="2"/>
  <c r="R262" i="2" s="1"/>
  <c r="E263" i="2"/>
  <c r="R263" i="2" s="1"/>
  <c r="E83" i="2"/>
  <c r="E84" i="2"/>
  <c r="E207" i="2"/>
  <c r="R207" i="2" s="1"/>
  <c r="E85" i="2"/>
  <c r="R85" i="2" s="1"/>
  <c r="E227" i="2"/>
  <c r="R227" i="2" s="1"/>
  <c r="E192" i="2"/>
  <c r="R192" i="2" s="1"/>
  <c r="E286" i="2"/>
  <c r="R286" i="2" s="1"/>
  <c r="E292" i="2"/>
  <c r="R292" i="2" s="1"/>
  <c r="E208" i="2"/>
  <c r="R208" i="2" s="1"/>
  <c r="E303" i="2"/>
  <c r="R303" i="2" s="1"/>
  <c r="E201" i="2"/>
  <c r="R201" i="2" s="1"/>
  <c r="E295" i="2"/>
  <c r="R295" i="2" s="1"/>
  <c r="E194" i="2"/>
  <c r="R194" i="2" s="1"/>
  <c r="E63" i="2"/>
  <c r="R63" i="2" s="1"/>
  <c r="E335" i="2"/>
  <c r="R335" i="2" s="1"/>
  <c r="E329" i="2"/>
  <c r="R329" i="2" s="1"/>
  <c r="E205" i="2"/>
  <c r="R205" i="2" s="1"/>
  <c r="E133" i="2"/>
  <c r="R133" i="2" s="1"/>
  <c r="E203" i="2"/>
  <c r="R203" i="2" s="1"/>
  <c r="E155" i="2"/>
  <c r="R155" i="2" s="1"/>
  <c r="E172" i="2"/>
  <c r="R172" i="2" s="1"/>
  <c r="E69" i="2"/>
  <c r="R69" i="2" s="1"/>
  <c r="E45" i="2"/>
  <c r="R45" i="2" s="1"/>
  <c r="E46" i="2"/>
  <c r="R46" i="2" s="1"/>
  <c r="E47" i="2"/>
  <c r="R47" i="2" s="1"/>
  <c r="E253" i="2"/>
  <c r="R253" i="2" s="1"/>
  <c r="E279" i="2"/>
  <c r="R279" i="2" s="1"/>
  <c r="E228" i="2"/>
  <c r="R228" i="2" s="1"/>
  <c r="E104" i="2"/>
  <c r="R104" i="2" s="1"/>
  <c r="E284" i="2"/>
  <c r="R284" i="2" s="1"/>
  <c r="E285" i="2"/>
  <c r="R285" i="2" s="1"/>
  <c r="E127" i="2"/>
  <c r="R127" i="2" s="1"/>
  <c r="E245" i="2"/>
  <c r="R245" i="2" s="1"/>
  <c r="E222" i="2"/>
  <c r="R222" i="2" s="1"/>
  <c r="E143" i="2"/>
  <c r="R143" i="2" s="1"/>
  <c r="E91" i="2"/>
  <c r="R91" i="2" s="1"/>
  <c r="E298" i="2"/>
  <c r="R298" i="2" s="1"/>
  <c r="E280" i="2"/>
  <c r="E158" i="2"/>
  <c r="R158" i="2" s="1"/>
  <c r="E266" i="2"/>
  <c r="R266" i="2" s="1"/>
  <c r="E105" i="2"/>
  <c r="R105" i="2" s="1"/>
  <c r="E92" i="2"/>
  <c r="E106" i="2"/>
  <c r="R106" i="2" s="1"/>
  <c r="E159" i="2"/>
  <c r="R159" i="2" s="1"/>
  <c r="E173" i="2"/>
  <c r="R173" i="2" s="1"/>
  <c r="E174" i="2"/>
  <c r="R174" i="2" s="1"/>
  <c r="E64" i="2"/>
  <c r="R64" i="2" s="1"/>
  <c r="E283" i="2"/>
  <c r="R283" i="2" s="1"/>
  <c r="E48" i="2"/>
  <c r="R48" i="2" s="1"/>
  <c r="E195" i="2"/>
  <c r="R195" i="2" s="1"/>
  <c r="E175" i="2"/>
  <c r="R175" i="2" s="1"/>
  <c r="E293" i="2"/>
  <c r="R293" i="2" s="1"/>
  <c r="E330" i="2"/>
  <c r="R330" i="2" s="1"/>
  <c r="E34" i="2"/>
  <c r="R34" i="2" s="1"/>
  <c r="E72" i="2"/>
  <c r="R72" i="2" s="1"/>
  <c r="E183" i="2"/>
  <c r="R183" i="2" s="1"/>
  <c r="E229" i="2"/>
  <c r="R229" i="2" s="1"/>
  <c r="E128" i="2"/>
  <c r="R128" i="2" s="1"/>
  <c r="E209" i="2"/>
  <c r="R209" i="2" s="1"/>
  <c r="E156" i="2"/>
  <c r="R156" i="2" s="1"/>
  <c r="E234" i="2"/>
  <c r="R234" i="2" s="1"/>
  <c r="E235" i="2"/>
  <c r="R235" i="2" s="1"/>
  <c r="E107" i="2"/>
  <c r="R107" i="2" s="1"/>
  <c r="E157" i="2"/>
  <c r="E210" i="2"/>
  <c r="R210" i="2" s="1"/>
  <c r="E223" i="2"/>
  <c r="E224" i="2"/>
  <c r="R224" i="2" s="1"/>
  <c r="E306" i="2"/>
  <c r="E204" i="2"/>
  <c r="E141" i="2"/>
  <c r="E314" i="2"/>
  <c r="R314" i="2" s="1"/>
  <c r="E281" i="2"/>
  <c r="E202" i="2"/>
  <c r="E282" i="2"/>
  <c r="E140" i="2"/>
  <c r="R140" i="2" s="1"/>
  <c r="E13" i="2"/>
  <c r="E14" i="2"/>
  <c r="E111" i="2"/>
  <c r="E112" i="2"/>
  <c r="R112" i="2" s="1"/>
  <c r="E7" i="2"/>
  <c r="R7" i="2" s="1"/>
  <c r="E246" i="2"/>
  <c r="E247" i="2"/>
  <c r="E164" i="2"/>
  <c r="R164" i="2" s="1"/>
  <c r="E264" i="2"/>
  <c r="E93" i="2"/>
  <c r="E94" i="2"/>
  <c r="E267" i="2"/>
  <c r="R267" i="2" s="1"/>
  <c r="E265" i="2"/>
  <c r="E309" i="2"/>
  <c r="E113" i="2"/>
  <c r="E187" i="2"/>
  <c r="R187" i="2" s="1"/>
  <c r="E188" i="2"/>
  <c r="E304" i="2"/>
  <c r="R304" i="2" s="1"/>
  <c r="E268" i="2"/>
  <c r="E35" i="2"/>
  <c r="R35" i="2" s="1"/>
  <c r="E142" i="2"/>
  <c r="E49" i="2"/>
  <c r="E179" i="2"/>
  <c r="E8" i="2"/>
  <c r="R8" i="2" s="1"/>
  <c r="E75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2" i="1"/>
  <c r="R142" i="2" l="1"/>
  <c r="R188" i="2"/>
  <c r="R265" i="2"/>
  <c r="R264" i="2"/>
  <c r="R13" i="2"/>
  <c r="R281" i="2"/>
  <c r="R306" i="2"/>
  <c r="R157" i="2"/>
  <c r="R80" i="2"/>
  <c r="R251" i="2"/>
  <c r="R278" i="2"/>
  <c r="R327" i="2"/>
  <c r="R323" i="2"/>
  <c r="R250" i="2"/>
  <c r="R249" i="2"/>
  <c r="R211" i="2"/>
  <c r="R274" i="2"/>
  <c r="R11" i="2"/>
  <c r="R179" i="2"/>
  <c r="R268" i="2"/>
  <c r="R113" i="2"/>
  <c r="R94" i="2"/>
  <c r="R247" i="2"/>
  <c r="R111" i="2"/>
  <c r="R282" i="2"/>
  <c r="R141" i="2"/>
  <c r="R223" i="2"/>
  <c r="R92" i="2"/>
  <c r="R280" i="2"/>
  <c r="R84" i="2"/>
  <c r="R325" i="2"/>
  <c r="R321" i="2"/>
  <c r="R12" i="2"/>
  <c r="R198" i="2"/>
  <c r="R49" i="2"/>
  <c r="R309" i="2"/>
  <c r="R93" i="2"/>
  <c r="R246" i="2"/>
  <c r="R14" i="2"/>
  <c r="R202" i="2"/>
  <c r="R204" i="2"/>
  <c r="R83" i="2"/>
  <c r="R324" i="2"/>
  <c r="R200" i="2"/>
  <c r="R161" i="2"/>
  <c r="R129" i="2"/>
  <c r="T21" i="1"/>
  <c r="T49" i="1"/>
  <c r="T565" i="1"/>
  <c r="T553" i="1"/>
  <c r="T545" i="1"/>
  <c r="T533" i="1"/>
  <c r="T521" i="1"/>
  <c r="T503" i="1"/>
  <c r="T487" i="1"/>
  <c r="T471" i="1"/>
  <c r="T439" i="1"/>
  <c r="T401" i="1"/>
  <c r="T335" i="1"/>
  <c r="T277" i="1"/>
  <c r="T164" i="1"/>
  <c r="T107" i="1"/>
  <c r="T79" i="1"/>
  <c r="T6" i="1"/>
  <c r="T10" i="1"/>
  <c r="T14" i="1"/>
  <c r="T18" i="1"/>
  <c r="T22" i="1"/>
  <c r="T26" i="1"/>
  <c r="T30" i="1"/>
  <c r="T34" i="1"/>
  <c r="T38" i="1"/>
  <c r="T42" i="1"/>
  <c r="T46" i="1"/>
  <c r="T50" i="1"/>
  <c r="T54" i="1"/>
  <c r="T58" i="1"/>
  <c r="T62" i="1"/>
  <c r="T66" i="1"/>
  <c r="T70" i="1"/>
  <c r="T74" i="1"/>
  <c r="T78" i="1"/>
  <c r="T82" i="1"/>
  <c r="T86" i="1"/>
  <c r="T90" i="1"/>
  <c r="T94" i="1"/>
  <c r="T98" i="1"/>
  <c r="T102" i="1"/>
  <c r="T106" i="1"/>
  <c r="T110" i="1"/>
  <c r="T114" i="1"/>
  <c r="T118" i="1"/>
  <c r="T122" i="1"/>
  <c r="T126" i="1"/>
  <c r="T130" i="1"/>
  <c r="T134" i="1"/>
  <c r="T138" i="1"/>
  <c r="T142" i="1"/>
  <c r="T146" i="1"/>
  <c r="T150" i="1"/>
  <c r="T154" i="1"/>
  <c r="T158" i="1"/>
  <c r="T162" i="1"/>
  <c r="T166" i="1"/>
  <c r="T170" i="1"/>
  <c r="T174" i="1"/>
  <c r="T178" i="1"/>
  <c r="T182" i="1"/>
  <c r="T186" i="1"/>
  <c r="T190" i="1"/>
  <c r="T194" i="1"/>
  <c r="T198" i="1"/>
  <c r="T202" i="1"/>
  <c r="T206" i="1"/>
  <c r="T210" i="1"/>
  <c r="T214" i="1"/>
  <c r="T218" i="1"/>
  <c r="T222" i="1"/>
  <c r="T226" i="1"/>
  <c r="T230" i="1"/>
  <c r="T234" i="1"/>
  <c r="T238" i="1"/>
  <c r="T242" i="1"/>
  <c r="T246" i="1"/>
  <c r="T250" i="1"/>
  <c r="T254" i="1"/>
  <c r="T258" i="1"/>
  <c r="T262" i="1"/>
  <c r="T266" i="1"/>
  <c r="T270" i="1"/>
  <c r="T274" i="1"/>
  <c r="T278" i="1"/>
  <c r="T282" i="1"/>
  <c r="T286" i="1"/>
  <c r="T290" i="1"/>
  <c r="T294" i="1"/>
  <c r="T298" i="1"/>
  <c r="T302" i="1"/>
  <c r="T306" i="1"/>
  <c r="T310" i="1"/>
  <c r="T314" i="1"/>
  <c r="T318" i="1"/>
  <c r="T322" i="1"/>
  <c r="T326" i="1"/>
  <c r="T330" i="1"/>
  <c r="T334" i="1"/>
  <c r="T338" i="1"/>
  <c r="T342" i="1"/>
  <c r="T3" i="1"/>
  <c r="T8" i="1"/>
  <c r="T13" i="1"/>
  <c r="T19" i="1"/>
  <c r="T24" i="1"/>
  <c r="T29" i="1"/>
  <c r="T35" i="1"/>
  <c r="T40" i="1"/>
  <c r="T45" i="1"/>
  <c r="T51" i="1"/>
  <c r="T56" i="1"/>
  <c r="T61" i="1"/>
  <c r="T67" i="1"/>
  <c r="T72" i="1"/>
  <c r="T77" i="1"/>
  <c r="T83" i="1"/>
  <c r="T88" i="1"/>
  <c r="T93" i="1"/>
  <c r="T99" i="1"/>
  <c r="T104" i="1"/>
  <c r="T109" i="1"/>
  <c r="T115" i="1"/>
  <c r="T120" i="1"/>
  <c r="T125" i="1"/>
  <c r="T131" i="1"/>
  <c r="T136" i="1"/>
  <c r="T141" i="1"/>
  <c r="T147" i="1"/>
  <c r="T152" i="1"/>
  <c r="T157" i="1"/>
  <c r="T163" i="1"/>
  <c r="T168" i="1"/>
  <c r="T173" i="1"/>
  <c r="T179" i="1"/>
  <c r="T184" i="1"/>
  <c r="T189" i="1"/>
  <c r="T195" i="1"/>
  <c r="T200" i="1"/>
  <c r="T205" i="1"/>
  <c r="T211" i="1"/>
  <c r="T216" i="1"/>
  <c r="T221" i="1"/>
  <c r="T227" i="1"/>
  <c r="T232" i="1"/>
  <c r="T237" i="1"/>
  <c r="T243" i="1"/>
  <c r="T248" i="1"/>
  <c r="T253" i="1"/>
  <c r="T259" i="1"/>
  <c r="T264" i="1"/>
  <c r="T269" i="1"/>
  <c r="T275" i="1"/>
  <c r="T280" i="1"/>
  <c r="T285" i="1"/>
  <c r="T291" i="1"/>
  <c r="T296" i="1"/>
  <c r="T301" i="1"/>
  <c r="T307" i="1"/>
  <c r="T312" i="1"/>
  <c r="T317" i="1"/>
  <c r="T323" i="1"/>
  <c r="T328" i="1"/>
  <c r="T333" i="1"/>
  <c r="T339" i="1"/>
  <c r="T344" i="1"/>
  <c r="T348" i="1"/>
  <c r="T352" i="1"/>
  <c r="T356" i="1"/>
  <c r="T360" i="1"/>
  <c r="T364" i="1"/>
  <c r="T368" i="1"/>
  <c r="T372" i="1"/>
  <c r="T376" i="1"/>
  <c r="T380" i="1"/>
  <c r="T384" i="1"/>
  <c r="T388" i="1"/>
  <c r="T392" i="1"/>
  <c r="T396" i="1"/>
  <c r="T400" i="1"/>
  <c r="T404" i="1"/>
  <c r="T408" i="1"/>
  <c r="T412" i="1"/>
  <c r="T416" i="1"/>
  <c r="T420" i="1"/>
  <c r="T424" i="1"/>
  <c r="T4" i="1"/>
  <c r="T11" i="1"/>
  <c r="T17" i="1"/>
  <c r="T25" i="1"/>
  <c r="T32" i="1"/>
  <c r="T39" i="1"/>
  <c r="T47" i="1"/>
  <c r="T53" i="1"/>
  <c r="T60" i="1"/>
  <c r="T68" i="1"/>
  <c r="T75" i="1"/>
  <c r="T81" i="1"/>
  <c r="T89" i="1"/>
  <c r="T96" i="1"/>
  <c r="T103" i="1"/>
  <c r="T111" i="1"/>
  <c r="T117" i="1"/>
  <c r="T124" i="1"/>
  <c r="T132" i="1"/>
  <c r="T139" i="1"/>
  <c r="T145" i="1"/>
  <c r="T153" i="1"/>
  <c r="T160" i="1"/>
  <c r="T167" i="1"/>
  <c r="T175" i="1"/>
  <c r="T181" i="1"/>
  <c r="T188" i="1"/>
  <c r="T196" i="1"/>
  <c r="T203" i="1"/>
  <c r="T209" i="1"/>
  <c r="T217" i="1"/>
  <c r="T224" i="1"/>
  <c r="T231" i="1"/>
  <c r="T239" i="1"/>
  <c r="T245" i="1"/>
  <c r="T252" i="1"/>
  <c r="T260" i="1"/>
  <c r="T267" i="1"/>
  <c r="T273" i="1"/>
  <c r="T281" i="1"/>
  <c r="T288" i="1"/>
  <c r="T295" i="1"/>
  <c r="T303" i="1"/>
  <c r="T309" i="1"/>
  <c r="T316" i="1"/>
  <c r="T324" i="1"/>
  <c r="T331" i="1"/>
  <c r="T337" i="1"/>
  <c r="T345" i="1"/>
  <c r="T350" i="1"/>
  <c r="T355" i="1"/>
  <c r="T361" i="1"/>
  <c r="T366" i="1"/>
  <c r="T371" i="1"/>
  <c r="T377" i="1"/>
  <c r="T382" i="1"/>
  <c r="T387" i="1"/>
  <c r="T393" i="1"/>
  <c r="T398" i="1"/>
  <c r="T403" i="1"/>
  <c r="T409" i="1"/>
  <c r="T414" i="1"/>
  <c r="T419" i="1"/>
  <c r="T425" i="1"/>
  <c r="T429" i="1"/>
  <c r="T433" i="1"/>
  <c r="T437" i="1"/>
  <c r="T441" i="1"/>
  <c r="T445" i="1"/>
  <c r="T449" i="1"/>
  <c r="T453" i="1"/>
  <c r="T457" i="1"/>
  <c r="T461" i="1"/>
  <c r="T5" i="1"/>
  <c r="T12" i="1"/>
  <c r="T20" i="1"/>
  <c r="T27" i="1"/>
  <c r="T33" i="1"/>
  <c r="T41" i="1"/>
  <c r="T48" i="1"/>
  <c r="T55" i="1"/>
  <c r="T63" i="1"/>
  <c r="T69" i="1"/>
  <c r="T76" i="1"/>
  <c r="T84" i="1"/>
  <c r="T91" i="1"/>
  <c r="T97" i="1"/>
  <c r="T105" i="1"/>
  <c r="T112" i="1"/>
  <c r="T119" i="1"/>
  <c r="T127" i="1"/>
  <c r="T133" i="1"/>
  <c r="T140" i="1"/>
  <c r="T148" i="1"/>
  <c r="T155" i="1"/>
  <c r="T161" i="1"/>
  <c r="T169" i="1"/>
  <c r="T176" i="1"/>
  <c r="T183" i="1"/>
  <c r="T191" i="1"/>
  <c r="T197" i="1"/>
  <c r="T204" i="1"/>
  <c r="T212" i="1"/>
  <c r="T219" i="1"/>
  <c r="T225" i="1"/>
  <c r="T233" i="1"/>
  <c r="T240" i="1"/>
  <c r="T247" i="1"/>
  <c r="T255" i="1"/>
  <c r="T261" i="1"/>
  <c r="T268" i="1"/>
  <c r="T276" i="1"/>
  <c r="T283" i="1"/>
  <c r="T289" i="1"/>
  <c r="T297" i="1"/>
  <c r="T304" i="1"/>
  <c r="T311" i="1"/>
  <c r="T319" i="1"/>
  <c r="T325" i="1"/>
  <c r="T332" i="1"/>
  <c r="T340" i="1"/>
  <c r="T346" i="1"/>
  <c r="T351" i="1"/>
  <c r="T357" i="1"/>
  <c r="T362" i="1"/>
  <c r="T367" i="1"/>
  <c r="T373" i="1"/>
  <c r="T378" i="1"/>
  <c r="T383" i="1"/>
  <c r="T389" i="1"/>
  <c r="T394" i="1"/>
  <c r="T399" i="1"/>
  <c r="T405" i="1"/>
  <c r="T410" i="1"/>
  <c r="T415" i="1"/>
  <c r="T421" i="1"/>
  <c r="T426" i="1"/>
  <c r="T430" i="1"/>
  <c r="T434" i="1"/>
  <c r="T438" i="1"/>
  <c r="T442" i="1"/>
  <c r="T446" i="1"/>
  <c r="T450" i="1"/>
  <c r="T454" i="1"/>
  <c r="T458" i="1"/>
  <c r="T462" i="1"/>
  <c r="T466" i="1"/>
  <c r="T470" i="1"/>
  <c r="T474" i="1"/>
  <c r="T478" i="1"/>
  <c r="T482" i="1"/>
  <c r="T486" i="1"/>
  <c r="T490" i="1"/>
  <c r="T494" i="1"/>
  <c r="T498" i="1"/>
  <c r="T502" i="1"/>
  <c r="T506" i="1"/>
  <c r="T510" i="1"/>
  <c r="T9" i="1"/>
  <c r="T16" i="1"/>
  <c r="T23" i="1"/>
  <c r="T31" i="1"/>
  <c r="T37" i="1"/>
  <c r="T44" i="1"/>
  <c r="T52" i="1"/>
  <c r="T59" i="1"/>
  <c r="T65" i="1"/>
  <c r="T73" i="1"/>
  <c r="T80" i="1"/>
  <c r="T87" i="1"/>
  <c r="T95" i="1"/>
  <c r="T101" i="1"/>
  <c r="T108" i="1"/>
  <c r="T116" i="1"/>
  <c r="T123" i="1"/>
  <c r="T129" i="1"/>
  <c r="T137" i="1"/>
  <c r="T144" i="1"/>
  <c r="T151" i="1"/>
  <c r="T159" i="1"/>
  <c r="T165" i="1"/>
  <c r="T172" i="1"/>
  <c r="T180" i="1"/>
  <c r="T187" i="1"/>
  <c r="T193" i="1"/>
  <c r="T201" i="1"/>
  <c r="T208" i="1"/>
  <c r="T215" i="1"/>
  <c r="T223" i="1"/>
  <c r="T229" i="1"/>
  <c r="T236" i="1"/>
  <c r="T244" i="1"/>
  <c r="T251" i="1"/>
  <c r="T257" i="1"/>
  <c r="T265" i="1"/>
  <c r="T272" i="1"/>
  <c r="T279" i="1"/>
  <c r="T287" i="1"/>
  <c r="T293" i="1"/>
  <c r="T300" i="1"/>
  <c r="T308" i="1"/>
  <c r="T315" i="1"/>
  <c r="T321" i="1"/>
  <c r="T329" i="1"/>
  <c r="T336" i="1"/>
  <c r="T343" i="1"/>
  <c r="T349" i="1"/>
  <c r="T354" i="1"/>
  <c r="T359" i="1"/>
  <c r="T365" i="1"/>
  <c r="T370" i="1"/>
  <c r="T375" i="1"/>
  <c r="T381" i="1"/>
  <c r="T386" i="1"/>
  <c r="T391" i="1"/>
  <c r="T397" i="1"/>
  <c r="T402" i="1"/>
  <c r="T407" i="1"/>
  <c r="T413" i="1"/>
  <c r="T418" i="1"/>
  <c r="T423" i="1"/>
  <c r="T428" i="1"/>
  <c r="T432" i="1"/>
  <c r="T436" i="1"/>
  <c r="T440" i="1"/>
  <c r="T444" i="1"/>
  <c r="T448" i="1"/>
  <c r="T452" i="1"/>
  <c r="T456" i="1"/>
  <c r="T460" i="1"/>
  <c r="R75" i="2"/>
  <c r="T2" i="1"/>
  <c r="T562" i="1"/>
  <c r="T558" i="1"/>
  <c r="T554" i="1"/>
  <c r="T550" i="1"/>
  <c r="T546" i="1"/>
  <c r="T542" i="1"/>
  <c r="T538" i="1"/>
  <c r="T534" i="1"/>
  <c r="T530" i="1"/>
  <c r="T526" i="1"/>
  <c r="T522" i="1"/>
  <c r="T518" i="1"/>
  <c r="T514" i="1"/>
  <c r="T509" i="1"/>
  <c r="T504" i="1"/>
  <c r="T499" i="1"/>
  <c r="T493" i="1"/>
  <c r="T488" i="1"/>
  <c r="T483" i="1"/>
  <c r="T477" i="1"/>
  <c r="T472" i="1"/>
  <c r="T467" i="1"/>
  <c r="T459" i="1"/>
  <c r="T443" i="1"/>
  <c r="T427" i="1"/>
  <c r="T406" i="1"/>
  <c r="T385" i="1"/>
  <c r="T363" i="1"/>
  <c r="T341" i="1"/>
  <c r="T313" i="1"/>
  <c r="T284" i="1"/>
  <c r="T256" i="1"/>
  <c r="T228" i="1"/>
  <c r="T199" i="1"/>
  <c r="T171" i="1"/>
  <c r="T143" i="1"/>
  <c r="T113" i="1"/>
  <c r="T85" i="1"/>
  <c r="T57" i="1"/>
  <c r="T28" i="1"/>
  <c r="R236" i="2"/>
  <c r="T557" i="1"/>
  <c r="T537" i="1"/>
  <c r="T525" i="1"/>
  <c r="T513" i="1"/>
  <c r="T497" i="1"/>
  <c r="T481" i="1"/>
  <c r="T455" i="1"/>
  <c r="T379" i="1"/>
  <c r="T305" i="1"/>
  <c r="T220" i="1"/>
  <c r="T564" i="1"/>
  <c r="T560" i="1"/>
  <c r="T556" i="1"/>
  <c r="T552" i="1"/>
  <c r="T548" i="1"/>
  <c r="T544" i="1"/>
  <c r="T540" i="1"/>
  <c r="T536" i="1"/>
  <c r="T532" i="1"/>
  <c r="T528" i="1"/>
  <c r="T524" i="1"/>
  <c r="T520" i="1"/>
  <c r="T516" i="1"/>
  <c r="T512" i="1"/>
  <c r="T507" i="1"/>
  <c r="T501" i="1"/>
  <c r="T496" i="1"/>
  <c r="T491" i="1"/>
  <c r="T485" i="1"/>
  <c r="T480" i="1"/>
  <c r="T475" i="1"/>
  <c r="T469" i="1"/>
  <c r="T464" i="1"/>
  <c r="T451" i="1"/>
  <c r="T435" i="1"/>
  <c r="T417" i="1"/>
  <c r="T395" i="1"/>
  <c r="T374" i="1"/>
  <c r="T353" i="1"/>
  <c r="T327" i="1"/>
  <c r="T299" i="1"/>
  <c r="T271" i="1"/>
  <c r="T241" i="1"/>
  <c r="T213" i="1"/>
  <c r="T185" i="1"/>
  <c r="T156" i="1"/>
  <c r="T128" i="1"/>
  <c r="T100" i="1"/>
  <c r="T71" i="1"/>
  <c r="T43" i="1"/>
  <c r="T15" i="1"/>
  <c r="T561" i="1"/>
  <c r="T549" i="1"/>
  <c r="T541" i="1"/>
  <c r="T529" i="1"/>
  <c r="T517" i="1"/>
  <c r="T508" i="1"/>
  <c r="T492" i="1"/>
  <c r="T476" i="1"/>
  <c r="T465" i="1"/>
  <c r="T422" i="1"/>
  <c r="T358" i="1"/>
  <c r="T249" i="1"/>
  <c r="T192" i="1"/>
  <c r="T135" i="1"/>
  <c r="T563" i="1"/>
  <c r="T559" i="1"/>
  <c r="T555" i="1"/>
  <c r="T551" i="1"/>
  <c r="T547" i="1"/>
  <c r="T543" i="1"/>
  <c r="T539" i="1"/>
  <c r="T535" i="1"/>
  <c r="T531" i="1"/>
  <c r="T527" i="1"/>
  <c r="T523" i="1"/>
  <c r="T519" i="1"/>
  <c r="T515" i="1"/>
  <c r="T511" i="1"/>
  <c r="T505" i="1"/>
  <c r="T500" i="1"/>
  <c r="T495" i="1"/>
  <c r="T489" i="1"/>
  <c r="T484" i="1"/>
  <c r="T479" i="1"/>
  <c r="T473" i="1"/>
  <c r="T468" i="1"/>
  <c r="T463" i="1"/>
  <c r="T447" i="1"/>
  <c r="T431" i="1"/>
  <c r="T411" i="1"/>
  <c r="T390" i="1"/>
  <c r="T369" i="1"/>
  <c r="T347" i="1"/>
  <c r="T320" i="1"/>
  <c r="T292" i="1"/>
  <c r="T263" i="1"/>
  <c r="T235" i="1"/>
  <c r="T207" i="1"/>
  <c r="T177" i="1"/>
  <c r="T149" i="1"/>
  <c r="T121" i="1"/>
  <c r="T92" i="1"/>
  <c r="T64" i="1"/>
  <c r="T36" i="1"/>
  <c r="T7" i="1"/>
</calcChain>
</file>

<file path=xl/sharedStrings.xml><?xml version="1.0" encoding="utf-8"?>
<sst xmlns="http://schemas.openxmlformats.org/spreadsheetml/2006/main" count="6173" uniqueCount="844">
  <si>
    <t>FECHA_EMI</t>
  </si>
  <si>
    <t>COD_PROVE</t>
  </si>
  <si>
    <t>NOM_PROVE</t>
  </si>
  <si>
    <t>COND_IVA</t>
  </si>
  <si>
    <t>IDENTIFTRI</t>
  </si>
  <si>
    <t>N_INTERNO</t>
  </si>
  <si>
    <t>T_COMP</t>
  </si>
  <si>
    <t>N_COMP</t>
  </si>
  <si>
    <t>PORC_IVA</t>
  </si>
  <si>
    <t>IMP_EXENTO</t>
  </si>
  <si>
    <t>IMP_NETO</t>
  </si>
  <si>
    <t>IMP_IVA</t>
  </si>
  <si>
    <t>IMP_TOTAL</t>
  </si>
  <si>
    <t>N_ING_BRU</t>
  </si>
  <si>
    <t>OTROSIMP</t>
  </si>
  <si>
    <t/>
  </si>
  <si>
    <t>GALICI</t>
  </si>
  <si>
    <t>BANCO DE GALICIA Y BUENOS AIRES S A U</t>
  </si>
  <si>
    <t>RI</t>
  </si>
  <si>
    <t>FAC</t>
  </si>
  <si>
    <t>A0202418403984</t>
  </si>
  <si>
    <t>A0202418404036</t>
  </si>
  <si>
    <t>AXION</t>
  </si>
  <si>
    <t>PAN AMERICAN ENERGY, S.L.,  SUC ARG</t>
  </si>
  <si>
    <t>A0522400013660</t>
  </si>
  <si>
    <t>FIN</t>
  </si>
  <si>
    <t>FINCA DE SANTIAGO S.A.</t>
  </si>
  <si>
    <t>N/C</t>
  </si>
  <si>
    <t>A0000500000235</t>
  </si>
  <si>
    <t>CURVON</t>
  </si>
  <si>
    <t>EL CURVON SRL</t>
  </si>
  <si>
    <t>A0000900033207</t>
  </si>
  <si>
    <t>LUCANE</t>
  </si>
  <si>
    <t>LUCANERA ALFREDO ADOLFO</t>
  </si>
  <si>
    <t>A0000400004709</t>
  </si>
  <si>
    <t>SAN IS</t>
  </si>
  <si>
    <t>SAN ISIDRO 2000 SA</t>
  </si>
  <si>
    <t>A0000800115262</t>
  </si>
  <si>
    <t>IPLAN</t>
  </si>
  <si>
    <t>NSS SA</t>
  </si>
  <si>
    <t>A0000503017938</t>
  </si>
  <si>
    <t>MASTEL</t>
  </si>
  <si>
    <t>MASTELLONE HNOS S A</t>
  </si>
  <si>
    <t>A0616200040408</t>
  </si>
  <si>
    <t>RIO</t>
  </si>
  <si>
    <t>BANCO SANTANDER RIO</t>
  </si>
  <si>
    <t>00202429042024</t>
  </si>
  <si>
    <t>COMAFI</t>
  </si>
  <si>
    <t>BANCO COMAFI SOCIEDAD ANONIMA</t>
  </si>
  <si>
    <t>00202400300424</t>
  </si>
  <si>
    <t>A0000400004758</t>
  </si>
  <si>
    <t>MARCOS</t>
  </si>
  <si>
    <t>MARCOS SCHMUKLER S A</t>
  </si>
  <si>
    <t>A0001000007634</t>
  </si>
  <si>
    <t>ANURA</t>
  </si>
  <si>
    <t>CITILAN ARGENTINA S.A.</t>
  </si>
  <si>
    <t>A0000300227267</t>
  </si>
  <si>
    <t>901-543720-4</t>
  </si>
  <si>
    <t>BERKLE</t>
  </si>
  <si>
    <t>BERKLEY INTERNATIONAL SEGUROS S.A.</t>
  </si>
  <si>
    <t>A0000500579401</t>
  </si>
  <si>
    <t>CLARO</t>
  </si>
  <si>
    <t>AMX ARGENTINA SOCIEDAD ANONIMA</t>
  </si>
  <si>
    <t>A0132600838787</t>
  </si>
  <si>
    <t>SAP</t>
  </si>
  <si>
    <t>Molfino Hnos SA</t>
  </si>
  <si>
    <t>A0200200285263</t>
  </si>
  <si>
    <t>LITO</t>
  </si>
  <si>
    <t>SANTAMARIA MOSCHETTA PASCUAL</t>
  </si>
  <si>
    <t>A0000200000810</t>
  </si>
  <si>
    <t>T</t>
  </si>
  <si>
    <t>PRODUCTOS ALIMENTICIOS TARTAGAL S R L</t>
  </si>
  <si>
    <t>A0000300100226</t>
  </si>
  <si>
    <t>A0000300100229</t>
  </si>
  <si>
    <t>A0000500000951</t>
  </si>
  <si>
    <t>LOLAPA</t>
  </si>
  <si>
    <t>LOLAPALUZA S.A.</t>
  </si>
  <si>
    <t>A0000700008376</t>
  </si>
  <si>
    <t>9016591224</t>
  </si>
  <si>
    <t>LAQUES</t>
  </si>
  <si>
    <t>CASSINI  Y CESARATTO S.A.</t>
  </si>
  <si>
    <t>A0002000152753</t>
  </si>
  <si>
    <t>CALSA</t>
  </si>
  <si>
    <t>COMPAÑIA ARGENTINA DE LEVADURAS S A I C</t>
  </si>
  <si>
    <t>A0004600400220</t>
  </si>
  <si>
    <t>DOS</t>
  </si>
  <si>
    <t>COMPAÑIA INTRODUCTORA DE BUENOS AIRES S A</t>
  </si>
  <si>
    <t>A0021800160954</t>
  </si>
  <si>
    <t>A0021800160955</t>
  </si>
  <si>
    <t>A0021800160956</t>
  </si>
  <si>
    <t>A0021800160957</t>
  </si>
  <si>
    <t>VAC</t>
  </si>
  <si>
    <t>ERNESTO RODRIGUEZ E HIJOS SA</t>
  </si>
  <si>
    <t>A0100100235420</t>
  </si>
  <si>
    <t>A0100100235421</t>
  </si>
  <si>
    <t>AUSA</t>
  </si>
  <si>
    <t>AUTOPISTAS URBANAS S A</t>
  </si>
  <si>
    <t>A0501100612383</t>
  </si>
  <si>
    <t>A0501400610338</t>
  </si>
  <si>
    <t>A0501500606721</t>
  </si>
  <si>
    <t>BOTMME</t>
  </si>
  <si>
    <t>BOTINDARI MARIA MERCEDES</t>
  </si>
  <si>
    <t>RS</t>
  </si>
  <si>
    <t>C0000100000032</t>
  </si>
  <si>
    <t>ZUNINO</t>
  </si>
  <si>
    <t>ZUNINO MARTIN</t>
  </si>
  <si>
    <t>C0000200000092</t>
  </si>
  <si>
    <t>DOBARR</t>
  </si>
  <si>
    <t>DOBARRO PAULA MARCELA</t>
  </si>
  <si>
    <t>C0000200000311</t>
  </si>
  <si>
    <t>A0000500000248</t>
  </si>
  <si>
    <t>00202490004401</t>
  </si>
  <si>
    <t>VERISU</t>
  </si>
  <si>
    <t>VERISURE ARGENTINA MONITOREO DE ALARMAS SA</t>
  </si>
  <si>
    <t>A0000100466056</t>
  </si>
  <si>
    <t>FOXTEX</t>
  </si>
  <si>
    <t>FOX- TEX S.A</t>
  </si>
  <si>
    <t>A0000200005375</t>
  </si>
  <si>
    <t>902-552962-8</t>
  </si>
  <si>
    <t>PARME</t>
  </si>
  <si>
    <t>BUCKINGHAM SRL</t>
  </si>
  <si>
    <t>A0000300002239</t>
  </si>
  <si>
    <t>JUMBA</t>
  </si>
  <si>
    <t>OLIVOS DEL NORTE S.R.L.</t>
  </si>
  <si>
    <t>A0000300048401</t>
  </si>
  <si>
    <t>AG</t>
  </si>
  <si>
    <t>BARDONI HERNAN EDUARDO</t>
  </si>
  <si>
    <t>A0000400001434</t>
  </si>
  <si>
    <t>A0000400001435</t>
  </si>
  <si>
    <t>HOR</t>
  </si>
  <si>
    <t>HORVINDUL SRL</t>
  </si>
  <si>
    <t>A0000500007357</t>
  </si>
  <si>
    <t>INALPA</t>
  </si>
  <si>
    <t>INALPA (INDUSTRIAS ALIMENTICIAS PAVON ARRIBA</t>
  </si>
  <si>
    <t>A0004300022763</t>
  </si>
  <si>
    <t>PIAMON</t>
  </si>
  <si>
    <t>LA PIAMONTESA S.A.</t>
  </si>
  <si>
    <t>A0006300065647</t>
  </si>
  <si>
    <t>LODI</t>
  </si>
  <si>
    <t>LODISER S.A.</t>
  </si>
  <si>
    <t>A0009000437347</t>
  </si>
  <si>
    <t>901-039988-2</t>
  </si>
  <si>
    <t>CAAUS</t>
  </si>
  <si>
    <t>CAMPO AUSTRAL SA</t>
  </si>
  <si>
    <t>A0053900040432</t>
  </si>
  <si>
    <t>GCOSA</t>
  </si>
  <si>
    <t>GRUPO CONCESIONARIO DEL OESTE SA</t>
  </si>
  <si>
    <t>A0062905099324</t>
  </si>
  <si>
    <t>A0062905099970</t>
  </si>
  <si>
    <t>AUSOL</t>
  </si>
  <si>
    <t>AUTOPISTAS DEL SOL SA</t>
  </si>
  <si>
    <t>A0071105662018</t>
  </si>
  <si>
    <t>A0071105664894</t>
  </si>
  <si>
    <t>A0071105666700</t>
  </si>
  <si>
    <t>A0200200285596</t>
  </si>
  <si>
    <t>BUN</t>
  </si>
  <si>
    <t>BUNGE ARGENTINA S.A.</t>
  </si>
  <si>
    <t>A0200900037405</t>
  </si>
  <si>
    <t>A0200900037406</t>
  </si>
  <si>
    <t>A0200900037407</t>
  </si>
  <si>
    <t>A0540400001011</t>
  </si>
  <si>
    <t>VILLAD</t>
  </si>
  <si>
    <t>VILLA DANIEL ALEJANDRO</t>
  </si>
  <si>
    <t>C0000300005329</t>
  </si>
  <si>
    <t>A0000200000411</t>
  </si>
  <si>
    <t>CORRCH</t>
  </si>
  <si>
    <t>CORRUGADOS CHACABUCO</t>
  </si>
  <si>
    <t>A0000300003588</t>
  </si>
  <si>
    <t>MIL</t>
  </si>
  <si>
    <t>MILKAUT S.A.</t>
  </si>
  <si>
    <t>A0062200275203</t>
  </si>
  <si>
    <t>REYSEB</t>
  </si>
  <si>
    <t>REY SEBASTIAN MAXIMILIANO</t>
  </si>
  <si>
    <t>C0000200000190</t>
  </si>
  <si>
    <t>OPESSA</t>
  </si>
  <si>
    <t>OPERAD. DE EST. DE SERV. S.A</t>
  </si>
  <si>
    <t>A0729600027092</t>
  </si>
  <si>
    <t>EASY</t>
  </si>
  <si>
    <t>CENCOSUD S A</t>
  </si>
  <si>
    <t>A0827900002944</t>
  </si>
  <si>
    <t>TAR</t>
  </si>
  <si>
    <t>TARTARELLI JUAN MANUEL</t>
  </si>
  <si>
    <t>C0000200000356</t>
  </si>
  <si>
    <t>00202410197251</t>
  </si>
  <si>
    <t>00202490043201</t>
  </si>
  <si>
    <t>00202494320510</t>
  </si>
  <si>
    <t>MAIZOL</t>
  </si>
  <si>
    <t>ACEITERA GERASOLES S.A.</t>
  </si>
  <si>
    <t>A0000100000471</t>
  </si>
  <si>
    <t>ROLLS</t>
  </si>
  <si>
    <t>ROLLS Y EMPANADAS S.A.</t>
  </si>
  <si>
    <t>A0000100000787</t>
  </si>
  <si>
    <t>3PL</t>
  </si>
  <si>
    <t>3PL SRL</t>
  </si>
  <si>
    <t>A0000300001377</t>
  </si>
  <si>
    <t>A0000300001378</t>
  </si>
  <si>
    <t>BA</t>
  </si>
  <si>
    <t>BAVOSI S.A</t>
  </si>
  <si>
    <t>A0011500142226</t>
  </si>
  <si>
    <t>A0011500142227</t>
  </si>
  <si>
    <t>A0011500142228</t>
  </si>
  <si>
    <t>UNI</t>
  </si>
  <si>
    <t>UNILEVER DE ARGENTINA S A</t>
  </si>
  <si>
    <t>A0043701656983</t>
  </si>
  <si>
    <t>A0043701656984</t>
  </si>
  <si>
    <t>A0043701656985</t>
  </si>
  <si>
    <t>A0043701656986</t>
  </si>
  <si>
    <t>A0043701656987</t>
  </si>
  <si>
    <t>A0200200285926</t>
  </si>
  <si>
    <t>DEHEZA</t>
  </si>
  <si>
    <t>DEHEZA S.A.</t>
  </si>
  <si>
    <t>A0203800007152</t>
  </si>
  <si>
    <t>ARGUEL</t>
  </si>
  <si>
    <t>ARGÜELLO LUIS MIGUEL</t>
  </si>
  <si>
    <t>C0000100000030</t>
  </si>
  <si>
    <t>00202490000201</t>
  </si>
  <si>
    <t>00202490017101</t>
  </si>
  <si>
    <t>00202493760211</t>
  </si>
  <si>
    <t>PAKLOC</t>
  </si>
  <si>
    <t>PUERTO GOURMET SRL</t>
  </si>
  <si>
    <t>A0000100002351</t>
  </si>
  <si>
    <t>AVICOL</t>
  </si>
  <si>
    <t>AVICOLA AMANECER SRL</t>
  </si>
  <si>
    <t>A0000300005174</t>
  </si>
  <si>
    <t>A0000300100365</t>
  </si>
  <si>
    <t>FRA</t>
  </si>
  <si>
    <t>FRADEALCO SA</t>
  </si>
  <si>
    <t>A0001400066144</t>
  </si>
  <si>
    <t>A0001400066145</t>
  </si>
  <si>
    <t>REMOTT</t>
  </si>
  <si>
    <t>REMOTTI S. A.</t>
  </si>
  <si>
    <t>A0003200082054</t>
  </si>
  <si>
    <t>A0100100235600</t>
  </si>
  <si>
    <t>TEL</t>
  </si>
  <si>
    <t>TELECOM ARGENTINA S.A</t>
  </si>
  <si>
    <t>A0395001681005</t>
  </si>
  <si>
    <t>DANONE</t>
  </si>
  <si>
    <t>DANONE ARGENTINA S.A.</t>
  </si>
  <si>
    <t>A0600403613137</t>
  </si>
  <si>
    <t>A0615606747755</t>
  </si>
  <si>
    <t>DULFIX</t>
  </si>
  <si>
    <t>DULFIX SA</t>
  </si>
  <si>
    <t>N/D</t>
  </si>
  <si>
    <t>A0001000003248</t>
  </si>
  <si>
    <t>00202410203921</t>
  </si>
  <si>
    <t>00202480007701</t>
  </si>
  <si>
    <t>BELLOT</t>
  </si>
  <si>
    <t>BELLOTO LUIS MIGUEL</t>
  </si>
  <si>
    <t>A0000100000097</t>
  </si>
  <si>
    <t>DSM</t>
  </si>
  <si>
    <t>VALENTI SEBASTIAN Y VALENTI LUIS SOCIEDAD SIMPLE</t>
  </si>
  <si>
    <t>A0000300003816</t>
  </si>
  <si>
    <t>AB</t>
  </si>
  <si>
    <t>GOOD FOOD S.A.</t>
  </si>
  <si>
    <t>A0000400028765</t>
  </si>
  <si>
    <t>LA</t>
  </si>
  <si>
    <t>INTERNACIONAL DE PRODUCTOS S A</t>
  </si>
  <si>
    <t>A0001200079899</t>
  </si>
  <si>
    <t>FEMSA</t>
  </si>
  <si>
    <t>COCA COLA FEMSA DE BUENOS AIRES S A</t>
  </si>
  <si>
    <t>A0060100262572</t>
  </si>
  <si>
    <t>A0060100262573</t>
  </si>
  <si>
    <t>CORRVI</t>
  </si>
  <si>
    <t>CORREDORES VIALES S.A.</t>
  </si>
  <si>
    <t>A0070001649549</t>
  </si>
  <si>
    <t>A0070001649798</t>
  </si>
  <si>
    <t>A0070001665693</t>
  </si>
  <si>
    <t>MC</t>
  </si>
  <si>
    <t>MOLINO CAÑUELAS S.A.C.I.F.I.A.</t>
  </si>
  <si>
    <t>A0088400103413</t>
  </si>
  <si>
    <t>A0100100235628</t>
  </si>
  <si>
    <t>A0200900037599</t>
  </si>
  <si>
    <t>A0200900037600</t>
  </si>
  <si>
    <t>A0504900027473</t>
  </si>
  <si>
    <t>00202410209411</t>
  </si>
  <si>
    <t>A0000100000789</t>
  </si>
  <si>
    <t>ILUCEN</t>
  </si>
  <si>
    <t>CASTELVECCHIO S.A.</t>
  </si>
  <si>
    <t>A0000100008370</t>
  </si>
  <si>
    <t>A0004600400569</t>
  </si>
  <si>
    <t>DV</t>
  </si>
  <si>
    <t>LA DOLCE SRL</t>
  </si>
  <si>
    <t>A0006000308546</t>
  </si>
  <si>
    <t>A0021800161092</t>
  </si>
  <si>
    <t>A0601000055260</t>
  </si>
  <si>
    <t>00202490013901</t>
  </si>
  <si>
    <t>MAYANA</t>
  </si>
  <si>
    <t>LABORATORIO MAYANA, S.A.S.</t>
  </si>
  <si>
    <t>A0000100005529</t>
  </si>
  <si>
    <t>A0000100005530</t>
  </si>
  <si>
    <t>OMINT</t>
  </si>
  <si>
    <t>OMINT S.A.</t>
  </si>
  <si>
    <t>A0002101117533</t>
  </si>
  <si>
    <t>A0006300065758</t>
  </si>
  <si>
    <t>A0008000116093</t>
  </si>
  <si>
    <t>A0009100243492</t>
  </si>
  <si>
    <t>TREGAR</t>
  </si>
  <si>
    <t>GARCIA HERMANOS AGROINDUSTRIAL SRL</t>
  </si>
  <si>
    <t>A0013500025953</t>
  </si>
  <si>
    <t>A0053900040564</t>
  </si>
  <si>
    <t>A0200200286552</t>
  </si>
  <si>
    <t>A0512600027780</t>
  </si>
  <si>
    <t>A0819000021732</t>
  </si>
  <si>
    <t>A0000500000250</t>
  </si>
  <si>
    <t>CHA</t>
  </si>
  <si>
    <t>MOLINO CHACABUCO S.A.</t>
  </si>
  <si>
    <t>A0010000293969</t>
  </si>
  <si>
    <t>A0010000293972</t>
  </si>
  <si>
    <t>A0062200277360</t>
  </si>
  <si>
    <t>A0506300012550</t>
  </si>
  <si>
    <t>A0000100000487</t>
  </si>
  <si>
    <t>A0000300100479</t>
  </si>
  <si>
    <t>A0001000044587</t>
  </si>
  <si>
    <t>A0000100000374</t>
  </si>
  <si>
    <t>A0000500000251</t>
  </si>
  <si>
    <t>A0001000052763</t>
  </si>
  <si>
    <t>ELLAZO</t>
  </si>
  <si>
    <t>CALDERON ELIZABET LAURA</t>
  </si>
  <si>
    <t>A0000100000863</t>
  </si>
  <si>
    <t>GONOSS</t>
  </si>
  <si>
    <t>GONZALEZ OSVALDO SALVADOR</t>
  </si>
  <si>
    <t>A0000300000629</t>
  </si>
  <si>
    <t>GCRSA</t>
  </si>
  <si>
    <t>GCR SA</t>
  </si>
  <si>
    <t>A0000400021233</t>
  </si>
  <si>
    <t>ALVARE</t>
  </si>
  <si>
    <t>ALVAREZ DARIO BERNARDO</t>
  </si>
  <si>
    <t>A0001400001938</t>
  </si>
  <si>
    <t>LOMA O</t>
  </si>
  <si>
    <t>LOMA OLIVOS S.R.L.</t>
  </si>
  <si>
    <t>A0002100016577</t>
  </si>
  <si>
    <t>A0009000438559</t>
  </si>
  <si>
    <t>A0200200286991</t>
  </si>
  <si>
    <t>A0600403619869</t>
  </si>
  <si>
    <t>A0615606759515</t>
  </si>
  <si>
    <t>CIRCMB</t>
  </si>
  <si>
    <t>CIRCULO CERRADO SA DE AHORRO PARA FINES DETERMINADOS</t>
  </si>
  <si>
    <t>00202410746315</t>
  </si>
  <si>
    <t>00202410746414</t>
  </si>
  <si>
    <t>00202410746514</t>
  </si>
  <si>
    <t>00202460044312</t>
  </si>
  <si>
    <t>A0000300001393</t>
  </si>
  <si>
    <t>A0000300100586</t>
  </si>
  <si>
    <t>A0000400001446</t>
  </si>
  <si>
    <t>A0011500142601</t>
  </si>
  <si>
    <t>A0011500142611</t>
  </si>
  <si>
    <t>A0011500142612</t>
  </si>
  <si>
    <t>A0060100262963</t>
  </si>
  <si>
    <t>A0100100235954</t>
  </si>
  <si>
    <t>SUIPAC</t>
  </si>
  <si>
    <t>LACTEOS CONOSUR S A</t>
  </si>
  <si>
    <t>A0003400026574</t>
  </si>
  <si>
    <t>A0615602548155</t>
  </si>
  <si>
    <t>A0000100000098</t>
  </si>
  <si>
    <t>A0000100000793</t>
  </si>
  <si>
    <t>ABETO</t>
  </si>
  <si>
    <t>JOSE L. RONCHI E HIJOS S.R.L.</t>
  </si>
  <si>
    <t>A0000200016657</t>
  </si>
  <si>
    <t>ADO</t>
  </si>
  <si>
    <t>IDEAS Y NEGOCIOS, S.A.</t>
  </si>
  <si>
    <t>A0001000005758</t>
  </si>
  <si>
    <t>A0002000153760</t>
  </si>
  <si>
    <t>A0004600401016</t>
  </si>
  <si>
    <t>A0062200278945</t>
  </si>
  <si>
    <t>A0615606764437</t>
  </si>
  <si>
    <t>C0000300005341</t>
  </si>
  <si>
    <t>A0013500223030</t>
  </si>
  <si>
    <t>A0000400001449</t>
  </si>
  <si>
    <t>A0000400001450</t>
  </si>
  <si>
    <t>A0001000005759</t>
  </si>
  <si>
    <t>VALCAR</t>
  </si>
  <si>
    <t>VALCARA  SA</t>
  </si>
  <si>
    <t>A0001300012538</t>
  </si>
  <si>
    <t>A0053900040730</t>
  </si>
  <si>
    <t>A0071105718133</t>
  </si>
  <si>
    <t>A0071105720986</t>
  </si>
  <si>
    <t>A0071105722790</t>
  </si>
  <si>
    <t>A0200200287512</t>
  </si>
  <si>
    <t>A0501100621559</t>
  </si>
  <si>
    <t>A0501400613411</t>
  </si>
  <si>
    <t>PANAM</t>
  </si>
  <si>
    <t>PAN AMERICAN ENERGY LLC SUC ARG</t>
  </si>
  <si>
    <t>A0512700022750</t>
  </si>
  <si>
    <t>A0600403624033</t>
  </si>
  <si>
    <t>A0615606766677</t>
  </si>
  <si>
    <t>A0715800028623</t>
  </si>
  <si>
    <t>CEAMSE</t>
  </si>
  <si>
    <t>COORDINACION ECOLOGICA AREA METROPOLITANA SOCIEDAD DEL ESTAD</t>
  </si>
  <si>
    <t>A0011303600722</t>
  </si>
  <si>
    <t>A0011303601978</t>
  </si>
  <si>
    <t>A0011303603022</t>
  </si>
  <si>
    <t>A0062200279869</t>
  </si>
  <si>
    <t>A0601000055334</t>
  </si>
  <si>
    <t>A0615602550901</t>
  </si>
  <si>
    <t>00202409002790</t>
  </si>
  <si>
    <t>00202490022501</t>
  </si>
  <si>
    <t>00202490025301</t>
  </si>
  <si>
    <t>HAKIMI</t>
  </si>
  <si>
    <t>HAKIMIAN JORGE ALEXIS</t>
  </si>
  <si>
    <t>A0000200000967</t>
  </si>
  <si>
    <t>A0000200016695</t>
  </si>
  <si>
    <t>TOD</t>
  </si>
  <si>
    <t>TODO TRACCION S R L</t>
  </si>
  <si>
    <t>A0000300063436</t>
  </si>
  <si>
    <t>A0000400001453</t>
  </si>
  <si>
    <t>LFSCOM</t>
  </si>
  <si>
    <t>LFS COMBUSTIBLES S.A.</t>
  </si>
  <si>
    <t>A0001500039361</t>
  </si>
  <si>
    <t>ROS</t>
  </si>
  <si>
    <t>HREÑUK SA</t>
  </si>
  <si>
    <t>A0010100044206</t>
  </si>
  <si>
    <t>A0011500142806</t>
  </si>
  <si>
    <t>A0011500142807</t>
  </si>
  <si>
    <t>A0906000023607</t>
  </si>
  <si>
    <t>PROVIN</t>
  </si>
  <si>
    <t>BANCO DE LA PROVINCIA DE BUENOS AIRES</t>
  </si>
  <si>
    <t>EX</t>
  </si>
  <si>
    <t>A2024153794992</t>
  </si>
  <si>
    <t>A0000400000310</t>
  </si>
  <si>
    <t>TRAFIN</t>
  </si>
  <si>
    <t>TRAFIND S.A.I.C</t>
  </si>
  <si>
    <t>A0000200005654</t>
  </si>
  <si>
    <t>A0001200080047</t>
  </si>
  <si>
    <t>A0003200082310</t>
  </si>
  <si>
    <t>A0004600401309</t>
  </si>
  <si>
    <t>A0004600401310</t>
  </si>
  <si>
    <t>A0100100236270</t>
  </si>
  <si>
    <t>A0200200287766</t>
  </si>
  <si>
    <t>A0200200287829</t>
  </si>
  <si>
    <t>A0600403628448</t>
  </si>
  <si>
    <t>A0615606772292</t>
  </si>
  <si>
    <t>A0000300063492</t>
  </si>
  <si>
    <t>A0000503038074</t>
  </si>
  <si>
    <t>A0000503038075</t>
  </si>
  <si>
    <t>PANKO</t>
  </si>
  <si>
    <t>TEN TEN S.R.L.</t>
  </si>
  <si>
    <t>A0000700002368</t>
  </si>
  <si>
    <t>1543207-6</t>
  </si>
  <si>
    <t>TIBAX</t>
  </si>
  <si>
    <t>TIBAX S.R.L.</t>
  </si>
  <si>
    <t>A0000900001823</t>
  </si>
  <si>
    <t>A0001400066303</t>
  </si>
  <si>
    <t>VERO</t>
  </si>
  <si>
    <t>VERONICA S.A.C.I.A.F.e.I.</t>
  </si>
  <si>
    <t>30-50097982-4</t>
  </si>
  <si>
    <t>A0004300296231</t>
  </si>
  <si>
    <t>A0006300065934</t>
  </si>
  <si>
    <t>A0021800161345</t>
  </si>
  <si>
    <t>A0021800161346</t>
  </si>
  <si>
    <t>A0021800161347</t>
  </si>
  <si>
    <t>A0021800161348</t>
  </si>
  <si>
    <t>A0060100263502</t>
  </si>
  <si>
    <t>A0070001679354</t>
  </si>
  <si>
    <t>A0070001696873</t>
  </si>
  <si>
    <t>A0200200288067</t>
  </si>
  <si>
    <t>A0200900038025</t>
  </si>
  <si>
    <t>A0200900038026</t>
  </si>
  <si>
    <t>A0200900038027</t>
  </si>
  <si>
    <t>MILKWO</t>
  </si>
  <si>
    <t>MILK WORLD SA</t>
  </si>
  <si>
    <t>A0001200004183</t>
  </si>
  <si>
    <t>A0011500031381</t>
  </si>
  <si>
    <t>A0615602554125</t>
  </si>
  <si>
    <t>ZUCCAR</t>
  </si>
  <si>
    <t>ZUCCARO SERGIO GABRIEL</t>
  </si>
  <si>
    <t>A0000300000222</t>
  </si>
  <si>
    <t>MEDICA</t>
  </si>
  <si>
    <t>MEDICARDIO S R L</t>
  </si>
  <si>
    <t>A0001000080392</t>
  </si>
  <si>
    <t>A0060100263620</t>
  </si>
  <si>
    <t>A0060100263621</t>
  </si>
  <si>
    <t>MORPLA</t>
  </si>
  <si>
    <t>MOLINOS RIO DE LA PLATA S A</t>
  </si>
  <si>
    <t>A0067900173247</t>
  </si>
  <si>
    <t>A0067900173248</t>
  </si>
  <si>
    <t>A0070200427815</t>
  </si>
  <si>
    <t>A0070200427816</t>
  </si>
  <si>
    <t>A0070200427817</t>
  </si>
  <si>
    <t>A0600403631374</t>
  </si>
  <si>
    <t>A0615606776549</t>
  </si>
  <si>
    <t>ERMA</t>
  </si>
  <si>
    <t>COMERCIAL ERMA S.R.L.</t>
  </si>
  <si>
    <t>A0000700000359</t>
  </si>
  <si>
    <t>A0001000007715</t>
  </si>
  <si>
    <t>A0070200036797</t>
  </si>
  <si>
    <t>A0000100000794</t>
  </si>
  <si>
    <t>A0000100002381</t>
  </si>
  <si>
    <t>A0000100005605</t>
  </si>
  <si>
    <t>MAG</t>
  </si>
  <si>
    <t>LO GIUDICE CARLOS DANIEL</t>
  </si>
  <si>
    <t>A0000200002550</t>
  </si>
  <si>
    <t>A0000300100844</t>
  </si>
  <si>
    <t>PONZO</t>
  </si>
  <si>
    <t>PONZO ANDREA FABIANA</t>
  </si>
  <si>
    <t>A0000600007006</t>
  </si>
  <si>
    <t>A0001000044701</t>
  </si>
  <si>
    <t>A0001200053175</t>
  </si>
  <si>
    <t>A0009000440251</t>
  </si>
  <si>
    <t>A0200900038114</t>
  </si>
  <si>
    <t>A0540300000628</t>
  </si>
  <si>
    <t>VILLEG</t>
  </si>
  <si>
    <t>VILLEGAS SOFIA INES</t>
  </si>
  <si>
    <t>A0000100000111</t>
  </si>
  <si>
    <t>00001000154675</t>
  </si>
  <si>
    <t>00202490016901</t>
  </si>
  <si>
    <t>SEGTEX</t>
  </si>
  <si>
    <t>MAIDANA EDUARDO HERNAN</t>
  </si>
  <si>
    <t>A0000200000154</t>
  </si>
  <si>
    <t>A0000300003871</t>
  </si>
  <si>
    <t>HUARPE</t>
  </si>
  <si>
    <t>LOS HUARPES SRL</t>
  </si>
  <si>
    <t>A0000900040793</t>
  </si>
  <si>
    <t>A0001000005771</t>
  </si>
  <si>
    <t>A0001000154675</t>
  </si>
  <si>
    <t>A0011500143093</t>
  </si>
  <si>
    <t>A0011500143094</t>
  </si>
  <si>
    <t>A0011500143095</t>
  </si>
  <si>
    <t>A0016100198599</t>
  </si>
  <si>
    <t>A0031600161059</t>
  </si>
  <si>
    <t>A0053900040950</t>
  </si>
  <si>
    <t>A0202433218722</t>
  </si>
  <si>
    <t>A0715000030435</t>
  </si>
  <si>
    <t>PERUZZ</t>
  </si>
  <si>
    <t>PERUZZOTTI CAROLINA</t>
  </si>
  <si>
    <t>C0000700000074</t>
  </si>
  <si>
    <t>C0000700000075</t>
  </si>
  <si>
    <t>A0001200004217</t>
  </si>
  <si>
    <t>A0021800027962</t>
  </si>
  <si>
    <t>GARCIA</t>
  </si>
  <si>
    <t>GARCIA MARCELO  F</t>
  </si>
  <si>
    <t>A0000100005830</t>
  </si>
  <si>
    <t>A0000100005831</t>
  </si>
  <si>
    <t>FAI</t>
  </si>
  <si>
    <t>FAINAX SA</t>
  </si>
  <si>
    <t>A0000300005267</t>
  </si>
  <si>
    <t>MR</t>
  </si>
  <si>
    <t>MORIXE HERMANOS S.A.C.I.</t>
  </si>
  <si>
    <t>A0000900016989</t>
  </si>
  <si>
    <t>A0003200082475</t>
  </si>
  <si>
    <t>A0004600401705</t>
  </si>
  <si>
    <t>A0021800161465</t>
  </si>
  <si>
    <t>A0021800161470</t>
  </si>
  <si>
    <t>A0200200288887</t>
  </si>
  <si>
    <t>A0202415528524</t>
  </si>
  <si>
    <t>A0600403636249</t>
  </si>
  <si>
    <t>A0615606784569</t>
  </si>
  <si>
    <t>A2024153794993</t>
  </si>
  <si>
    <t>A0001000001164</t>
  </si>
  <si>
    <t>A0001000001165</t>
  </si>
  <si>
    <t>00202423991311</t>
  </si>
  <si>
    <t>00202452400917</t>
  </si>
  <si>
    <t>A0000200002557</t>
  </si>
  <si>
    <t>A0000300100978</t>
  </si>
  <si>
    <t>A0000300109602</t>
  </si>
  <si>
    <t>A0001000005775</t>
  </si>
  <si>
    <t>A0011500143250</t>
  </si>
  <si>
    <t>PASTAS</t>
  </si>
  <si>
    <t>PASTA SOLE S.A.</t>
  </si>
  <si>
    <t>A0100400005330</t>
  </si>
  <si>
    <t>CABRAL</t>
  </si>
  <si>
    <t>CABRALES SA</t>
  </si>
  <si>
    <t>A0141100006735</t>
  </si>
  <si>
    <t>902-866443-1</t>
  </si>
  <si>
    <t>A0000300000132</t>
  </si>
  <si>
    <t>A0000400000312</t>
  </si>
  <si>
    <t>A0002800000951</t>
  </si>
  <si>
    <t>00202490011101</t>
  </si>
  <si>
    <t>JUNIOR</t>
  </si>
  <si>
    <t>LA JUNIOR S.R.L.</t>
  </si>
  <si>
    <t>A0000600035176</t>
  </si>
  <si>
    <t>A0000800116763</t>
  </si>
  <si>
    <t>OISLY</t>
  </si>
  <si>
    <t>OISLY S.A.</t>
  </si>
  <si>
    <t>A0001000048487</t>
  </si>
  <si>
    <t>SHELL</t>
  </si>
  <si>
    <t>CONTITUYENTES 1806 S.A.</t>
  </si>
  <si>
    <t>A0001000076932</t>
  </si>
  <si>
    <t>A0001200053433</t>
  </si>
  <si>
    <t>MAROL</t>
  </si>
  <si>
    <t>MAROLIO S.A.</t>
  </si>
  <si>
    <t>A0011000088830</t>
  </si>
  <si>
    <t>A0016100198868</t>
  </si>
  <si>
    <t>A0062200282905</t>
  </si>
  <si>
    <t>A0062200282906</t>
  </si>
  <si>
    <t>A0600403639149</t>
  </si>
  <si>
    <t>A0011000095351</t>
  </si>
  <si>
    <t>A0021800027980</t>
  </si>
  <si>
    <t>00202431052024</t>
  </si>
  <si>
    <t>00202490009901</t>
  </si>
  <si>
    <t>00202490011801</t>
  </si>
  <si>
    <t>A0000100000519</t>
  </si>
  <si>
    <t>A0000100000795</t>
  </si>
  <si>
    <t>MAK</t>
  </si>
  <si>
    <t>SUPERMERCADO MAYORISTA MAKRO S.A.</t>
  </si>
  <si>
    <t>ORLOC</t>
  </si>
  <si>
    <t>ESTABLECIMIENTO ORLOC SOCIEDAD RESPONSABILIDAD LIMITADA</t>
  </si>
  <si>
    <t>A0000200039880</t>
  </si>
  <si>
    <t>A0000400004835</t>
  </si>
  <si>
    <t>A0000400029281</t>
  </si>
  <si>
    <t>TODOPL</t>
  </si>
  <si>
    <t>TODOPLASTIC DE HECTOR HALABE Y OTROS</t>
  </si>
  <si>
    <t>A0000700040217</t>
  </si>
  <si>
    <t>BRAMO</t>
  </si>
  <si>
    <t>BRAMO SA</t>
  </si>
  <si>
    <t>A0000900014022</t>
  </si>
  <si>
    <t>A0004600401953</t>
  </si>
  <si>
    <t>AUBASA</t>
  </si>
  <si>
    <t>AUTOPISTAS DE BUENOS AIRES (AUBASA) SA</t>
  </si>
  <si>
    <t>A0005003641532</t>
  </si>
  <si>
    <t>A0005003642257</t>
  </si>
  <si>
    <t>A0006300066065</t>
  </si>
  <si>
    <t>A0006300066067</t>
  </si>
  <si>
    <t>A0009000441348</t>
  </si>
  <si>
    <t>A0011303630675</t>
  </si>
  <si>
    <t>A0011303631609</t>
  </si>
  <si>
    <t>A0011303632455</t>
  </si>
  <si>
    <t>NESTLE</t>
  </si>
  <si>
    <t>NESTLE ARGENTINA S A</t>
  </si>
  <si>
    <t>A0039400374020</t>
  </si>
  <si>
    <t>A0067900173829</t>
  </si>
  <si>
    <t>A0070200430687</t>
  </si>
  <si>
    <t>A0200200289424</t>
  </si>
  <si>
    <t>A0200200289425</t>
  </si>
  <si>
    <t>A0636408355442</t>
  </si>
  <si>
    <t>A0715000030588</t>
  </si>
  <si>
    <t>ALVGAB</t>
  </si>
  <si>
    <t>ALVAREZ GABRIELA ANALIA</t>
  </si>
  <si>
    <t>C0000100000010</t>
  </si>
  <si>
    <t>IWASET</t>
  </si>
  <si>
    <t>IWASETSCHKO NATALIA</t>
  </si>
  <si>
    <t>C0000200000459</t>
  </si>
  <si>
    <t>A0000400000313</t>
  </si>
  <si>
    <t>A0039400217472</t>
  </si>
  <si>
    <t>30500001735</t>
  </si>
  <si>
    <t>30695542476</t>
  </si>
  <si>
    <t>30709571717</t>
  </si>
  <si>
    <t>30551016117</t>
  </si>
  <si>
    <t>20055036579</t>
  </si>
  <si>
    <t>33707901409</t>
  </si>
  <si>
    <t>30702652975</t>
  </si>
  <si>
    <t>30547242331</t>
  </si>
  <si>
    <t>30500008454</t>
  </si>
  <si>
    <t>30604731018</t>
  </si>
  <si>
    <t>30552910512</t>
  </si>
  <si>
    <t>30707135596</t>
  </si>
  <si>
    <t>30500035788</t>
  </si>
  <si>
    <t>30663288497</t>
  </si>
  <si>
    <t>30500768262</t>
  </si>
  <si>
    <t>20084318362</t>
  </si>
  <si>
    <t>30703957478</t>
  </si>
  <si>
    <t>30712175148</t>
  </si>
  <si>
    <t>30646618521</t>
  </si>
  <si>
    <t>30532149793</t>
  </si>
  <si>
    <t>30501290323</t>
  </si>
  <si>
    <t>30586611522</t>
  </si>
  <si>
    <t>30574876474</t>
  </si>
  <si>
    <t>27444490204</t>
  </si>
  <si>
    <t>20317431954</t>
  </si>
  <si>
    <t>27206941419</t>
  </si>
  <si>
    <t>33716307749</t>
  </si>
  <si>
    <t>30711311404</t>
  </si>
  <si>
    <t>30715195999</t>
  </si>
  <si>
    <t>30711497974</t>
  </si>
  <si>
    <t>20243348677</t>
  </si>
  <si>
    <t>30709614785</t>
  </si>
  <si>
    <t>30567020734</t>
  </si>
  <si>
    <t>30503861638</t>
  </si>
  <si>
    <t>30707059806</t>
  </si>
  <si>
    <t>30663197599</t>
  </si>
  <si>
    <t>30663498513</t>
  </si>
  <si>
    <t>30677237119</t>
  </si>
  <si>
    <t>30700869918</t>
  </si>
  <si>
    <t>20180563017</t>
  </si>
  <si>
    <t>30716838265</t>
  </si>
  <si>
    <t>30682032630</t>
  </si>
  <si>
    <t>20330065983</t>
  </si>
  <si>
    <t>30678774495</t>
  </si>
  <si>
    <t>30590360763</t>
  </si>
  <si>
    <t>20245294825</t>
  </si>
  <si>
    <t>33717710229</t>
  </si>
  <si>
    <t>30715048066</t>
  </si>
  <si>
    <t>30714746436</t>
  </si>
  <si>
    <t>30629646708</t>
  </si>
  <si>
    <t>30501092696</t>
  </si>
  <si>
    <t>30516186670</t>
  </si>
  <si>
    <t>20345349600</t>
  </si>
  <si>
    <t>30716161109</t>
  </si>
  <si>
    <t>30708481137</t>
  </si>
  <si>
    <t>30602608790</t>
  </si>
  <si>
    <t>30501214279</t>
  </si>
  <si>
    <t>30639453738</t>
  </si>
  <si>
    <t>30501116242</t>
  </si>
  <si>
    <t>30642219355</t>
  </si>
  <si>
    <t>20301971479</t>
  </si>
  <si>
    <t>30715296132</t>
  </si>
  <si>
    <t>30645830446</t>
  </si>
  <si>
    <t>30697646627</t>
  </si>
  <si>
    <t>30525390086</t>
  </si>
  <si>
    <t>30715804812</t>
  </si>
  <si>
    <t>30507950848</t>
  </si>
  <si>
    <t>30716623110</t>
  </si>
  <si>
    <t>33707259839</t>
  </si>
  <si>
    <t>30716423030</t>
  </si>
  <si>
    <t>30550245309</t>
  </si>
  <si>
    <t>30566108352</t>
  </si>
  <si>
    <t>30534040713</t>
  </si>
  <si>
    <t>27280824645</t>
  </si>
  <si>
    <t>20172277609</t>
  </si>
  <si>
    <t>30707225609</t>
  </si>
  <si>
    <t>20148190489</t>
  </si>
  <si>
    <t>33714529329</t>
  </si>
  <si>
    <t>30592717340</t>
  </si>
  <si>
    <t>30687147436</t>
  </si>
  <si>
    <t>30708904534</t>
  </si>
  <si>
    <t>30708784687</t>
  </si>
  <si>
    <t>33710631269</t>
  </si>
  <si>
    <t>30714813583</t>
  </si>
  <si>
    <t>30577207190</t>
  </si>
  <si>
    <t>23255946269</t>
  </si>
  <si>
    <t>33629749239</t>
  </si>
  <si>
    <t>30709380571</t>
  </si>
  <si>
    <t>30522250356</t>
  </si>
  <si>
    <t>33999242109</t>
  </si>
  <si>
    <t>30504504669</t>
  </si>
  <si>
    <t>30715830236</t>
  </si>
  <si>
    <t>30715729659</t>
  </si>
  <si>
    <t>30500979824</t>
  </si>
  <si>
    <t>30708938021</t>
  </si>
  <si>
    <t>20282989825</t>
  </si>
  <si>
    <t>30612430973</t>
  </si>
  <si>
    <t>30500858628</t>
  </si>
  <si>
    <t>30708305916</t>
  </si>
  <si>
    <t>20180575023</t>
  </si>
  <si>
    <t>27214942106</t>
  </si>
  <si>
    <t>27237024627</t>
  </si>
  <si>
    <t>23307002809</t>
  </si>
  <si>
    <t>30585754869</t>
  </si>
  <si>
    <t>27316244918</t>
  </si>
  <si>
    <t>20184111110</t>
  </si>
  <si>
    <t>33714191999</t>
  </si>
  <si>
    <t>30525346389</t>
  </si>
  <si>
    <t>30712054626</t>
  </si>
  <si>
    <t>30537745742</t>
  </si>
  <si>
    <t>30709459399</t>
  </si>
  <si>
    <t>30714579270</t>
  </si>
  <si>
    <t>30709114103</t>
  </si>
  <si>
    <t>30711303592</t>
  </si>
  <si>
    <t>30589621499</t>
  </si>
  <si>
    <t>30582634021</t>
  </si>
  <si>
    <t>30624066827</t>
  </si>
  <si>
    <t>30574300858</t>
  </si>
  <si>
    <t>30714112836</t>
  </si>
  <si>
    <t>30546764040</t>
  </si>
  <si>
    <t>27321077299</t>
  </si>
  <si>
    <t>27264437259</t>
  </si>
  <si>
    <t>N</t>
  </si>
  <si>
    <t>_COMP</t>
  </si>
  <si>
    <t>A</t>
  </si>
  <si>
    <t>C</t>
  </si>
  <si>
    <t>Fecha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</si>
  <si>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</si>
  <si>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</si>
  <si>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</si>
  <si>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</si>
  <si>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</si>
  <si>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</si>
  <si>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</si>
  <si>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</si>
  <si>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</si>
  <si>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</si>
  <si>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</si>
  <si>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</si>
  <si>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</si>
  <si>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</si>
  <si>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IVA</t>
  </si>
  <si>
    <t>Imp. Total</t>
  </si>
  <si>
    <t>01/05/2024</t>
  </si>
  <si>
    <t>1 - Factura A</t>
  </si>
  <si>
    <t>CUIT</t>
  </si>
  <si>
    <t>$</t>
  </si>
  <si>
    <t>MOLFINO HNOS SOCIEDAD ANONIMA</t>
  </si>
  <si>
    <t>02/05/2024</t>
  </si>
  <si>
    <t>FINCA DE SANTIAGO SA</t>
  </si>
  <si>
    <t>3 - Nota de Crédito A</t>
  </si>
  <si>
    <t>11 - Factura C</t>
  </si>
  <si>
    <t>03/05/2024</t>
  </si>
  <si>
    <t>BUCKINGHAM S.R.L.</t>
  </si>
  <si>
    <t>AUTOPISTAS DEL SOL S A</t>
  </si>
  <si>
    <t>BUNGE ARGENTINA S A</t>
  </si>
  <si>
    <t>LODISER SA</t>
  </si>
  <si>
    <t>INALPA INDUSTRIAS ALIMENTICIAS PAVON ARRIBA S.A.</t>
  </si>
  <si>
    <t>HORVINDUL S.R.L.</t>
  </si>
  <si>
    <t>04/05/2024</t>
  </si>
  <si>
    <t>MILKAUT SA</t>
  </si>
  <si>
    <t>05/05/2024</t>
  </si>
  <si>
    <t>OPERADORA DE ESTACIONES DE SERVICIOS SA</t>
  </si>
  <si>
    <t>06/05/2024</t>
  </si>
  <si>
    <t>ARMANDO J RIOS S ACIF</t>
  </si>
  <si>
    <t>BAVOSI SOCIEDAD ANONIMA</t>
  </si>
  <si>
    <t>DEHEZA SOCIEDAD ANONIMA INDUSTRIAL COMERCIAL FINANCIERA INMOBILIARIA</t>
  </si>
  <si>
    <t>07/05/2024</t>
  </si>
  <si>
    <t>FRADEALCO S A</t>
  </si>
  <si>
    <t>DANONE ARGENTINA SOCIEDAD ANONIMA</t>
  </si>
  <si>
    <t>TELECOM ARGENTINA SOCIEDAD ANONIMA</t>
  </si>
  <si>
    <t>2 - Nota de Débito A</t>
  </si>
  <si>
    <t>08/05/2024</t>
  </si>
  <si>
    <t>CORREDORES VIALES SOCIEDAD ANONIMA</t>
  </si>
  <si>
    <t>MOLINO CAÑUELAS SOCIEDAD ANONIMA COMERCIAL INDUSTRIAL  FINANCIERA INMOBILIARIA Y AGROPECUARIA</t>
  </si>
  <si>
    <t>GOOD FOOD SA</t>
  </si>
  <si>
    <t>09/05/2024</t>
  </si>
  <si>
    <t>10/05/2024</t>
  </si>
  <si>
    <t>MAS NUTRICION S.A.</t>
  </si>
  <si>
    <t>OMINT SOCIEDAD ANONIMA DE SERVICIOS</t>
  </si>
  <si>
    <t>LABORATORIO MAYANA</t>
  </si>
  <si>
    <t>11/05/2024</t>
  </si>
  <si>
    <t>MOLINO CHACABUCO S A</t>
  </si>
  <si>
    <t>13/05/2024</t>
  </si>
  <si>
    <t>GOICOECHEA SERGIO DANIEL</t>
  </si>
  <si>
    <t>14/05/2024</t>
  </si>
  <si>
    <t>15/05/2024</t>
  </si>
  <si>
    <t>16/05/2024</t>
  </si>
  <si>
    <t>IDEAS Y NEGOCIOS S.A.</t>
  </si>
  <si>
    <t>JOSE LUIS RONCHI E HIJOS S.R.L.</t>
  </si>
  <si>
    <t>17/05/2024</t>
  </si>
  <si>
    <t>18/05/2024</t>
  </si>
  <si>
    <t>COORDINACION ECOLOGICA AREA METROPOLITANA SOCIEDAD DEL ESTADO</t>
  </si>
  <si>
    <t>20/05/2024</t>
  </si>
  <si>
    <t>21/05/2024</t>
  </si>
  <si>
    <t>22/05/2024</t>
  </si>
  <si>
    <t>VERONICA S A C I A F E I</t>
  </si>
  <si>
    <t>MILK WORLD S.A.</t>
  </si>
  <si>
    <t>23/05/2024</t>
  </si>
  <si>
    <t>24/05/2024</t>
  </si>
  <si>
    <t>25/05/2024</t>
  </si>
  <si>
    <t>27/05/2024</t>
  </si>
  <si>
    <t>28/05/2024</t>
  </si>
  <si>
    <t>FAINAX S.A.</t>
  </si>
  <si>
    <t>MORIXE HERMANOS SOCIEDAD ANONIMA COMERCIAL E INDUSTRIAL</t>
  </si>
  <si>
    <t>29/05/2024</t>
  </si>
  <si>
    <t>30/05/2024</t>
  </si>
  <si>
    <t>31/05/2024</t>
  </si>
  <si>
    <t>SUPERMERCADOS MAYORISTAS MAKRO SA</t>
  </si>
  <si>
    <t>ESTUDIO IACONA</t>
  </si>
  <si>
    <t>A0167700044682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</si>
</sst>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quotePrefix="1" applyFo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2" borderId="0" xfId="0" quotePrefix="1" applyFont="1" applyFill="1"/>
    <xf numFmtId="0" fontId="0" fillId="2" borderId="0" xfId="0" quotePrefix="1" applyFill="1"/>
    <xf numFmtId="0" fontId="0" fillId="2" borderId="0" xfId="0" applyFill="1"/>
    <xf numFmtId="0" fontId="2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2" borderId="0" xfId="0" applyFont="1" applyFill="1" applyBorder="1"/>
    <xf numFmtId="0" fontId="0" fillId="2" borderId="0" xfId="0" applyFont="1" applyFill="1" applyBorder="1"/>
    <xf numFmtId="1" fontId="0" fillId="2" borderId="0" xfId="0" applyNumberFormat="1" applyFont="1" applyFill="1" applyBorder="1"/>
    <xf numFmtId="2" fontId="0" fillId="2" borderId="0" xfId="0" applyNumberFormat="1" applyFont="1" applyFill="1" applyBorder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5"/>
  <sheetViews>
    <sheetView topLeftCell="B507" workbookViewId="0">
      <selection activeCell="J523" sqref="J523"/>
    </sheetView>
  </sheetViews>
  <sheetFormatPr baseColWidth="10" defaultRowHeight="14.4" x14ac:dyDescent="0.3"/>
  <cols>
    <col min="3" max="3" width="64.77734375" customWidth="1"/>
    <col min="5" max="5" width="19.77734375" customWidth="1"/>
    <col min="8" max="11" width="18.77734375" customWidth="1"/>
    <col min="12" max="12" width="18.77734375" style="8" customWidth="1"/>
    <col min="14" max="17" width="18.77734375" customWidth="1"/>
    <col min="18" max="18" width="24.77734375" customWidth="1"/>
    <col min="19" max="19" width="18.77734375" customWidth="1"/>
  </cols>
  <sheetData>
    <row r="1" spans="1:2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755</v>
      </c>
      <c r="J1" s="2" t="s">
        <v>756</v>
      </c>
      <c r="K1" s="2"/>
      <c r="L1" s="6"/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1" t="s">
        <v>15</v>
      </c>
    </row>
    <row r="2" spans="1:20" x14ac:dyDescent="0.3">
      <c r="A2" s="3">
        <v>45316</v>
      </c>
      <c r="B2" s="1" t="s">
        <v>16</v>
      </c>
      <c r="C2" s="1" t="s">
        <v>17</v>
      </c>
      <c r="D2" s="1" t="s">
        <v>18</v>
      </c>
      <c r="E2" s="1" t="s">
        <v>633</v>
      </c>
      <c r="F2" s="4">
        <v>10731</v>
      </c>
      <c r="G2" s="1" t="s">
        <v>19</v>
      </c>
      <c r="H2" s="1" t="s">
        <v>20</v>
      </c>
      <c r="I2" s="1" t="s">
        <v>757</v>
      </c>
      <c r="J2" s="1">
        <v>2024</v>
      </c>
      <c r="K2" s="1">
        <v>18403984</v>
      </c>
      <c r="L2" s="7" t="str">
        <f>CONCATENATE(E2,J2,K2)</f>
        <v>30500001735202418403984</v>
      </c>
      <c r="M2" s="5">
        <v>21</v>
      </c>
      <c r="N2" s="5">
        <v>221.78</v>
      </c>
      <c r="O2" s="5">
        <v>1500</v>
      </c>
      <c r="P2" s="5">
        <v>315</v>
      </c>
      <c r="Q2" s="5">
        <v>2036.78</v>
      </c>
      <c r="R2" s="1" t="s">
        <v>15</v>
      </c>
      <c r="S2" s="5">
        <v>0</v>
      </c>
      <c r="T2" t="e">
        <f>VLOOKUP(L2,'MIS COMPROBANTES'!E:Q,13,0)</f>
        <v>#N/A</v>
      </c>
    </row>
    <row r="3" spans="1:20" x14ac:dyDescent="0.3">
      <c r="A3" s="3">
        <v>45316</v>
      </c>
      <c r="B3" s="1" t="s">
        <v>16</v>
      </c>
      <c r="C3" s="1" t="s">
        <v>17</v>
      </c>
      <c r="D3" s="1" t="s">
        <v>18</v>
      </c>
      <c r="E3" s="1" t="s">
        <v>633</v>
      </c>
      <c r="F3" s="4">
        <v>10732</v>
      </c>
      <c r="G3" s="1" t="s">
        <v>19</v>
      </c>
      <c r="H3" s="1" t="s">
        <v>21</v>
      </c>
      <c r="I3" s="1" t="s">
        <v>757</v>
      </c>
      <c r="J3" s="1">
        <v>2024</v>
      </c>
      <c r="K3" s="1">
        <v>18404036</v>
      </c>
      <c r="L3" s="7" t="str">
        <f t="shared" ref="L3:L66" si="0">CONCATENATE(E3,J3,K3)</f>
        <v>30500001735202418404036</v>
      </c>
      <c r="M3" s="5">
        <v>21</v>
      </c>
      <c r="N3" s="5">
        <v>322.27999999999997</v>
      </c>
      <c r="O3" s="5">
        <v>6700</v>
      </c>
      <c r="P3" s="5">
        <v>1407</v>
      </c>
      <c r="Q3" s="5">
        <v>8764.2800000000007</v>
      </c>
      <c r="R3" s="1" t="s">
        <v>15</v>
      </c>
      <c r="S3" s="5">
        <v>134</v>
      </c>
      <c r="T3" t="e">
        <f>VLOOKUP(L3,'MIS COMPROBANTES'!E:Q,13,0)</f>
        <v>#N/A</v>
      </c>
    </row>
    <row r="4" spans="1:20" x14ac:dyDescent="0.3">
      <c r="A4" s="3">
        <v>45316</v>
      </c>
      <c r="B4" s="1" t="s">
        <v>16</v>
      </c>
      <c r="C4" s="1" t="s">
        <v>17</v>
      </c>
      <c r="D4" s="1" t="s">
        <v>18</v>
      </c>
      <c r="E4" s="1" t="s">
        <v>633</v>
      </c>
      <c r="F4" s="4">
        <v>10732</v>
      </c>
      <c r="G4" s="1" t="s">
        <v>19</v>
      </c>
      <c r="H4" s="1" t="s">
        <v>21</v>
      </c>
      <c r="I4" s="1" t="s">
        <v>757</v>
      </c>
      <c r="J4" s="1">
        <v>2024</v>
      </c>
      <c r="K4" s="1">
        <v>18404036</v>
      </c>
      <c r="L4" s="7" t="str">
        <f t="shared" si="0"/>
        <v>30500001735202418404036</v>
      </c>
      <c r="M4" s="5">
        <v>3</v>
      </c>
      <c r="N4" s="5">
        <v>0</v>
      </c>
      <c r="O4" s="5">
        <v>0</v>
      </c>
      <c r="P4" s="5">
        <v>201</v>
      </c>
      <c r="Q4" s="5">
        <v>0</v>
      </c>
      <c r="R4" s="1" t="s">
        <v>15</v>
      </c>
      <c r="S4" s="5">
        <v>0</v>
      </c>
      <c r="T4" t="e">
        <f>VLOOKUP(L4,'MIS COMPROBANTES'!E:Q,13,0)</f>
        <v>#N/A</v>
      </c>
    </row>
    <row r="5" spans="1:20" x14ac:dyDescent="0.3">
      <c r="A5" s="3">
        <v>45320</v>
      </c>
      <c r="B5" s="1" t="s">
        <v>22</v>
      </c>
      <c r="C5" s="1" t="s">
        <v>23</v>
      </c>
      <c r="D5" s="1" t="s">
        <v>18</v>
      </c>
      <c r="E5" s="1" t="s">
        <v>634</v>
      </c>
      <c r="F5" s="4">
        <v>10680</v>
      </c>
      <c r="G5" s="1" t="s">
        <v>19</v>
      </c>
      <c r="H5" s="1" t="s">
        <v>24</v>
      </c>
      <c r="I5" s="1" t="s">
        <v>757</v>
      </c>
      <c r="J5" s="1">
        <v>5224</v>
      </c>
      <c r="K5" s="1">
        <v>13660</v>
      </c>
      <c r="L5" s="7" t="str">
        <f t="shared" si="0"/>
        <v>30695542476522413660</v>
      </c>
      <c r="M5" s="5">
        <v>21</v>
      </c>
      <c r="N5" s="5">
        <v>1051.47</v>
      </c>
      <c r="O5" s="5">
        <v>33867.35</v>
      </c>
      <c r="P5" s="5">
        <v>7112.14</v>
      </c>
      <c r="Q5" s="5">
        <v>43046.98</v>
      </c>
      <c r="R5" s="1" t="s">
        <v>15</v>
      </c>
      <c r="S5" s="5">
        <v>0</v>
      </c>
      <c r="T5" t="e">
        <f>VLOOKUP(L5,'MIS COMPROBANTES'!E:Q,13,0)</f>
        <v>#N/A</v>
      </c>
    </row>
    <row r="6" spans="1:20" x14ac:dyDescent="0.3">
      <c r="A6" s="3">
        <v>45320</v>
      </c>
      <c r="B6" s="1" t="s">
        <v>22</v>
      </c>
      <c r="C6" s="1" t="s">
        <v>23</v>
      </c>
      <c r="D6" s="1" t="s">
        <v>18</v>
      </c>
      <c r="E6" s="1" t="s">
        <v>634</v>
      </c>
      <c r="F6" s="4">
        <v>10680</v>
      </c>
      <c r="G6" s="1" t="s">
        <v>19</v>
      </c>
      <c r="H6" s="1" t="s">
        <v>24</v>
      </c>
      <c r="I6" s="1" t="s">
        <v>757</v>
      </c>
      <c r="J6" s="1">
        <v>5224</v>
      </c>
      <c r="K6" s="1">
        <v>13660</v>
      </c>
      <c r="L6" s="7" t="str">
        <f t="shared" si="0"/>
        <v>30695542476522413660</v>
      </c>
      <c r="M6" s="5">
        <v>3</v>
      </c>
      <c r="N6" s="5">
        <v>0</v>
      </c>
      <c r="O6" s="5">
        <v>0</v>
      </c>
      <c r="P6" s="5">
        <v>1016.02</v>
      </c>
      <c r="Q6" s="5">
        <v>0</v>
      </c>
      <c r="R6" s="1" t="s">
        <v>15</v>
      </c>
      <c r="S6" s="5">
        <v>0</v>
      </c>
      <c r="T6" t="e">
        <f>VLOOKUP(L6,'MIS COMPROBANTES'!E:Q,13,0)</f>
        <v>#N/A</v>
      </c>
    </row>
    <row r="7" spans="1:20" x14ac:dyDescent="0.3">
      <c r="A7" s="3">
        <v>45359</v>
      </c>
      <c r="B7" s="1" t="s">
        <v>25</v>
      </c>
      <c r="C7" s="1" t="s">
        <v>26</v>
      </c>
      <c r="D7" s="1" t="s">
        <v>18</v>
      </c>
      <c r="E7" s="1" t="s">
        <v>635</v>
      </c>
      <c r="F7" s="4">
        <v>11981</v>
      </c>
      <c r="G7" s="1" t="s">
        <v>27</v>
      </c>
      <c r="H7" s="1" t="s">
        <v>28</v>
      </c>
      <c r="I7" s="1" t="s">
        <v>757</v>
      </c>
      <c r="J7" s="1">
        <v>5</v>
      </c>
      <c r="K7" s="1">
        <v>235</v>
      </c>
      <c r="L7" s="7" t="str">
        <f t="shared" si="0"/>
        <v>307095717175235</v>
      </c>
      <c r="M7" s="5">
        <v>21</v>
      </c>
      <c r="N7" s="5">
        <v>0</v>
      </c>
      <c r="O7" s="5">
        <v>-80136.67</v>
      </c>
      <c r="P7" s="5">
        <v>-16828.7</v>
      </c>
      <c r="Q7" s="5">
        <v>-96965.37</v>
      </c>
      <c r="R7" s="1" t="s">
        <v>15</v>
      </c>
      <c r="S7" s="5">
        <v>0</v>
      </c>
      <c r="T7" t="e">
        <f>VLOOKUP(L7,'MIS COMPROBANTES'!E:Q,13,0)</f>
        <v>#N/A</v>
      </c>
    </row>
    <row r="8" spans="1:20" x14ac:dyDescent="0.3">
      <c r="A8" s="3">
        <v>45365</v>
      </c>
      <c r="B8" s="1" t="s">
        <v>29</v>
      </c>
      <c r="C8" s="1" t="s">
        <v>30</v>
      </c>
      <c r="D8" s="1" t="s">
        <v>18</v>
      </c>
      <c r="E8" s="1" t="s">
        <v>636</v>
      </c>
      <c r="F8" s="4">
        <v>12387</v>
      </c>
      <c r="G8" s="1" t="s">
        <v>19</v>
      </c>
      <c r="H8" s="1" t="s">
        <v>31</v>
      </c>
      <c r="I8" s="1" t="s">
        <v>757</v>
      </c>
      <c r="J8" s="1">
        <v>9</v>
      </c>
      <c r="K8" s="1">
        <v>33207</v>
      </c>
      <c r="L8" s="7" t="str">
        <f t="shared" si="0"/>
        <v>30551016117933207</v>
      </c>
      <c r="M8" s="5">
        <v>21</v>
      </c>
      <c r="N8" s="5">
        <v>2330.98</v>
      </c>
      <c r="O8" s="5">
        <v>80717.94</v>
      </c>
      <c r="P8" s="5">
        <v>16950.77</v>
      </c>
      <c r="Q8" s="5">
        <v>99999.69</v>
      </c>
      <c r="R8" s="1" t="s">
        <v>15</v>
      </c>
      <c r="S8" s="5">
        <v>0</v>
      </c>
      <c r="T8" t="e">
        <f>VLOOKUP(L8,'MIS COMPROBANTES'!E:Q,13,0)</f>
        <v>#N/A</v>
      </c>
    </row>
    <row r="9" spans="1:20" x14ac:dyDescent="0.3">
      <c r="A9" s="3">
        <v>45379</v>
      </c>
      <c r="B9" s="1" t="s">
        <v>32</v>
      </c>
      <c r="C9" s="1" t="s">
        <v>33</v>
      </c>
      <c r="D9" s="1" t="s">
        <v>18</v>
      </c>
      <c r="E9" s="1" t="s">
        <v>637</v>
      </c>
      <c r="F9" s="4">
        <v>12108</v>
      </c>
      <c r="G9" s="1" t="s">
        <v>19</v>
      </c>
      <c r="H9" s="1" t="s">
        <v>34</v>
      </c>
      <c r="I9" s="1" t="s">
        <v>757</v>
      </c>
      <c r="J9" s="1">
        <v>4</v>
      </c>
      <c r="K9" s="1">
        <v>4709</v>
      </c>
      <c r="L9" s="7" t="str">
        <f t="shared" si="0"/>
        <v>2005503657944709</v>
      </c>
      <c r="M9" s="5">
        <v>21</v>
      </c>
      <c r="N9" s="5">
        <v>0</v>
      </c>
      <c r="O9" s="5">
        <v>564614.12</v>
      </c>
      <c r="P9" s="5">
        <v>118568.97</v>
      </c>
      <c r="Q9" s="5">
        <v>683183.09</v>
      </c>
      <c r="R9" s="1" t="s">
        <v>15</v>
      </c>
      <c r="S9" s="5">
        <v>0</v>
      </c>
      <c r="T9" t="e">
        <f>VLOOKUP(L9,'MIS COMPROBANTES'!E:Q,13,0)</f>
        <v>#N/A</v>
      </c>
    </row>
    <row r="10" spans="1:20" x14ac:dyDescent="0.3">
      <c r="A10" s="3">
        <v>45398</v>
      </c>
      <c r="B10" s="1" t="s">
        <v>35</v>
      </c>
      <c r="C10" s="1" t="s">
        <v>36</v>
      </c>
      <c r="D10" s="1" t="s">
        <v>18</v>
      </c>
      <c r="E10" s="1" t="s">
        <v>638</v>
      </c>
      <c r="F10" s="4">
        <v>12388</v>
      </c>
      <c r="G10" s="1" t="s">
        <v>19</v>
      </c>
      <c r="H10" s="1" t="s">
        <v>37</v>
      </c>
      <c r="I10" s="1" t="s">
        <v>757</v>
      </c>
      <c r="J10" s="1">
        <v>8</v>
      </c>
      <c r="K10" s="1">
        <v>115262</v>
      </c>
      <c r="L10" s="7" t="str">
        <f t="shared" si="0"/>
        <v>337079014098115262</v>
      </c>
      <c r="M10" s="5">
        <v>21</v>
      </c>
      <c r="N10" s="5">
        <v>5691.63</v>
      </c>
      <c r="O10" s="5">
        <v>61411.91</v>
      </c>
      <c r="P10" s="5">
        <v>12896.5</v>
      </c>
      <c r="Q10" s="5">
        <v>80000.039999999994</v>
      </c>
      <c r="R10" s="1" t="s">
        <v>15</v>
      </c>
      <c r="S10" s="5">
        <v>0</v>
      </c>
      <c r="T10" t="e">
        <f>VLOOKUP(L10,'MIS COMPROBANTES'!E:Q,13,0)</f>
        <v>#N/A</v>
      </c>
    </row>
    <row r="11" spans="1:20" x14ac:dyDescent="0.3">
      <c r="A11" s="3">
        <v>45404</v>
      </c>
      <c r="B11" s="1" t="s">
        <v>38</v>
      </c>
      <c r="C11" s="1" t="s">
        <v>39</v>
      </c>
      <c r="D11" s="1" t="s">
        <v>18</v>
      </c>
      <c r="E11" s="1" t="s">
        <v>639</v>
      </c>
      <c r="F11" s="4">
        <v>12163</v>
      </c>
      <c r="G11" s="1" t="s">
        <v>19</v>
      </c>
      <c r="H11" s="1" t="s">
        <v>40</v>
      </c>
      <c r="I11" s="1" t="s">
        <v>757</v>
      </c>
      <c r="J11" s="1">
        <v>5</v>
      </c>
      <c r="K11" s="1">
        <v>3017938</v>
      </c>
      <c r="L11" s="7" t="str">
        <f t="shared" si="0"/>
        <v>3070265297553017938</v>
      </c>
      <c r="M11" s="5">
        <v>21</v>
      </c>
      <c r="N11" s="5">
        <v>0</v>
      </c>
      <c r="O11" s="5">
        <v>3895.04</v>
      </c>
      <c r="P11" s="5">
        <v>817.96</v>
      </c>
      <c r="Q11" s="5">
        <v>4829.8500000000004</v>
      </c>
      <c r="R11" s="1" t="s">
        <v>15</v>
      </c>
      <c r="S11" s="5">
        <v>116.85</v>
      </c>
      <c r="T11" t="e">
        <f>VLOOKUP(L11,'MIS COMPROBANTES'!E:Q,13,0)</f>
        <v>#N/A</v>
      </c>
    </row>
    <row r="12" spans="1:20" x14ac:dyDescent="0.3">
      <c r="A12" s="3">
        <v>45408</v>
      </c>
      <c r="B12" s="1" t="s">
        <v>41</v>
      </c>
      <c r="C12" s="1" t="s">
        <v>42</v>
      </c>
      <c r="D12" s="1" t="s">
        <v>18</v>
      </c>
      <c r="E12" s="1" t="s">
        <v>640</v>
      </c>
      <c r="F12" s="4">
        <v>12149</v>
      </c>
      <c r="G12" s="1" t="s">
        <v>27</v>
      </c>
      <c r="H12" s="1" t="s">
        <v>43</v>
      </c>
      <c r="I12" s="1" t="s">
        <v>757</v>
      </c>
      <c r="J12" s="1">
        <v>6162</v>
      </c>
      <c r="K12" s="1">
        <v>40408</v>
      </c>
      <c r="L12" s="7" t="str">
        <f t="shared" si="0"/>
        <v>30547242331616240408</v>
      </c>
      <c r="M12" s="5">
        <v>21</v>
      </c>
      <c r="N12" s="5">
        <v>0</v>
      </c>
      <c r="O12" s="5">
        <v>-56649.39</v>
      </c>
      <c r="P12" s="5">
        <v>-11896.37</v>
      </c>
      <c r="Q12" s="5">
        <v>-68545.759999999995</v>
      </c>
      <c r="R12" s="1" t="s">
        <v>15</v>
      </c>
      <c r="S12" s="5">
        <v>0</v>
      </c>
      <c r="T12" t="e">
        <f>VLOOKUP(L12,'MIS COMPROBANTES'!E:Q,13,0)</f>
        <v>#N/A</v>
      </c>
    </row>
    <row r="13" spans="1:20" x14ac:dyDescent="0.3">
      <c r="A13" s="3">
        <v>45411</v>
      </c>
      <c r="B13" s="1" t="s">
        <v>44</v>
      </c>
      <c r="C13" s="1" t="s">
        <v>45</v>
      </c>
      <c r="D13" s="1" t="s">
        <v>18</v>
      </c>
      <c r="E13" s="1" t="s">
        <v>641</v>
      </c>
      <c r="F13" s="4">
        <v>11887</v>
      </c>
      <c r="G13" s="1" t="s">
        <v>19</v>
      </c>
      <c r="H13" s="1" t="s">
        <v>46</v>
      </c>
      <c r="I13" s="1">
        <v>0</v>
      </c>
      <c r="J13" s="1">
        <v>2024</v>
      </c>
      <c r="K13" s="1">
        <v>29042024</v>
      </c>
      <c r="L13" s="7" t="str">
        <f t="shared" si="0"/>
        <v>30500008454202429042024</v>
      </c>
      <c r="M13" s="5">
        <v>3</v>
      </c>
      <c r="N13" s="5">
        <v>0</v>
      </c>
      <c r="O13" s="5">
        <v>0</v>
      </c>
      <c r="P13" s="5">
        <v>999</v>
      </c>
      <c r="Q13" s="5">
        <v>1840</v>
      </c>
      <c r="R13" s="1" t="s">
        <v>15</v>
      </c>
      <c r="S13" s="5">
        <v>841</v>
      </c>
      <c r="T13" t="e">
        <f>VLOOKUP(L13,'MIS COMPROBANTES'!E:Q,13,0)</f>
        <v>#N/A</v>
      </c>
    </row>
    <row r="14" spans="1:20" x14ac:dyDescent="0.3">
      <c r="A14" s="3">
        <v>45412</v>
      </c>
      <c r="B14" s="1" t="s">
        <v>47</v>
      </c>
      <c r="C14" s="1" t="s">
        <v>48</v>
      </c>
      <c r="D14" s="1" t="s">
        <v>18</v>
      </c>
      <c r="E14" s="1" t="s">
        <v>642</v>
      </c>
      <c r="F14" s="4">
        <v>11945</v>
      </c>
      <c r="G14" s="1" t="s">
        <v>19</v>
      </c>
      <c r="H14" s="1" t="s">
        <v>49</v>
      </c>
      <c r="I14" s="1">
        <v>0</v>
      </c>
      <c r="J14" s="1">
        <v>2024</v>
      </c>
      <c r="K14" s="1">
        <v>300424</v>
      </c>
      <c r="L14" s="7" t="str">
        <f t="shared" si="0"/>
        <v>306047310182024300424</v>
      </c>
      <c r="M14" s="5">
        <v>10.5</v>
      </c>
      <c r="N14" s="5">
        <v>301</v>
      </c>
      <c r="O14" s="5">
        <v>24832.400000000001</v>
      </c>
      <c r="P14" s="5">
        <v>2607.4</v>
      </c>
      <c r="Q14" s="5">
        <v>28609.93</v>
      </c>
      <c r="R14" s="1" t="s">
        <v>15</v>
      </c>
      <c r="S14" s="5">
        <v>496.65</v>
      </c>
      <c r="T14" t="e">
        <f>VLOOKUP(L14,'MIS COMPROBANTES'!E:Q,13,0)</f>
        <v>#N/A</v>
      </c>
    </row>
    <row r="15" spans="1:20" x14ac:dyDescent="0.3">
      <c r="A15" s="3">
        <v>45412</v>
      </c>
      <c r="B15" s="1" t="s">
        <v>47</v>
      </c>
      <c r="C15" s="1" t="s">
        <v>48</v>
      </c>
      <c r="D15" s="1" t="s">
        <v>18</v>
      </c>
      <c r="E15" s="1" t="s">
        <v>642</v>
      </c>
      <c r="F15" s="4">
        <v>11945</v>
      </c>
      <c r="G15" s="1" t="s">
        <v>19</v>
      </c>
      <c r="H15" s="1" t="s">
        <v>49</v>
      </c>
      <c r="I15" s="1">
        <v>0</v>
      </c>
      <c r="J15" s="1">
        <v>2024</v>
      </c>
      <c r="K15" s="1">
        <v>300424</v>
      </c>
      <c r="L15" s="7" t="str">
        <f t="shared" si="0"/>
        <v>306047310182024300424</v>
      </c>
      <c r="M15" s="5">
        <v>1.5</v>
      </c>
      <c r="N15" s="5">
        <v>0</v>
      </c>
      <c r="O15" s="5">
        <v>0</v>
      </c>
      <c r="P15" s="5">
        <v>372.48</v>
      </c>
      <c r="Q15" s="5">
        <v>0</v>
      </c>
      <c r="R15" s="1" t="s">
        <v>15</v>
      </c>
      <c r="S15" s="5">
        <v>0</v>
      </c>
      <c r="T15" t="e">
        <f>VLOOKUP(L15,'MIS COMPROBANTES'!E:Q,13,0)</f>
        <v>#N/A</v>
      </c>
    </row>
    <row r="16" spans="1:20" x14ac:dyDescent="0.3">
      <c r="A16" s="3">
        <v>45412</v>
      </c>
      <c r="B16" s="1" t="s">
        <v>32</v>
      </c>
      <c r="C16" s="1" t="s">
        <v>33</v>
      </c>
      <c r="D16" s="1" t="s">
        <v>18</v>
      </c>
      <c r="E16" s="1" t="s">
        <v>637</v>
      </c>
      <c r="F16" s="4">
        <v>12114</v>
      </c>
      <c r="G16" s="1" t="s">
        <v>19</v>
      </c>
      <c r="H16" s="1" t="s">
        <v>50</v>
      </c>
      <c r="I16" s="1" t="s">
        <v>757</v>
      </c>
      <c r="J16" s="1">
        <v>4</v>
      </c>
      <c r="K16" s="1">
        <v>4758</v>
      </c>
      <c r="L16" s="7" t="str">
        <f t="shared" si="0"/>
        <v>2005503657944758</v>
      </c>
      <c r="M16" s="5">
        <v>21</v>
      </c>
      <c r="N16" s="5">
        <v>0</v>
      </c>
      <c r="O16" s="5">
        <v>526798.01</v>
      </c>
      <c r="P16" s="5">
        <v>110627.58</v>
      </c>
      <c r="Q16" s="5">
        <v>637425.59</v>
      </c>
      <c r="R16" s="1" t="s">
        <v>15</v>
      </c>
      <c r="S16" s="5">
        <v>0</v>
      </c>
      <c r="T16" t="e">
        <f>VLOOKUP(L16,'MIS COMPROBANTES'!E:Q,13,0)</f>
        <v>#N/A</v>
      </c>
    </row>
    <row r="17" spans="1:20" x14ac:dyDescent="0.3">
      <c r="A17" s="3">
        <v>45412</v>
      </c>
      <c r="B17" s="1" t="s">
        <v>51</v>
      </c>
      <c r="C17" s="1" t="s">
        <v>52</v>
      </c>
      <c r="D17" s="1" t="s">
        <v>18</v>
      </c>
      <c r="E17" s="1" t="s">
        <v>643</v>
      </c>
      <c r="F17" s="4">
        <v>12125</v>
      </c>
      <c r="G17" s="1" t="s">
        <v>27</v>
      </c>
      <c r="H17" s="1" t="s">
        <v>53</v>
      </c>
      <c r="I17" s="1" t="s">
        <v>757</v>
      </c>
      <c r="J17" s="1">
        <v>10</v>
      </c>
      <c r="K17" s="1">
        <v>7634</v>
      </c>
      <c r="L17" s="7" t="str">
        <f t="shared" si="0"/>
        <v>30552910512107634</v>
      </c>
      <c r="M17" s="5">
        <v>21</v>
      </c>
      <c r="N17" s="5">
        <v>0</v>
      </c>
      <c r="O17" s="5">
        <v>-29796</v>
      </c>
      <c r="P17" s="5">
        <v>-6257.16</v>
      </c>
      <c r="Q17" s="5">
        <v>-37542.959999999999</v>
      </c>
      <c r="R17" s="1" t="s">
        <v>15</v>
      </c>
      <c r="S17" s="5">
        <v>-595.91999999999996</v>
      </c>
      <c r="T17" t="e">
        <f>VLOOKUP(L17,'MIS COMPROBANTES'!E:Q,13,0)</f>
        <v>#N/A</v>
      </c>
    </row>
    <row r="18" spans="1:20" x14ac:dyDescent="0.3">
      <c r="A18" s="3">
        <v>45412</v>
      </c>
      <c r="B18" s="1" t="s">
        <v>51</v>
      </c>
      <c r="C18" s="1" t="s">
        <v>52</v>
      </c>
      <c r="D18" s="1" t="s">
        <v>18</v>
      </c>
      <c r="E18" s="1" t="s">
        <v>643</v>
      </c>
      <c r="F18" s="4">
        <v>12125</v>
      </c>
      <c r="G18" s="1" t="s">
        <v>27</v>
      </c>
      <c r="H18" s="1" t="s">
        <v>53</v>
      </c>
      <c r="I18" s="1" t="s">
        <v>757</v>
      </c>
      <c r="J18" s="1">
        <v>10</v>
      </c>
      <c r="K18" s="1">
        <v>7634</v>
      </c>
      <c r="L18" s="7" t="str">
        <f t="shared" si="0"/>
        <v>30552910512107634</v>
      </c>
      <c r="M18" s="5">
        <v>3</v>
      </c>
      <c r="N18" s="5">
        <v>0</v>
      </c>
      <c r="O18" s="5">
        <v>0</v>
      </c>
      <c r="P18" s="5">
        <v>-893.88</v>
      </c>
      <c r="Q18" s="5">
        <v>0</v>
      </c>
      <c r="R18" s="1" t="s">
        <v>15</v>
      </c>
      <c r="S18" s="5">
        <v>0</v>
      </c>
      <c r="T18" t="e">
        <f>VLOOKUP(L18,'MIS COMPROBANTES'!E:Q,13,0)</f>
        <v>#N/A</v>
      </c>
    </row>
    <row r="19" spans="1:20" x14ac:dyDescent="0.3">
      <c r="A19" s="3">
        <v>45413</v>
      </c>
      <c r="B19" s="1" t="s">
        <v>54</v>
      </c>
      <c r="C19" s="1" t="s">
        <v>55</v>
      </c>
      <c r="D19" s="1" t="s">
        <v>18</v>
      </c>
      <c r="E19" s="1" t="s">
        <v>644</v>
      </c>
      <c r="F19" s="4">
        <v>11931</v>
      </c>
      <c r="G19" s="1" t="s">
        <v>19</v>
      </c>
      <c r="H19" s="1" t="s">
        <v>56</v>
      </c>
      <c r="I19" s="1" t="s">
        <v>757</v>
      </c>
      <c r="J19" s="1">
        <v>3</v>
      </c>
      <c r="K19" s="1">
        <v>227267</v>
      </c>
      <c r="L19" s="7" t="str">
        <f t="shared" si="0"/>
        <v>307071355963227267</v>
      </c>
      <c r="M19" s="5">
        <v>21</v>
      </c>
      <c r="N19" s="5">
        <v>0</v>
      </c>
      <c r="O19" s="5">
        <v>82021.649999999994</v>
      </c>
      <c r="P19" s="5">
        <v>17224.55</v>
      </c>
      <c r="Q19" s="5">
        <v>100886.63</v>
      </c>
      <c r="R19" s="1" t="s">
        <v>57</v>
      </c>
      <c r="S19" s="5">
        <v>1640.43</v>
      </c>
      <c r="T19">
        <f>VLOOKUP(L19,'MIS COMPROBANTES'!E:Q,13,0)</f>
        <v>100886.63</v>
      </c>
    </row>
    <row r="20" spans="1:20" x14ac:dyDescent="0.3">
      <c r="A20" s="3">
        <v>45413</v>
      </c>
      <c r="B20" s="1" t="s">
        <v>58</v>
      </c>
      <c r="C20" s="1" t="s">
        <v>59</v>
      </c>
      <c r="D20" s="1" t="s">
        <v>18</v>
      </c>
      <c r="E20" s="1" t="s">
        <v>645</v>
      </c>
      <c r="F20" s="4">
        <v>11930</v>
      </c>
      <c r="G20" s="1" t="s">
        <v>19</v>
      </c>
      <c r="H20" s="1" t="s">
        <v>60</v>
      </c>
      <c r="I20" s="1" t="s">
        <v>757</v>
      </c>
      <c r="J20" s="1">
        <v>5</v>
      </c>
      <c r="K20" s="1">
        <v>579401</v>
      </c>
      <c r="L20" s="7" t="str">
        <f t="shared" si="0"/>
        <v>305000357885579401</v>
      </c>
      <c r="M20" s="5">
        <v>21</v>
      </c>
      <c r="N20" s="5">
        <v>314.52999999999997</v>
      </c>
      <c r="O20" s="5">
        <v>11536.45</v>
      </c>
      <c r="P20" s="5">
        <v>2422.65</v>
      </c>
      <c r="Q20" s="5">
        <v>14850.45</v>
      </c>
      <c r="R20" s="1" t="s">
        <v>15</v>
      </c>
      <c r="S20" s="5">
        <v>230.73</v>
      </c>
      <c r="T20">
        <f>VLOOKUP(L20,'MIS COMPROBANTES'!E:Q,13,0)</f>
        <v>14850.45</v>
      </c>
    </row>
    <row r="21" spans="1:20" x14ac:dyDescent="0.3">
      <c r="A21" s="3">
        <v>45413</v>
      </c>
      <c r="B21" s="1" t="s">
        <v>58</v>
      </c>
      <c r="C21" s="1" t="s">
        <v>59</v>
      </c>
      <c r="D21" s="1" t="s">
        <v>18</v>
      </c>
      <c r="E21" s="1" t="s">
        <v>645</v>
      </c>
      <c r="F21" s="4">
        <v>11930</v>
      </c>
      <c r="G21" s="1" t="s">
        <v>19</v>
      </c>
      <c r="H21" s="1" t="s">
        <v>60</v>
      </c>
      <c r="I21" s="1" t="s">
        <v>757</v>
      </c>
      <c r="J21" s="1">
        <v>5</v>
      </c>
      <c r="K21" s="1">
        <v>579401</v>
      </c>
      <c r="L21" s="7" t="str">
        <f t="shared" si="0"/>
        <v>305000357885579401</v>
      </c>
      <c r="M21" s="5">
        <v>3</v>
      </c>
      <c r="N21" s="5">
        <v>0</v>
      </c>
      <c r="O21" s="5">
        <v>0</v>
      </c>
      <c r="P21" s="5">
        <v>346.09</v>
      </c>
      <c r="Q21" s="5">
        <v>0</v>
      </c>
      <c r="R21" s="1" t="s">
        <v>15</v>
      </c>
      <c r="S21" s="5">
        <v>0</v>
      </c>
      <c r="T21">
        <f>VLOOKUP(L21,'MIS COMPROBANTES'!E:Q,13,0)</f>
        <v>14850.45</v>
      </c>
    </row>
    <row r="22" spans="1:20" x14ac:dyDescent="0.3">
      <c r="A22" s="3">
        <v>45413</v>
      </c>
      <c r="B22" s="1" t="s">
        <v>61</v>
      </c>
      <c r="C22" s="1" t="s">
        <v>62</v>
      </c>
      <c r="D22" s="1" t="s">
        <v>18</v>
      </c>
      <c r="E22" s="1" t="s">
        <v>646</v>
      </c>
      <c r="F22" s="4">
        <v>11920</v>
      </c>
      <c r="G22" s="1" t="s">
        <v>19</v>
      </c>
      <c r="H22" s="1" t="s">
        <v>63</v>
      </c>
      <c r="I22" s="1" t="s">
        <v>757</v>
      </c>
      <c r="J22" s="1">
        <v>1326</v>
      </c>
      <c r="K22" s="1">
        <v>838787</v>
      </c>
      <c r="L22" s="7" t="str">
        <f t="shared" si="0"/>
        <v>306632884971326838787</v>
      </c>
      <c r="M22" s="5">
        <v>21</v>
      </c>
      <c r="N22" s="5">
        <v>0</v>
      </c>
      <c r="O22" s="5">
        <v>21260</v>
      </c>
      <c r="P22" s="5">
        <v>4422.6000000000004</v>
      </c>
      <c r="Q22" s="5">
        <v>26799.599999999999</v>
      </c>
      <c r="R22" s="1" t="s">
        <v>15</v>
      </c>
      <c r="S22" s="5">
        <v>425.2</v>
      </c>
      <c r="T22">
        <f>VLOOKUP(L22,'MIS COMPROBANTES'!E:Q,13,0)</f>
        <v>26799.599999999999</v>
      </c>
    </row>
    <row r="23" spans="1:20" x14ac:dyDescent="0.3">
      <c r="A23" s="3">
        <v>45413</v>
      </c>
      <c r="B23" s="1" t="s">
        <v>61</v>
      </c>
      <c r="C23" s="1" t="s">
        <v>62</v>
      </c>
      <c r="D23" s="1" t="s">
        <v>18</v>
      </c>
      <c r="E23" s="1" t="s">
        <v>646</v>
      </c>
      <c r="F23" s="4">
        <v>11920</v>
      </c>
      <c r="G23" s="1" t="s">
        <v>19</v>
      </c>
      <c r="H23" s="1" t="s">
        <v>63</v>
      </c>
      <c r="I23" s="1" t="s">
        <v>757</v>
      </c>
      <c r="J23" s="1">
        <v>1326</v>
      </c>
      <c r="K23" s="1">
        <v>838787</v>
      </c>
      <c r="L23" s="7" t="str">
        <f t="shared" si="0"/>
        <v>306632884971326838787</v>
      </c>
      <c r="M23" s="5">
        <v>27</v>
      </c>
      <c r="N23" s="5">
        <v>0</v>
      </c>
      <c r="O23" s="5">
        <v>0</v>
      </c>
      <c r="P23" s="5">
        <v>54</v>
      </c>
      <c r="Q23" s="5">
        <v>0</v>
      </c>
      <c r="R23" s="1" t="s">
        <v>15</v>
      </c>
      <c r="S23" s="5">
        <v>0</v>
      </c>
      <c r="T23">
        <f>VLOOKUP(L23,'MIS COMPROBANTES'!E:Q,13,0)</f>
        <v>26799.599999999999</v>
      </c>
    </row>
    <row r="24" spans="1:20" x14ac:dyDescent="0.3">
      <c r="A24" s="3">
        <v>45413</v>
      </c>
      <c r="B24" s="1" t="s">
        <v>61</v>
      </c>
      <c r="C24" s="1" t="s">
        <v>62</v>
      </c>
      <c r="D24" s="1" t="s">
        <v>18</v>
      </c>
      <c r="E24" s="1" t="s">
        <v>646</v>
      </c>
      <c r="F24" s="4">
        <v>11920</v>
      </c>
      <c r="G24" s="1" t="s">
        <v>19</v>
      </c>
      <c r="H24" s="1" t="s">
        <v>63</v>
      </c>
      <c r="I24" s="1" t="s">
        <v>757</v>
      </c>
      <c r="J24" s="1">
        <v>1326</v>
      </c>
      <c r="K24" s="1">
        <v>838787</v>
      </c>
      <c r="L24" s="7" t="str">
        <f t="shared" si="0"/>
        <v>306632884971326838787</v>
      </c>
      <c r="M24" s="5">
        <v>3</v>
      </c>
      <c r="N24" s="5">
        <v>0</v>
      </c>
      <c r="O24" s="5">
        <v>0</v>
      </c>
      <c r="P24" s="5">
        <v>637.79999999999995</v>
      </c>
      <c r="Q24" s="5">
        <v>0</v>
      </c>
      <c r="R24" s="1" t="s">
        <v>15</v>
      </c>
      <c r="S24" s="5">
        <v>0</v>
      </c>
      <c r="T24">
        <f>VLOOKUP(L24,'MIS COMPROBANTES'!E:Q,13,0)</f>
        <v>26799.599999999999</v>
      </c>
    </row>
    <row r="25" spans="1:20" x14ac:dyDescent="0.3">
      <c r="A25" s="3">
        <v>45413</v>
      </c>
      <c r="B25" s="1" t="s">
        <v>64</v>
      </c>
      <c r="C25" s="1" t="s">
        <v>65</v>
      </c>
      <c r="D25" s="1" t="s">
        <v>18</v>
      </c>
      <c r="E25" s="1" t="s">
        <v>647</v>
      </c>
      <c r="F25" s="4">
        <v>11889</v>
      </c>
      <c r="G25" s="1" t="s">
        <v>19</v>
      </c>
      <c r="H25" s="1" t="s">
        <v>66</v>
      </c>
      <c r="I25" s="1" t="s">
        <v>757</v>
      </c>
      <c r="J25" s="1">
        <v>2002</v>
      </c>
      <c r="K25" s="1">
        <v>285263</v>
      </c>
      <c r="L25" s="7" t="str">
        <f t="shared" si="0"/>
        <v>305007682622002285263</v>
      </c>
      <c r="M25" s="5">
        <v>21</v>
      </c>
      <c r="N25" s="5">
        <v>0</v>
      </c>
      <c r="O25" s="5">
        <v>1214533.2</v>
      </c>
      <c r="P25" s="5">
        <v>255051.97</v>
      </c>
      <c r="Q25" s="5">
        <v>1566747.81</v>
      </c>
      <c r="R25" s="1" t="s">
        <v>15</v>
      </c>
      <c r="S25" s="5">
        <v>60726.65</v>
      </c>
      <c r="T25">
        <f>VLOOKUP(L25,'MIS COMPROBANTES'!E:Q,13,0)</f>
        <v>1566747.81</v>
      </c>
    </row>
    <row r="26" spans="1:20" x14ac:dyDescent="0.3">
      <c r="A26" s="3">
        <v>45413</v>
      </c>
      <c r="B26" s="1" t="s">
        <v>64</v>
      </c>
      <c r="C26" s="1" t="s">
        <v>65</v>
      </c>
      <c r="D26" s="1" t="s">
        <v>18</v>
      </c>
      <c r="E26" s="1" t="s">
        <v>647</v>
      </c>
      <c r="F26" s="4">
        <v>11889</v>
      </c>
      <c r="G26" s="1" t="s">
        <v>19</v>
      </c>
      <c r="H26" s="1" t="s">
        <v>66</v>
      </c>
      <c r="I26" s="1" t="s">
        <v>757</v>
      </c>
      <c r="J26" s="1">
        <v>2002</v>
      </c>
      <c r="K26" s="1">
        <v>285263</v>
      </c>
      <c r="L26" s="7" t="str">
        <f t="shared" si="0"/>
        <v>305007682622002285263</v>
      </c>
      <c r="M26" s="5">
        <v>3</v>
      </c>
      <c r="N26" s="5">
        <v>0</v>
      </c>
      <c r="O26" s="5">
        <v>0</v>
      </c>
      <c r="P26" s="5">
        <v>36435.99</v>
      </c>
      <c r="Q26" s="5">
        <v>0</v>
      </c>
      <c r="R26" s="1" t="s">
        <v>15</v>
      </c>
      <c r="S26" s="5">
        <v>0</v>
      </c>
      <c r="T26">
        <f>VLOOKUP(L26,'MIS COMPROBANTES'!E:Q,13,0)</f>
        <v>1566747.81</v>
      </c>
    </row>
    <row r="27" spans="1:20" x14ac:dyDescent="0.3">
      <c r="A27" s="3">
        <v>45414</v>
      </c>
      <c r="B27" s="1" t="s">
        <v>67</v>
      </c>
      <c r="C27" s="1" t="s">
        <v>68</v>
      </c>
      <c r="D27" s="1" t="s">
        <v>18</v>
      </c>
      <c r="E27" s="1" t="s">
        <v>648</v>
      </c>
      <c r="F27" s="4">
        <v>12239</v>
      </c>
      <c r="G27" s="1" t="s">
        <v>19</v>
      </c>
      <c r="H27" s="1" t="s">
        <v>69</v>
      </c>
      <c r="I27" s="1" t="s">
        <v>757</v>
      </c>
      <c r="J27" s="1">
        <v>2</v>
      </c>
      <c r="K27" s="1">
        <v>810</v>
      </c>
      <c r="L27" s="7" t="str">
        <f t="shared" si="0"/>
        <v>200843183622810</v>
      </c>
      <c r="M27" s="5">
        <v>21</v>
      </c>
      <c r="N27" s="5">
        <v>0</v>
      </c>
      <c r="O27" s="5">
        <v>768785</v>
      </c>
      <c r="P27" s="5">
        <v>161444.85</v>
      </c>
      <c r="Q27" s="5">
        <v>930229.85</v>
      </c>
      <c r="R27" s="1" t="s">
        <v>15</v>
      </c>
      <c r="S27" s="5">
        <v>0</v>
      </c>
      <c r="T27">
        <f>VLOOKUP(L27,'MIS COMPROBANTES'!E:Q,13,0)</f>
        <v>930229.85</v>
      </c>
    </row>
    <row r="28" spans="1:20" x14ac:dyDescent="0.3">
      <c r="A28" s="3">
        <v>45414</v>
      </c>
      <c r="B28" s="1" t="s">
        <v>70</v>
      </c>
      <c r="C28" s="1" t="s">
        <v>71</v>
      </c>
      <c r="D28" s="1" t="s">
        <v>18</v>
      </c>
      <c r="E28" s="1" t="s">
        <v>649</v>
      </c>
      <c r="F28" s="4">
        <v>11660</v>
      </c>
      <c r="G28" s="1" t="s">
        <v>19</v>
      </c>
      <c r="H28" s="1" t="s">
        <v>72</v>
      </c>
      <c r="I28" s="1" t="s">
        <v>757</v>
      </c>
      <c r="J28" s="1">
        <v>3</v>
      </c>
      <c r="K28" s="1">
        <v>100226</v>
      </c>
      <c r="L28" s="7" t="str">
        <f t="shared" si="0"/>
        <v>307039574783100226</v>
      </c>
      <c r="M28" s="5">
        <v>21</v>
      </c>
      <c r="N28" s="5">
        <v>0</v>
      </c>
      <c r="O28" s="5">
        <v>1158379.3500000001</v>
      </c>
      <c r="P28" s="5">
        <v>243259.66</v>
      </c>
      <c r="Q28" s="5">
        <v>1424806.6</v>
      </c>
      <c r="R28" s="1" t="s">
        <v>15</v>
      </c>
      <c r="S28" s="5">
        <v>23167.59</v>
      </c>
      <c r="T28">
        <f>VLOOKUP(L28,'MIS COMPROBANTES'!E:Q,13,0)</f>
        <v>1424806.6</v>
      </c>
    </row>
    <row r="29" spans="1:20" x14ac:dyDescent="0.3">
      <c r="A29" s="3">
        <v>45414</v>
      </c>
      <c r="B29" s="1" t="s">
        <v>70</v>
      </c>
      <c r="C29" s="1" t="s">
        <v>71</v>
      </c>
      <c r="D29" s="1" t="s">
        <v>18</v>
      </c>
      <c r="E29" s="1" t="s">
        <v>649</v>
      </c>
      <c r="F29" s="4">
        <v>11659</v>
      </c>
      <c r="G29" s="1" t="s">
        <v>19</v>
      </c>
      <c r="H29" s="1" t="s">
        <v>73</v>
      </c>
      <c r="I29" s="1" t="s">
        <v>757</v>
      </c>
      <c r="J29" s="1">
        <v>3</v>
      </c>
      <c r="K29" s="1">
        <v>100229</v>
      </c>
      <c r="L29" s="7" t="str">
        <f t="shared" si="0"/>
        <v>307039574783100229</v>
      </c>
      <c r="M29" s="5">
        <v>21</v>
      </c>
      <c r="N29" s="5">
        <v>0</v>
      </c>
      <c r="O29" s="5">
        <v>5596510.3099999996</v>
      </c>
      <c r="P29" s="5">
        <v>1175267.17</v>
      </c>
      <c r="Q29" s="5">
        <v>6883707.6900000004</v>
      </c>
      <c r="R29" s="1" t="s">
        <v>15</v>
      </c>
      <c r="S29" s="5">
        <v>111930.21</v>
      </c>
      <c r="T29">
        <f>VLOOKUP(L29,'MIS COMPROBANTES'!E:Q,13,0)</f>
        <v>6883707.6900000004</v>
      </c>
    </row>
    <row r="30" spans="1:20" x14ac:dyDescent="0.3">
      <c r="A30" s="3">
        <v>45414</v>
      </c>
      <c r="B30" s="1" t="s">
        <v>25</v>
      </c>
      <c r="C30" s="1" t="s">
        <v>26</v>
      </c>
      <c r="D30" s="1" t="s">
        <v>18</v>
      </c>
      <c r="E30" s="1" t="s">
        <v>635</v>
      </c>
      <c r="F30" s="4">
        <v>11712</v>
      </c>
      <c r="G30" s="1" t="s">
        <v>19</v>
      </c>
      <c r="H30" s="1" t="s">
        <v>74</v>
      </c>
      <c r="I30" s="1" t="s">
        <v>757</v>
      </c>
      <c r="J30" s="1">
        <v>5</v>
      </c>
      <c r="K30" s="1">
        <v>951</v>
      </c>
      <c r="L30" s="7" t="str">
        <f t="shared" si="0"/>
        <v>307095717175951</v>
      </c>
      <c r="M30" s="5">
        <v>21</v>
      </c>
      <c r="N30" s="5">
        <v>0</v>
      </c>
      <c r="O30" s="5">
        <v>19433553.600000001</v>
      </c>
      <c r="P30" s="5">
        <v>4081046.26</v>
      </c>
      <c r="Q30" s="5">
        <v>23514599.859999999</v>
      </c>
      <c r="R30" s="1" t="s">
        <v>15</v>
      </c>
      <c r="S30" s="5">
        <v>0</v>
      </c>
      <c r="T30">
        <f>VLOOKUP(L30,'MIS COMPROBANTES'!E:Q,13,0)</f>
        <v>23514599.859999999</v>
      </c>
    </row>
    <row r="31" spans="1:20" x14ac:dyDescent="0.3">
      <c r="A31" s="3">
        <v>45414</v>
      </c>
      <c r="B31" s="1" t="s">
        <v>75</v>
      </c>
      <c r="C31" s="1" t="s">
        <v>76</v>
      </c>
      <c r="D31" s="1" t="s">
        <v>18</v>
      </c>
      <c r="E31" s="1" t="s">
        <v>650</v>
      </c>
      <c r="F31" s="4">
        <v>11656</v>
      </c>
      <c r="G31" s="1" t="s">
        <v>19</v>
      </c>
      <c r="H31" s="1" t="s">
        <v>77</v>
      </c>
      <c r="I31" s="1" t="s">
        <v>757</v>
      </c>
      <c r="J31" s="1">
        <v>7</v>
      </c>
      <c r="K31" s="1">
        <v>8376</v>
      </c>
      <c r="L31" s="7" t="str">
        <f t="shared" si="0"/>
        <v>3071217514878376</v>
      </c>
      <c r="M31" s="5">
        <v>21</v>
      </c>
      <c r="N31" s="5">
        <v>8534.98</v>
      </c>
      <c r="O31" s="5">
        <v>87990.080000000002</v>
      </c>
      <c r="P31" s="5">
        <v>18477.919999999998</v>
      </c>
      <c r="Q31" s="5">
        <v>115002.98</v>
      </c>
      <c r="R31" s="1" t="s">
        <v>78</v>
      </c>
      <c r="S31" s="5">
        <v>0</v>
      </c>
      <c r="T31" t="e">
        <f>VLOOKUP(L31,'MIS COMPROBANTES'!E:Q,13,0)</f>
        <v>#N/A</v>
      </c>
    </row>
    <row r="32" spans="1:20" x14ac:dyDescent="0.3">
      <c r="A32" s="3">
        <v>45414</v>
      </c>
      <c r="B32" s="1" t="s">
        <v>79</v>
      </c>
      <c r="C32" s="1" t="s">
        <v>80</v>
      </c>
      <c r="D32" s="1" t="s">
        <v>18</v>
      </c>
      <c r="E32" s="1" t="s">
        <v>651</v>
      </c>
      <c r="F32" s="4">
        <v>11838</v>
      </c>
      <c r="G32" s="1" t="s">
        <v>19</v>
      </c>
      <c r="H32" s="1" t="s">
        <v>81</v>
      </c>
      <c r="I32" s="1" t="s">
        <v>757</v>
      </c>
      <c r="J32" s="1">
        <v>20</v>
      </c>
      <c r="K32" s="1">
        <v>152753</v>
      </c>
      <c r="L32" s="7" t="str">
        <f t="shared" si="0"/>
        <v>3064661852120152753</v>
      </c>
      <c r="M32" s="5">
        <v>21</v>
      </c>
      <c r="N32" s="5">
        <v>0</v>
      </c>
      <c r="O32" s="5">
        <v>7450417.1500000004</v>
      </c>
      <c r="P32" s="5">
        <v>1564587.6</v>
      </c>
      <c r="Q32" s="5">
        <v>9238517.2599999998</v>
      </c>
      <c r="R32" s="1" t="s">
        <v>15</v>
      </c>
      <c r="S32" s="5">
        <v>0</v>
      </c>
      <c r="T32">
        <f>VLOOKUP(L32,'MIS COMPROBANTES'!E:Q,13,0)</f>
        <v>9238517.2599999998</v>
      </c>
    </row>
    <row r="33" spans="1:20" x14ac:dyDescent="0.3">
      <c r="A33" s="3">
        <v>45414</v>
      </c>
      <c r="B33" s="1" t="s">
        <v>79</v>
      </c>
      <c r="C33" s="1" t="s">
        <v>80</v>
      </c>
      <c r="D33" s="1" t="s">
        <v>18</v>
      </c>
      <c r="E33" s="1" t="s">
        <v>651</v>
      </c>
      <c r="F33" s="4">
        <v>11838</v>
      </c>
      <c r="G33" s="1" t="s">
        <v>19</v>
      </c>
      <c r="H33" s="1" t="s">
        <v>81</v>
      </c>
      <c r="I33" s="1" t="s">
        <v>757</v>
      </c>
      <c r="J33" s="1">
        <v>20</v>
      </c>
      <c r="K33" s="1">
        <v>152753</v>
      </c>
      <c r="L33" s="7" t="str">
        <f t="shared" si="0"/>
        <v>3064661852120152753</v>
      </c>
      <c r="M33" s="5">
        <v>3</v>
      </c>
      <c r="N33" s="5">
        <v>0</v>
      </c>
      <c r="O33" s="5">
        <v>0</v>
      </c>
      <c r="P33" s="5">
        <v>223512.51</v>
      </c>
      <c r="Q33" s="5">
        <v>0</v>
      </c>
      <c r="R33" s="1" t="s">
        <v>15</v>
      </c>
      <c r="S33" s="5">
        <v>0</v>
      </c>
      <c r="T33">
        <f>VLOOKUP(L33,'MIS COMPROBANTES'!E:Q,13,0)</f>
        <v>9238517.2599999998</v>
      </c>
    </row>
    <row r="34" spans="1:20" x14ac:dyDescent="0.3">
      <c r="A34" s="3">
        <v>45414</v>
      </c>
      <c r="B34" s="1" t="s">
        <v>82</v>
      </c>
      <c r="C34" s="1" t="s">
        <v>83</v>
      </c>
      <c r="D34" s="1" t="s">
        <v>18</v>
      </c>
      <c r="E34" s="1" t="s">
        <v>652</v>
      </c>
      <c r="F34" s="4">
        <v>11871</v>
      </c>
      <c r="G34" s="1" t="s">
        <v>19</v>
      </c>
      <c r="H34" s="1" t="s">
        <v>84</v>
      </c>
      <c r="I34" s="1" t="s">
        <v>757</v>
      </c>
      <c r="J34" s="1">
        <v>46</v>
      </c>
      <c r="K34" s="1">
        <v>400220</v>
      </c>
      <c r="L34" s="7" t="str">
        <f t="shared" si="0"/>
        <v>3053214979346400220</v>
      </c>
      <c r="M34" s="5">
        <v>21</v>
      </c>
      <c r="N34" s="5">
        <v>0</v>
      </c>
      <c r="O34" s="5">
        <v>1531572</v>
      </c>
      <c r="P34" s="5">
        <v>321630.12</v>
      </c>
      <c r="Q34" s="5">
        <v>1929780.72</v>
      </c>
      <c r="R34" s="1" t="s">
        <v>15</v>
      </c>
      <c r="S34" s="5">
        <v>30631.439999999999</v>
      </c>
      <c r="T34">
        <f>VLOOKUP(L34,'MIS COMPROBANTES'!E:Q,13,0)</f>
        <v>1929780.72</v>
      </c>
    </row>
    <row r="35" spans="1:20" x14ac:dyDescent="0.3">
      <c r="A35" s="3">
        <v>45414</v>
      </c>
      <c r="B35" s="1" t="s">
        <v>82</v>
      </c>
      <c r="C35" s="1" t="s">
        <v>83</v>
      </c>
      <c r="D35" s="1" t="s">
        <v>18</v>
      </c>
      <c r="E35" s="1" t="s">
        <v>652</v>
      </c>
      <c r="F35" s="4">
        <v>11871</v>
      </c>
      <c r="G35" s="1" t="s">
        <v>19</v>
      </c>
      <c r="H35" s="1" t="s">
        <v>84</v>
      </c>
      <c r="I35" s="1" t="s">
        <v>757</v>
      </c>
      <c r="J35" s="1">
        <v>46</v>
      </c>
      <c r="K35" s="1">
        <v>400220</v>
      </c>
      <c r="L35" s="7" t="str">
        <f t="shared" si="0"/>
        <v>3053214979346400220</v>
      </c>
      <c r="M35" s="5">
        <v>3</v>
      </c>
      <c r="N35" s="5">
        <v>0</v>
      </c>
      <c r="O35" s="5">
        <v>0</v>
      </c>
      <c r="P35" s="5">
        <v>45947.16</v>
      </c>
      <c r="Q35" s="5">
        <v>0</v>
      </c>
      <c r="R35" s="1" t="s">
        <v>15</v>
      </c>
      <c r="S35" s="5">
        <v>0</v>
      </c>
      <c r="T35">
        <f>VLOOKUP(L35,'MIS COMPROBANTES'!E:Q,13,0)</f>
        <v>1929780.72</v>
      </c>
    </row>
    <row r="36" spans="1:20" x14ac:dyDescent="0.3">
      <c r="A36" s="3">
        <v>45414</v>
      </c>
      <c r="B36" s="1" t="s">
        <v>85</v>
      </c>
      <c r="C36" s="1" t="s">
        <v>86</v>
      </c>
      <c r="D36" s="1" t="s">
        <v>18</v>
      </c>
      <c r="E36" s="1" t="s">
        <v>653</v>
      </c>
      <c r="F36" s="4">
        <v>11841</v>
      </c>
      <c r="G36" s="1" t="s">
        <v>19</v>
      </c>
      <c r="H36" s="1" t="s">
        <v>87</v>
      </c>
      <c r="I36" s="1" t="s">
        <v>757</v>
      </c>
      <c r="J36" s="1">
        <v>218</v>
      </c>
      <c r="K36" s="1">
        <v>160954</v>
      </c>
      <c r="L36" s="7" t="str">
        <f t="shared" si="0"/>
        <v>30501290323218160954</v>
      </c>
      <c r="M36" s="5">
        <v>21</v>
      </c>
      <c r="N36" s="5">
        <v>0</v>
      </c>
      <c r="O36" s="5">
        <v>132196.75</v>
      </c>
      <c r="P36" s="5">
        <v>27761.32</v>
      </c>
      <c r="Q36" s="5">
        <v>170533.81</v>
      </c>
      <c r="R36" s="1" t="s">
        <v>15</v>
      </c>
      <c r="S36" s="5">
        <v>6609.84</v>
      </c>
      <c r="T36">
        <f>VLOOKUP(L36,'MIS COMPROBANTES'!E:Q,13,0)</f>
        <v>170533.81</v>
      </c>
    </row>
    <row r="37" spans="1:20" x14ac:dyDescent="0.3">
      <c r="A37" s="3">
        <v>45414</v>
      </c>
      <c r="B37" s="1" t="s">
        <v>85</v>
      </c>
      <c r="C37" s="1" t="s">
        <v>86</v>
      </c>
      <c r="D37" s="1" t="s">
        <v>18</v>
      </c>
      <c r="E37" s="1" t="s">
        <v>653</v>
      </c>
      <c r="F37" s="4">
        <v>11841</v>
      </c>
      <c r="G37" s="1" t="s">
        <v>19</v>
      </c>
      <c r="H37" s="1" t="s">
        <v>87</v>
      </c>
      <c r="I37" s="1" t="s">
        <v>757</v>
      </c>
      <c r="J37" s="1">
        <v>218</v>
      </c>
      <c r="K37" s="1">
        <v>160954</v>
      </c>
      <c r="L37" s="7" t="str">
        <f t="shared" si="0"/>
        <v>30501290323218160954</v>
      </c>
      <c r="M37" s="5">
        <v>3</v>
      </c>
      <c r="N37" s="5">
        <v>0</v>
      </c>
      <c r="O37" s="5">
        <v>0</v>
      </c>
      <c r="P37" s="5">
        <v>3965.9</v>
      </c>
      <c r="Q37" s="5">
        <v>0</v>
      </c>
      <c r="R37" s="1" t="s">
        <v>15</v>
      </c>
      <c r="S37" s="5">
        <v>0</v>
      </c>
      <c r="T37">
        <f>VLOOKUP(L37,'MIS COMPROBANTES'!E:Q,13,0)</f>
        <v>170533.81</v>
      </c>
    </row>
    <row r="38" spans="1:20" x14ac:dyDescent="0.3">
      <c r="A38" s="3">
        <v>45414</v>
      </c>
      <c r="B38" s="1" t="s">
        <v>85</v>
      </c>
      <c r="C38" s="1" t="s">
        <v>86</v>
      </c>
      <c r="D38" s="1" t="s">
        <v>18</v>
      </c>
      <c r="E38" s="1" t="s">
        <v>653</v>
      </c>
      <c r="F38" s="4">
        <v>11840</v>
      </c>
      <c r="G38" s="1" t="s">
        <v>19</v>
      </c>
      <c r="H38" s="1" t="s">
        <v>88</v>
      </c>
      <c r="I38" s="1" t="s">
        <v>757</v>
      </c>
      <c r="J38" s="1">
        <v>218</v>
      </c>
      <c r="K38" s="1">
        <v>160955</v>
      </c>
      <c r="L38" s="7" t="str">
        <f t="shared" si="0"/>
        <v>30501290323218160955</v>
      </c>
      <c r="M38" s="5">
        <v>21</v>
      </c>
      <c r="N38" s="5">
        <v>0</v>
      </c>
      <c r="O38" s="5">
        <v>132196.75</v>
      </c>
      <c r="P38" s="5">
        <v>27761.32</v>
      </c>
      <c r="Q38" s="5">
        <v>170533.81</v>
      </c>
      <c r="R38" s="1" t="s">
        <v>15</v>
      </c>
      <c r="S38" s="5">
        <v>6609.84</v>
      </c>
      <c r="T38">
        <f>VLOOKUP(L38,'MIS COMPROBANTES'!E:Q,13,0)</f>
        <v>170533.81</v>
      </c>
    </row>
    <row r="39" spans="1:20" x14ac:dyDescent="0.3">
      <c r="A39" s="3">
        <v>45414</v>
      </c>
      <c r="B39" s="1" t="s">
        <v>85</v>
      </c>
      <c r="C39" s="1" t="s">
        <v>86</v>
      </c>
      <c r="D39" s="1" t="s">
        <v>18</v>
      </c>
      <c r="E39" s="1" t="s">
        <v>653</v>
      </c>
      <c r="F39" s="4">
        <v>11840</v>
      </c>
      <c r="G39" s="1" t="s">
        <v>19</v>
      </c>
      <c r="H39" s="1" t="s">
        <v>88</v>
      </c>
      <c r="I39" s="1" t="s">
        <v>757</v>
      </c>
      <c r="J39" s="1">
        <v>218</v>
      </c>
      <c r="K39" s="1">
        <v>160955</v>
      </c>
      <c r="L39" s="7" t="str">
        <f t="shared" si="0"/>
        <v>30501290323218160955</v>
      </c>
      <c r="M39" s="5">
        <v>3</v>
      </c>
      <c r="N39" s="5">
        <v>0</v>
      </c>
      <c r="O39" s="5">
        <v>0</v>
      </c>
      <c r="P39" s="5">
        <v>3965.9</v>
      </c>
      <c r="Q39" s="5">
        <v>0</v>
      </c>
      <c r="R39" s="1" t="s">
        <v>15</v>
      </c>
      <c r="S39" s="5">
        <v>0</v>
      </c>
      <c r="T39">
        <f>VLOOKUP(L39,'MIS COMPROBANTES'!E:Q,13,0)</f>
        <v>170533.81</v>
      </c>
    </row>
    <row r="40" spans="1:20" x14ac:dyDescent="0.3">
      <c r="A40" s="3">
        <v>45414</v>
      </c>
      <c r="B40" s="1" t="s">
        <v>85</v>
      </c>
      <c r="C40" s="1" t="s">
        <v>86</v>
      </c>
      <c r="D40" s="1" t="s">
        <v>18</v>
      </c>
      <c r="E40" s="1" t="s">
        <v>653</v>
      </c>
      <c r="F40" s="4">
        <v>11839</v>
      </c>
      <c r="G40" s="1" t="s">
        <v>19</v>
      </c>
      <c r="H40" s="1" t="s">
        <v>89</v>
      </c>
      <c r="I40" s="1" t="s">
        <v>757</v>
      </c>
      <c r="J40" s="1">
        <v>218</v>
      </c>
      <c r="K40" s="1">
        <v>160956</v>
      </c>
      <c r="L40" s="7" t="str">
        <f t="shared" si="0"/>
        <v>30501290323218160956</v>
      </c>
      <c r="M40" s="5">
        <v>21</v>
      </c>
      <c r="N40" s="5">
        <v>0</v>
      </c>
      <c r="O40" s="5">
        <v>132196.75</v>
      </c>
      <c r="P40" s="5">
        <v>27761.32</v>
      </c>
      <c r="Q40" s="5">
        <v>170533.81</v>
      </c>
      <c r="R40" s="1" t="s">
        <v>15</v>
      </c>
      <c r="S40" s="5">
        <v>6609.84</v>
      </c>
      <c r="T40">
        <f>VLOOKUP(L40,'MIS COMPROBANTES'!E:Q,13,0)</f>
        <v>170533.81</v>
      </c>
    </row>
    <row r="41" spans="1:20" x14ac:dyDescent="0.3">
      <c r="A41" s="3">
        <v>45414</v>
      </c>
      <c r="B41" s="1" t="s">
        <v>85</v>
      </c>
      <c r="C41" s="1" t="s">
        <v>86</v>
      </c>
      <c r="D41" s="1" t="s">
        <v>18</v>
      </c>
      <c r="E41" s="1" t="s">
        <v>653</v>
      </c>
      <c r="F41" s="4">
        <v>11839</v>
      </c>
      <c r="G41" s="1" t="s">
        <v>19</v>
      </c>
      <c r="H41" s="1" t="s">
        <v>89</v>
      </c>
      <c r="I41" s="1" t="s">
        <v>757</v>
      </c>
      <c r="J41" s="1">
        <v>218</v>
      </c>
      <c r="K41" s="1">
        <v>160956</v>
      </c>
      <c r="L41" s="7" t="str">
        <f t="shared" si="0"/>
        <v>30501290323218160956</v>
      </c>
      <c r="M41" s="5">
        <v>3</v>
      </c>
      <c r="N41" s="5">
        <v>0</v>
      </c>
      <c r="O41" s="5">
        <v>0</v>
      </c>
      <c r="P41" s="5">
        <v>3965.9</v>
      </c>
      <c r="Q41" s="5">
        <v>0</v>
      </c>
      <c r="R41" s="1" t="s">
        <v>15</v>
      </c>
      <c r="S41" s="5">
        <v>0</v>
      </c>
      <c r="T41">
        <f>VLOOKUP(L41,'MIS COMPROBANTES'!E:Q,13,0)</f>
        <v>170533.81</v>
      </c>
    </row>
    <row r="42" spans="1:20" x14ac:dyDescent="0.3">
      <c r="A42" s="3">
        <v>45414</v>
      </c>
      <c r="B42" s="1" t="s">
        <v>85</v>
      </c>
      <c r="C42" s="1" t="s">
        <v>86</v>
      </c>
      <c r="D42" s="1" t="s">
        <v>18</v>
      </c>
      <c r="E42" s="1" t="s">
        <v>653</v>
      </c>
      <c r="F42" s="4">
        <v>11842</v>
      </c>
      <c r="G42" s="1" t="s">
        <v>19</v>
      </c>
      <c r="H42" s="1" t="s">
        <v>90</v>
      </c>
      <c r="I42" s="1" t="s">
        <v>757</v>
      </c>
      <c r="J42" s="1">
        <v>218</v>
      </c>
      <c r="K42" s="1">
        <v>160957</v>
      </c>
      <c r="L42" s="7" t="str">
        <f t="shared" si="0"/>
        <v>30501290323218160957</v>
      </c>
      <c r="M42" s="5">
        <v>21</v>
      </c>
      <c r="N42" s="5">
        <v>0</v>
      </c>
      <c r="O42" s="5">
        <v>2983459.76</v>
      </c>
      <c r="P42" s="5">
        <v>626526.55000000005</v>
      </c>
      <c r="Q42" s="5">
        <v>3848663.09</v>
      </c>
      <c r="R42" s="1" t="s">
        <v>15</v>
      </c>
      <c r="S42" s="5">
        <v>149172.99</v>
      </c>
      <c r="T42">
        <f>VLOOKUP(L42,'MIS COMPROBANTES'!E:Q,13,0)</f>
        <v>3848663.09</v>
      </c>
    </row>
    <row r="43" spans="1:20" x14ac:dyDescent="0.3">
      <c r="A43" s="3">
        <v>45414</v>
      </c>
      <c r="B43" s="1" t="s">
        <v>85</v>
      </c>
      <c r="C43" s="1" t="s">
        <v>86</v>
      </c>
      <c r="D43" s="1" t="s">
        <v>18</v>
      </c>
      <c r="E43" s="1" t="s">
        <v>653</v>
      </c>
      <c r="F43" s="4">
        <v>11842</v>
      </c>
      <c r="G43" s="1" t="s">
        <v>19</v>
      </c>
      <c r="H43" s="1" t="s">
        <v>90</v>
      </c>
      <c r="I43" s="1" t="s">
        <v>757</v>
      </c>
      <c r="J43" s="1">
        <v>218</v>
      </c>
      <c r="K43" s="1">
        <v>160957</v>
      </c>
      <c r="L43" s="7" t="str">
        <f t="shared" si="0"/>
        <v>30501290323218160957</v>
      </c>
      <c r="M43" s="5">
        <v>3</v>
      </c>
      <c r="N43" s="5">
        <v>0</v>
      </c>
      <c r="O43" s="5">
        <v>0</v>
      </c>
      <c r="P43" s="5">
        <v>89503.79</v>
      </c>
      <c r="Q43" s="5">
        <v>0</v>
      </c>
      <c r="R43" s="1" t="s">
        <v>15</v>
      </c>
      <c r="S43" s="5">
        <v>0</v>
      </c>
      <c r="T43">
        <f>VLOOKUP(L43,'MIS COMPROBANTES'!E:Q,13,0)</f>
        <v>3848663.09</v>
      </c>
    </row>
    <row r="44" spans="1:20" x14ac:dyDescent="0.3">
      <c r="A44" s="3">
        <v>45414</v>
      </c>
      <c r="B44" s="1" t="s">
        <v>91</v>
      </c>
      <c r="C44" s="1" t="s">
        <v>92</v>
      </c>
      <c r="D44" s="1" t="s">
        <v>18</v>
      </c>
      <c r="E44" s="1" t="s">
        <v>654</v>
      </c>
      <c r="F44" s="4">
        <v>11843</v>
      </c>
      <c r="G44" s="1" t="s">
        <v>19</v>
      </c>
      <c r="H44" s="1" t="s">
        <v>93</v>
      </c>
      <c r="I44" s="1" t="s">
        <v>757</v>
      </c>
      <c r="J44" s="1">
        <v>1001</v>
      </c>
      <c r="K44" s="1">
        <v>235420</v>
      </c>
      <c r="L44" s="7" t="str">
        <f t="shared" si="0"/>
        <v>305866115221001235420</v>
      </c>
      <c r="M44" s="5">
        <v>21</v>
      </c>
      <c r="N44" s="5">
        <v>0</v>
      </c>
      <c r="O44" s="5">
        <v>6686900</v>
      </c>
      <c r="P44" s="5">
        <v>1404249</v>
      </c>
      <c r="Q44" s="5">
        <v>8626101</v>
      </c>
      <c r="R44" s="1" t="s">
        <v>15</v>
      </c>
      <c r="S44" s="5">
        <v>334345</v>
      </c>
      <c r="T44">
        <f>VLOOKUP(L44,'MIS COMPROBANTES'!E:Q,13,0)</f>
        <v>8626101</v>
      </c>
    </row>
    <row r="45" spans="1:20" x14ac:dyDescent="0.3">
      <c r="A45" s="3">
        <v>45414</v>
      </c>
      <c r="B45" s="1" t="s">
        <v>91</v>
      </c>
      <c r="C45" s="1" t="s">
        <v>92</v>
      </c>
      <c r="D45" s="1" t="s">
        <v>18</v>
      </c>
      <c r="E45" s="1" t="s">
        <v>654</v>
      </c>
      <c r="F45" s="4">
        <v>11843</v>
      </c>
      <c r="G45" s="1" t="s">
        <v>19</v>
      </c>
      <c r="H45" s="1" t="s">
        <v>93</v>
      </c>
      <c r="I45" s="1" t="s">
        <v>757</v>
      </c>
      <c r="J45" s="1">
        <v>1001</v>
      </c>
      <c r="K45" s="1">
        <v>235420</v>
      </c>
      <c r="L45" s="7" t="str">
        <f t="shared" si="0"/>
        <v>305866115221001235420</v>
      </c>
      <c r="M45" s="5">
        <v>3</v>
      </c>
      <c r="N45" s="5">
        <v>0</v>
      </c>
      <c r="O45" s="5">
        <v>0</v>
      </c>
      <c r="P45" s="5">
        <v>200607</v>
      </c>
      <c r="Q45" s="5">
        <v>0</v>
      </c>
      <c r="R45" s="1" t="s">
        <v>15</v>
      </c>
      <c r="S45" s="5">
        <v>0</v>
      </c>
      <c r="T45">
        <f>VLOOKUP(L45,'MIS COMPROBANTES'!E:Q,13,0)</f>
        <v>8626101</v>
      </c>
    </row>
    <row r="46" spans="1:20" x14ac:dyDescent="0.3">
      <c r="A46" s="3">
        <v>45414</v>
      </c>
      <c r="B46" s="1" t="s">
        <v>91</v>
      </c>
      <c r="C46" s="1" t="s">
        <v>92</v>
      </c>
      <c r="D46" s="1" t="s">
        <v>18</v>
      </c>
      <c r="E46" s="1" t="s">
        <v>654</v>
      </c>
      <c r="F46" s="4">
        <v>11844</v>
      </c>
      <c r="G46" s="1" t="s">
        <v>19</v>
      </c>
      <c r="H46" s="1" t="s">
        <v>94</v>
      </c>
      <c r="I46" s="1" t="s">
        <v>757</v>
      </c>
      <c r="J46" s="1">
        <v>1001</v>
      </c>
      <c r="K46" s="1">
        <v>235421</v>
      </c>
      <c r="L46" s="7" t="str">
        <f t="shared" si="0"/>
        <v>305866115221001235421</v>
      </c>
      <c r="M46" s="5">
        <v>21</v>
      </c>
      <c r="N46" s="5">
        <v>0</v>
      </c>
      <c r="O46" s="5">
        <v>1774364</v>
      </c>
      <c r="P46" s="5">
        <v>372616.44</v>
      </c>
      <c r="Q46" s="5">
        <v>2288929.56</v>
      </c>
      <c r="R46" s="1" t="s">
        <v>15</v>
      </c>
      <c r="S46" s="5">
        <v>88718.2</v>
      </c>
      <c r="T46">
        <f>VLOOKUP(L46,'MIS COMPROBANTES'!E:Q,13,0)</f>
        <v>2288929.56</v>
      </c>
    </row>
    <row r="47" spans="1:20" x14ac:dyDescent="0.3">
      <c r="A47" s="3">
        <v>45414</v>
      </c>
      <c r="B47" s="1" t="s">
        <v>91</v>
      </c>
      <c r="C47" s="1" t="s">
        <v>92</v>
      </c>
      <c r="D47" s="1" t="s">
        <v>18</v>
      </c>
      <c r="E47" s="1" t="s">
        <v>654</v>
      </c>
      <c r="F47" s="4">
        <v>11844</v>
      </c>
      <c r="G47" s="1" t="s">
        <v>19</v>
      </c>
      <c r="H47" s="1" t="s">
        <v>94</v>
      </c>
      <c r="I47" s="1" t="s">
        <v>757</v>
      </c>
      <c r="J47" s="1">
        <v>1001</v>
      </c>
      <c r="K47" s="1">
        <v>235421</v>
      </c>
      <c r="L47" s="7" t="str">
        <f t="shared" si="0"/>
        <v>305866115221001235421</v>
      </c>
      <c r="M47" s="5">
        <v>3</v>
      </c>
      <c r="N47" s="5">
        <v>0</v>
      </c>
      <c r="O47" s="5">
        <v>0</v>
      </c>
      <c r="P47" s="5">
        <v>53230.92</v>
      </c>
      <c r="Q47" s="5">
        <v>0</v>
      </c>
      <c r="R47" s="1" t="s">
        <v>15</v>
      </c>
      <c r="S47" s="5">
        <v>0</v>
      </c>
      <c r="T47">
        <f>VLOOKUP(L47,'MIS COMPROBANTES'!E:Q,13,0)</f>
        <v>2288929.56</v>
      </c>
    </row>
    <row r="48" spans="1:20" x14ac:dyDescent="0.3">
      <c r="A48" s="3">
        <v>45414</v>
      </c>
      <c r="B48" s="1" t="s">
        <v>95</v>
      </c>
      <c r="C48" s="1" t="s">
        <v>96</v>
      </c>
      <c r="D48" s="1" t="s">
        <v>18</v>
      </c>
      <c r="E48" s="1" t="s">
        <v>655</v>
      </c>
      <c r="F48" s="4">
        <v>12306</v>
      </c>
      <c r="G48" s="1" t="s">
        <v>19</v>
      </c>
      <c r="H48" s="1" t="s">
        <v>97</v>
      </c>
      <c r="I48" s="1" t="s">
        <v>757</v>
      </c>
      <c r="J48" s="1">
        <v>5011</v>
      </c>
      <c r="K48" s="1">
        <v>612383</v>
      </c>
      <c r="L48" s="7" t="str">
        <f t="shared" si="0"/>
        <v>305748764745011612383</v>
      </c>
      <c r="M48" s="5">
        <v>21</v>
      </c>
      <c r="N48" s="5">
        <v>2390.1799999999998</v>
      </c>
      <c r="O48" s="5">
        <v>23900.400000000001</v>
      </c>
      <c r="P48" s="5">
        <v>5019.09</v>
      </c>
      <c r="Q48" s="5">
        <v>32026.68</v>
      </c>
      <c r="R48" s="1" t="s">
        <v>15</v>
      </c>
      <c r="S48" s="5">
        <v>717.01</v>
      </c>
      <c r="T48">
        <f>VLOOKUP(L48,'MIS COMPROBANTES'!E:Q,13,0)</f>
        <v>32026.67</v>
      </c>
    </row>
    <row r="49" spans="1:20" x14ac:dyDescent="0.3">
      <c r="A49" s="3">
        <v>45414</v>
      </c>
      <c r="B49" s="1" t="s">
        <v>95</v>
      </c>
      <c r="C49" s="1" t="s">
        <v>96</v>
      </c>
      <c r="D49" s="1" t="s">
        <v>18</v>
      </c>
      <c r="E49" s="1" t="s">
        <v>655</v>
      </c>
      <c r="F49" s="4">
        <v>12305</v>
      </c>
      <c r="G49" s="1" t="s">
        <v>19</v>
      </c>
      <c r="H49" s="1" t="s">
        <v>98</v>
      </c>
      <c r="I49" s="1" t="s">
        <v>757</v>
      </c>
      <c r="J49" s="1">
        <v>5014</v>
      </c>
      <c r="K49" s="1">
        <v>610338</v>
      </c>
      <c r="L49" s="7" t="str">
        <f t="shared" si="0"/>
        <v>305748764745014610338</v>
      </c>
      <c r="M49" s="5">
        <v>21</v>
      </c>
      <c r="N49" s="5">
        <v>674.32</v>
      </c>
      <c r="O49" s="5">
        <v>6742.85</v>
      </c>
      <c r="P49" s="5">
        <v>1416</v>
      </c>
      <c r="Q49" s="5">
        <v>9035.4599999999991</v>
      </c>
      <c r="R49" s="1" t="s">
        <v>15</v>
      </c>
      <c r="S49" s="5">
        <v>202.29</v>
      </c>
      <c r="T49">
        <f>VLOOKUP(L49,'MIS COMPROBANTES'!E:Q,13,0)</f>
        <v>9035.4599999999991</v>
      </c>
    </row>
    <row r="50" spans="1:20" x14ac:dyDescent="0.3">
      <c r="A50" s="3">
        <v>45414</v>
      </c>
      <c r="B50" s="1" t="s">
        <v>95</v>
      </c>
      <c r="C50" s="1" t="s">
        <v>96</v>
      </c>
      <c r="D50" s="1" t="s">
        <v>18</v>
      </c>
      <c r="E50" s="1" t="s">
        <v>655</v>
      </c>
      <c r="F50" s="4">
        <v>12307</v>
      </c>
      <c r="G50" s="1" t="s">
        <v>19</v>
      </c>
      <c r="H50" s="1" t="s">
        <v>99</v>
      </c>
      <c r="I50" s="1" t="s">
        <v>757</v>
      </c>
      <c r="J50" s="1">
        <v>5015</v>
      </c>
      <c r="K50" s="1">
        <v>606721</v>
      </c>
      <c r="L50" s="7" t="str">
        <f t="shared" si="0"/>
        <v>305748764745015606721</v>
      </c>
      <c r="M50" s="5">
        <v>21</v>
      </c>
      <c r="N50" s="5">
        <v>246</v>
      </c>
      <c r="O50" s="5">
        <v>2459.7800000000002</v>
      </c>
      <c r="P50" s="5">
        <v>516.55999999999995</v>
      </c>
      <c r="Q50" s="5">
        <v>3222.34</v>
      </c>
      <c r="R50" s="1" t="s">
        <v>15</v>
      </c>
      <c r="S50" s="5">
        <v>0</v>
      </c>
      <c r="T50">
        <f>VLOOKUP(L50,'MIS COMPROBANTES'!E:Q,13,0)</f>
        <v>3222.33</v>
      </c>
    </row>
    <row r="51" spans="1:20" x14ac:dyDescent="0.3">
      <c r="A51" s="3">
        <v>45414</v>
      </c>
      <c r="B51" s="1" t="s">
        <v>100</v>
      </c>
      <c r="C51" s="1" t="s">
        <v>101</v>
      </c>
      <c r="D51" s="1" t="s">
        <v>102</v>
      </c>
      <c r="E51" s="1" t="s">
        <v>656</v>
      </c>
      <c r="F51" s="4">
        <v>11689</v>
      </c>
      <c r="G51" s="1" t="s">
        <v>19</v>
      </c>
      <c r="H51" s="1" t="s">
        <v>103</v>
      </c>
      <c r="I51" s="1" t="s">
        <v>758</v>
      </c>
      <c r="J51" s="1">
        <v>1</v>
      </c>
      <c r="K51" s="1">
        <v>32</v>
      </c>
      <c r="L51" s="7" t="str">
        <f t="shared" si="0"/>
        <v>27444490204132</v>
      </c>
      <c r="M51" s="5">
        <v>0</v>
      </c>
      <c r="N51" s="5">
        <v>270000</v>
      </c>
      <c r="O51" s="5">
        <v>0</v>
      </c>
      <c r="P51" s="5">
        <v>0</v>
      </c>
      <c r="Q51" s="5">
        <v>270000</v>
      </c>
      <c r="R51" s="1" t="s">
        <v>15</v>
      </c>
      <c r="S51" s="5">
        <v>0</v>
      </c>
      <c r="T51">
        <f>VLOOKUP(L51,'MIS COMPROBANTES'!E:Q,13,0)</f>
        <v>270000</v>
      </c>
    </row>
    <row r="52" spans="1:20" x14ac:dyDescent="0.3">
      <c r="A52" s="3">
        <v>45414</v>
      </c>
      <c r="B52" s="1" t="s">
        <v>104</v>
      </c>
      <c r="C52" s="1" t="s">
        <v>105</v>
      </c>
      <c r="D52" s="1" t="s">
        <v>102</v>
      </c>
      <c r="E52" s="1" t="s">
        <v>657</v>
      </c>
      <c r="F52" s="4">
        <v>11604</v>
      </c>
      <c r="G52" s="1" t="s">
        <v>19</v>
      </c>
      <c r="H52" s="1" t="s">
        <v>106</v>
      </c>
      <c r="I52" s="1" t="s">
        <v>758</v>
      </c>
      <c r="J52" s="1">
        <v>2</v>
      </c>
      <c r="K52" s="1">
        <v>92</v>
      </c>
      <c r="L52" s="7" t="str">
        <f t="shared" si="0"/>
        <v>20317431954292</v>
      </c>
      <c r="M52" s="5">
        <v>0</v>
      </c>
      <c r="N52" s="5">
        <v>30000</v>
      </c>
      <c r="O52" s="5">
        <v>0</v>
      </c>
      <c r="P52" s="5">
        <v>0</v>
      </c>
      <c r="Q52" s="5">
        <v>30000</v>
      </c>
      <c r="R52" s="1" t="s">
        <v>15</v>
      </c>
      <c r="S52" s="5">
        <v>0</v>
      </c>
      <c r="T52">
        <f>VLOOKUP(L52,'MIS COMPROBANTES'!E:Q,13,0)</f>
        <v>30000</v>
      </c>
    </row>
    <row r="53" spans="1:20" x14ac:dyDescent="0.3">
      <c r="A53" s="3">
        <v>45414</v>
      </c>
      <c r="B53" s="1" t="s">
        <v>107</v>
      </c>
      <c r="C53" s="1" t="s">
        <v>108</v>
      </c>
      <c r="D53" s="1" t="s">
        <v>102</v>
      </c>
      <c r="E53" s="1" t="s">
        <v>658</v>
      </c>
      <c r="F53" s="4">
        <v>11690</v>
      </c>
      <c r="G53" s="1" t="s">
        <v>19</v>
      </c>
      <c r="H53" s="1" t="s">
        <v>109</v>
      </c>
      <c r="I53" s="1" t="s">
        <v>758</v>
      </c>
      <c r="J53" s="1">
        <v>2</v>
      </c>
      <c r="K53" s="1">
        <v>311</v>
      </c>
      <c r="L53" s="7" t="str">
        <f t="shared" si="0"/>
        <v>272069414192311</v>
      </c>
      <c r="M53" s="5">
        <v>0</v>
      </c>
      <c r="N53" s="5">
        <v>150000</v>
      </c>
      <c r="O53" s="5">
        <v>0</v>
      </c>
      <c r="P53" s="5">
        <v>0</v>
      </c>
      <c r="Q53" s="5">
        <v>150000</v>
      </c>
      <c r="R53" s="1" t="s">
        <v>15</v>
      </c>
      <c r="S53" s="5">
        <v>0</v>
      </c>
      <c r="T53">
        <f>VLOOKUP(L53,'MIS COMPROBANTES'!E:Q,13,0)</f>
        <v>150000</v>
      </c>
    </row>
    <row r="54" spans="1:20" x14ac:dyDescent="0.3">
      <c r="A54" s="3">
        <v>45414</v>
      </c>
      <c r="B54" s="1" t="s">
        <v>25</v>
      </c>
      <c r="C54" s="1" t="s">
        <v>26</v>
      </c>
      <c r="D54" s="1" t="s">
        <v>18</v>
      </c>
      <c r="E54" s="1" t="s">
        <v>635</v>
      </c>
      <c r="F54" s="4">
        <v>11713</v>
      </c>
      <c r="G54" s="1" t="s">
        <v>27</v>
      </c>
      <c r="H54" s="1" t="s">
        <v>110</v>
      </c>
      <c r="I54" s="1" t="s">
        <v>757</v>
      </c>
      <c r="J54" s="1">
        <v>5</v>
      </c>
      <c r="K54" s="1">
        <v>248</v>
      </c>
      <c r="L54" s="7" t="str">
        <f t="shared" si="0"/>
        <v>307095717175248</v>
      </c>
      <c r="M54" s="5">
        <v>21</v>
      </c>
      <c r="N54" s="5">
        <v>0</v>
      </c>
      <c r="O54" s="5">
        <v>-684297.52</v>
      </c>
      <c r="P54" s="5">
        <v>-143702.48000000001</v>
      </c>
      <c r="Q54" s="5">
        <v>-828000</v>
      </c>
      <c r="R54" s="1" t="s">
        <v>15</v>
      </c>
      <c r="S54" s="5">
        <v>0</v>
      </c>
      <c r="T54">
        <f>VLOOKUP(L54,'MIS COMPROBANTES'!E:Q,13,0)</f>
        <v>828000</v>
      </c>
    </row>
    <row r="55" spans="1:20" x14ac:dyDescent="0.3">
      <c r="A55" s="3">
        <v>45415</v>
      </c>
      <c r="B55" s="1" t="s">
        <v>44</v>
      </c>
      <c r="C55" s="1" t="s">
        <v>45</v>
      </c>
      <c r="D55" s="1" t="s">
        <v>18</v>
      </c>
      <c r="E55" s="1" t="s">
        <v>641</v>
      </c>
      <c r="F55" s="4">
        <v>11827</v>
      </c>
      <c r="G55" s="1" t="s">
        <v>19</v>
      </c>
      <c r="H55" s="1" t="s">
        <v>111</v>
      </c>
      <c r="I55" s="1">
        <v>0</v>
      </c>
      <c r="J55" s="1">
        <v>2024</v>
      </c>
      <c r="K55" s="1">
        <v>90004401</v>
      </c>
      <c r="L55" s="7" t="str">
        <f t="shared" si="0"/>
        <v>30500008454202490004401</v>
      </c>
      <c r="M55" s="5">
        <v>10.5</v>
      </c>
      <c r="N55" s="5">
        <v>636.17999999999995</v>
      </c>
      <c r="O55" s="5">
        <v>21656.09</v>
      </c>
      <c r="P55" s="5">
        <v>2273.88</v>
      </c>
      <c r="Q55" s="5">
        <v>24636.66</v>
      </c>
      <c r="R55" s="1" t="s">
        <v>15</v>
      </c>
      <c r="S55" s="5">
        <v>70.510000000000005</v>
      </c>
      <c r="T55" t="e">
        <f>VLOOKUP(L55,'MIS COMPROBANTES'!E:Q,13,0)</f>
        <v>#N/A</v>
      </c>
    </row>
    <row r="56" spans="1:20" x14ac:dyDescent="0.3">
      <c r="A56" s="3">
        <v>45415</v>
      </c>
      <c r="B56" s="1" t="s">
        <v>112</v>
      </c>
      <c r="C56" s="1" t="s">
        <v>113</v>
      </c>
      <c r="D56" s="1" t="s">
        <v>18</v>
      </c>
      <c r="E56" s="1" t="s">
        <v>659</v>
      </c>
      <c r="F56" s="4">
        <v>11932</v>
      </c>
      <c r="G56" s="1" t="s">
        <v>19</v>
      </c>
      <c r="H56" s="1" t="s">
        <v>114</v>
      </c>
      <c r="I56" s="1" t="s">
        <v>757</v>
      </c>
      <c r="J56" s="1">
        <v>1</v>
      </c>
      <c r="K56" s="1">
        <v>466056</v>
      </c>
      <c r="L56" s="7" t="str">
        <f t="shared" si="0"/>
        <v>337163077491466056</v>
      </c>
      <c r="M56" s="5">
        <v>21</v>
      </c>
      <c r="N56" s="5">
        <v>0</v>
      </c>
      <c r="O56" s="5">
        <v>26678.84</v>
      </c>
      <c r="P56" s="5">
        <v>5602.56</v>
      </c>
      <c r="Q56" s="5">
        <v>32814.980000000003</v>
      </c>
      <c r="R56" s="1" t="s">
        <v>15</v>
      </c>
      <c r="S56" s="5">
        <v>533.58000000000004</v>
      </c>
      <c r="T56">
        <f>VLOOKUP(L56,'MIS COMPROBANTES'!E:Q,13,0)</f>
        <v>32814.980000000003</v>
      </c>
    </row>
    <row r="57" spans="1:20" x14ac:dyDescent="0.3">
      <c r="A57" s="3">
        <v>45415</v>
      </c>
      <c r="B57" s="1" t="s">
        <v>115</v>
      </c>
      <c r="C57" s="1" t="s">
        <v>116</v>
      </c>
      <c r="D57" s="1" t="s">
        <v>18</v>
      </c>
      <c r="E57" s="1" t="s">
        <v>660</v>
      </c>
      <c r="F57" s="4">
        <v>12015</v>
      </c>
      <c r="G57" s="1" t="s">
        <v>19</v>
      </c>
      <c r="H57" s="1" t="s">
        <v>117</v>
      </c>
      <c r="I57" s="1" t="s">
        <v>757</v>
      </c>
      <c r="J57" s="1">
        <v>2</v>
      </c>
      <c r="K57" s="1">
        <v>5375</v>
      </c>
      <c r="L57" s="7" t="str">
        <f t="shared" si="0"/>
        <v>3071131140425375</v>
      </c>
      <c r="M57" s="5">
        <v>21</v>
      </c>
      <c r="N57" s="5">
        <v>0</v>
      </c>
      <c r="O57" s="5">
        <v>9042000</v>
      </c>
      <c r="P57" s="5">
        <v>1898820</v>
      </c>
      <c r="Q57" s="5">
        <v>10940820</v>
      </c>
      <c r="R57" s="1" t="s">
        <v>118</v>
      </c>
      <c r="S57" s="5">
        <v>0</v>
      </c>
      <c r="T57">
        <f>VLOOKUP(L57,'MIS COMPROBANTES'!E:Q,13,0)</f>
        <v>10940820</v>
      </c>
    </row>
    <row r="58" spans="1:20" x14ac:dyDescent="0.3">
      <c r="A58" s="3">
        <v>45415</v>
      </c>
      <c r="B58" s="1" t="s">
        <v>119</v>
      </c>
      <c r="C58" s="1" t="s">
        <v>120</v>
      </c>
      <c r="D58" s="1" t="s">
        <v>18</v>
      </c>
      <c r="E58" s="1" t="s">
        <v>661</v>
      </c>
      <c r="F58" s="4">
        <v>11862</v>
      </c>
      <c r="G58" s="1" t="s">
        <v>19</v>
      </c>
      <c r="H58" s="1" t="s">
        <v>121</v>
      </c>
      <c r="I58" s="1" t="s">
        <v>757</v>
      </c>
      <c r="J58" s="1">
        <v>3</v>
      </c>
      <c r="K58" s="1">
        <v>2239</v>
      </c>
      <c r="L58" s="7" t="str">
        <f t="shared" si="0"/>
        <v>3071519599932239</v>
      </c>
      <c r="M58" s="5">
        <v>21</v>
      </c>
      <c r="N58" s="5">
        <v>0</v>
      </c>
      <c r="O58" s="5">
        <v>289179.7</v>
      </c>
      <c r="P58" s="5">
        <v>60727.74</v>
      </c>
      <c r="Q58" s="5">
        <v>349907.44</v>
      </c>
      <c r="R58" s="1" t="s">
        <v>15</v>
      </c>
      <c r="S58" s="5">
        <v>0</v>
      </c>
      <c r="T58">
        <f>VLOOKUP(L58,'MIS COMPROBANTES'!E:Q,13,0)</f>
        <v>349907.44</v>
      </c>
    </row>
    <row r="59" spans="1:20" x14ac:dyDescent="0.3">
      <c r="A59" s="3">
        <v>45415</v>
      </c>
      <c r="B59" s="1" t="s">
        <v>122</v>
      </c>
      <c r="C59" s="1" t="s">
        <v>123</v>
      </c>
      <c r="D59" s="1" t="s">
        <v>18</v>
      </c>
      <c r="E59" s="1" t="s">
        <v>662</v>
      </c>
      <c r="F59" s="4">
        <v>11852</v>
      </c>
      <c r="G59" s="1" t="s">
        <v>19</v>
      </c>
      <c r="H59" s="1" t="s">
        <v>124</v>
      </c>
      <c r="I59" s="1" t="s">
        <v>757</v>
      </c>
      <c r="J59" s="1">
        <v>3</v>
      </c>
      <c r="K59" s="1">
        <v>48401</v>
      </c>
      <c r="L59" s="7" t="str">
        <f t="shared" si="0"/>
        <v>30711497974348401</v>
      </c>
      <c r="M59" s="5">
        <v>21</v>
      </c>
      <c r="N59" s="5">
        <v>0</v>
      </c>
      <c r="O59" s="5">
        <v>497119.6</v>
      </c>
      <c r="P59" s="5">
        <v>104395.12</v>
      </c>
      <c r="Q59" s="5">
        <v>601514.72</v>
      </c>
      <c r="R59" s="1" t="s">
        <v>15</v>
      </c>
      <c r="S59" s="5">
        <v>0</v>
      </c>
      <c r="T59">
        <f>VLOOKUP(L59,'MIS COMPROBANTES'!E:Q,13,0)</f>
        <v>601514.72</v>
      </c>
    </row>
    <row r="60" spans="1:20" x14ac:dyDescent="0.3">
      <c r="A60" s="3">
        <v>45415</v>
      </c>
      <c r="B60" s="1" t="s">
        <v>125</v>
      </c>
      <c r="C60" s="1" t="s">
        <v>126</v>
      </c>
      <c r="D60" s="1" t="s">
        <v>18</v>
      </c>
      <c r="E60" s="1" t="s">
        <v>663</v>
      </c>
      <c r="F60" s="4">
        <v>11835</v>
      </c>
      <c r="G60" s="1" t="s">
        <v>19</v>
      </c>
      <c r="H60" s="1" t="s">
        <v>127</v>
      </c>
      <c r="I60" s="1" t="s">
        <v>757</v>
      </c>
      <c r="J60" s="1">
        <v>4</v>
      </c>
      <c r="K60" s="1">
        <v>1434</v>
      </c>
      <c r="L60" s="7" t="str">
        <f t="shared" si="0"/>
        <v>2024334867741434</v>
      </c>
      <c r="M60" s="5">
        <v>10.5</v>
      </c>
      <c r="N60" s="5">
        <v>0</v>
      </c>
      <c r="O60" s="5">
        <v>1090000</v>
      </c>
      <c r="P60" s="5">
        <v>114450</v>
      </c>
      <c r="Q60" s="5">
        <v>1204450</v>
      </c>
      <c r="R60" s="1" t="s">
        <v>15</v>
      </c>
      <c r="S60" s="5">
        <v>0</v>
      </c>
      <c r="T60">
        <f>VLOOKUP(L60,'MIS COMPROBANTES'!E:Q,13,0)</f>
        <v>1204450</v>
      </c>
    </row>
    <row r="61" spans="1:20" x14ac:dyDescent="0.3">
      <c r="A61" s="3">
        <v>45415</v>
      </c>
      <c r="B61" s="1" t="s">
        <v>125</v>
      </c>
      <c r="C61" s="1" t="s">
        <v>126</v>
      </c>
      <c r="D61" s="1" t="s">
        <v>18</v>
      </c>
      <c r="E61" s="1" t="s">
        <v>663</v>
      </c>
      <c r="F61" s="4">
        <v>11836</v>
      </c>
      <c r="G61" s="1" t="s">
        <v>19</v>
      </c>
      <c r="H61" s="1" t="s">
        <v>128</v>
      </c>
      <c r="I61" s="1" t="s">
        <v>757</v>
      </c>
      <c r="J61" s="1">
        <v>4</v>
      </c>
      <c r="K61" s="1">
        <v>1435</v>
      </c>
      <c r="L61" s="7" t="str">
        <f t="shared" si="0"/>
        <v>2024334867741435</v>
      </c>
      <c r="M61" s="5">
        <v>21</v>
      </c>
      <c r="N61" s="5">
        <v>0</v>
      </c>
      <c r="O61" s="5">
        <v>1751000</v>
      </c>
      <c r="P61" s="5">
        <v>47775</v>
      </c>
      <c r="Q61" s="5">
        <v>1958742.5</v>
      </c>
      <c r="R61" s="1" t="s">
        <v>15</v>
      </c>
      <c r="S61" s="5">
        <v>0</v>
      </c>
      <c r="T61">
        <f>VLOOKUP(L61,'MIS COMPROBANTES'!E:Q,13,0)</f>
        <v>1958742.5</v>
      </c>
    </row>
    <row r="62" spans="1:20" x14ac:dyDescent="0.3">
      <c r="A62" s="3">
        <v>45415</v>
      </c>
      <c r="B62" s="1" t="s">
        <v>125</v>
      </c>
      <c r="C62" s="1" t="s">
        <v>126</v>
      </c>
      <c r="D62" s="1" t="s">
        <v>18</v>
      </c>
      <c r="E62" s="1" t="s">
        <v>663</v>
      </c>
      <c r="F62" s="4">
        <v>11836</v>
      </c>
      <c r="G62" s="1" t="s">
        <v>19</v>
      </c>
      <c r="H62" s="1" t="s">
        <v>128</v>
      </c>
      <c r="I62" s="1" t="s">
        <v>757</v>
      </c>
      <c r="J62" s="1">
        <v>4</v>
      </c>
      <c r="K62" s="1">
        <v>1435</v>
      </c>
      <c r="L62" s="7" t="str">
        <f t="shared" si="0"/>
        <v>2024334867741435</v>
      </c>
      <c r="M62" s="5">
        <v>10.5</v>
      </c>
      <c r="N62" s="5">
        <v>0</v>
      </c>
      <c r="O62" s="5">
        <v>0</v>
      </c>
      <c r="P62" s="5">
        <v>159967.5</v>
      </c>
      <c r="Q62" s="5">
        <v>0</v>
      </c>
      <c r="R62" s="1" t="s">
        <v>15</v>
      </c>
      <c r="S62" s="5">
        <v>0</v>
      </c>
      <c r="T62">
        <f>VLOOKUP(L62,'MIS COMPROBANTES'!E:Q,13,0)</f>
        <v>1958742.5</v>
      </c>
    </row>
    <row r="63" spans="1:20" x14ac:dyDescent="0.3">
      <c r="A63" s="3">
        <v>45415</v>
      </c>
      <c r="B63" s="1" t="s">
        <v>129</v>
      </c>
      <c r="C63" s="1" t="s">
        <v>130</v>
      </c>
      <c r="D63" s="1" t="s">
        <v>18</v>
      </c>
      <c r="E63" s="1" t="s">
        <v>664</v>
      </c>
      <c r="F63" s="4">
        <v>11834</v>
      </c>
      <c r="G63" s="1" t="s">
        <v>19</v>
      </c>
      <c r="H63" s="1" t="s">
        <v>131</v>
      </c>
      <c r="I63" s="1" t="s">
        <v>757</v>
      </c>
      <c r="J63" s="1">
        <v>5</v>
      </c>
      <c r="K63" s="1">
        <v>7357</v>
      </c>
      <c r="L63" s="7" t="str">
        <f t="shared" si="0"/>
        <v>3070961478557357</v>
      </c>
      <c r="M63" s="5">
        <v>21</v>
      </c>
      <c r="N63" s="5">
        <v>0</v>
      </c>
      <c r="O63" s="5">
        <v>385560</v>
      </c>
      <c r="P63" s="5">
        <v>80967.600000000006</v>
      </c>
      <c r="Q63" s="5">
        <v>466527.6</v>
      </c>
      <c r="R63" s="1" t="s">
        <v>15</v>
      </c>
      <c r="S63" s="5">
        <v>0</v>
      </c>
      <c r="T63">
        <f>VLOOKUP(L63,'MIS COMPROBANTES'!E:Q,13,0)</f>
        <v>466527.6</v>
      </c>
    </row>
    <row r="64" spans="1:20" x14ac:dyDescent="0.3">
      <c r="A64" s="3">
        <v>45415</v>
      </c>
      <c r="B64" s="1" t="s">
        <v>132</v>
      </c>
      <c r="C64" s="1" t="s">
        <v>133</v>
      </c>
      <c r="D64" s="1" t="s">
        <v>18</v>
      </c>
      <c r="E64" s="1" t="s">
        <v>665</v>
      </c>
      <c r="F64" s="4">
        <v>12036</v>
      </c>
      <c r="G64" s="1" t="s">
        <v>19</v>
      </c>
      <c r="H64" s="1" t="s">
        <v>134</v>
      </c>
      <c r="I64" s="1" t="s">
        <v>757</v>
      </c>
      <c r="J64" s="1">
        <v>43</v>
      </c>
      <c r="K64" s="1">
        <v>22763</v>
      </c>
      <c r="L64" s="7" t="str">
        <f t="shared" si="0"/>
        <v>305670207344322763</v>
      </c>
      <c r="M64" s="5">
        <v>21</v>
      </c>
      <c r="N64" s="5">
        <v>0</v>
      </c>
      <c r="O64" s="5">
        <v>3525513.98</v>
      </c>
      <c r="P64" s="5">
        <v>740357.94</v>
      </c>
      <c r="Q64" s="5">
        <v>4265871.92</v>
      </c>
      <c r="R64" s="1" t="s">
        <v>15</v>
      </c>
      <c r="S64" s="5">
        <v>0</v>
      </c>
      <c r="T64">
        <f>VLOOKUP(L64,'MIS COMPROBANTES'!E:Q,13,0)</f>
        <v>4265871.92</v>
      </c>
    </row>
    <row r="65" spans="1:20" x14ac:dyDescent="0.3">
      <c r="A65" s="3">
        <v>45415</v>
      </c>
      <c r="B65" s="1" t="s">
        <v>135</v>
      </c>
      <c r="C65" s="1" t="s">
        <v>136</v>
      </c>
      <c r="D65" s="1" t="s">
        <v>18</v>
      </c>
      <c r="E65" s="1" t="s">
        <v>666</v>
      </c>
      <c r="F65" s="4">
        <v>11845</v>
      </c>
      <c r="G65" s="1" t="s">
        <v>19</v>
      </c>
      <c r="H65" s="1" t="s">
        <v>137</v>
      </c>
      <c r="I65" s="1" t="s">
        <v>757</v>
      </c>
      <c r="J65" s="1">
        <v>63</v>
      </c>
      <c r="K65" s="1">
        <v>65647</v>
      </c>
      <c r="L65" s="7" t="str">
        <f t="shared" si="0"/>
        <v>305038616386365647</v>
      </c>
      <c r="M65" s="5">
        <v>21</v>
      </c>
      <c r="N65" s="5">
        <v>0</v>
      </c>
      <c r="O65" s="5">
        <v>627597.99</v>
      </c>
      <c r="P65" s="5">
        <v>131795.57</v>
      </c>
      <c r="Q65" s="5">
        <v>790773.45</v>
      </c>
      <c r="R65" s="1" t="s">
        <v>15</v>
      </c>
      <c r="S65" s="5">
        <v>12551.96</v>
      </c>
      <c r="T65">
        <f>VLOOKUP(L65,'MIS COMPROBANTES'!E:Q,13,0)</f>
        <v>790773.45</v>
      </c>
    </row>
    <row r="66" spans="1:20" x14ac:dyDescent="0.3">
      <c r="A66" s="3">
        <v>45415</v>
      </c>
      <c r="B66" s="1" t="s">
        <v>135</v>
      </c>
      <c r="C66" s="1" t="s">
        <v>136</v>
      </c>
      <c r="D66" s="1" t="s">
        <v>18</v>
      </c>
      <c r="E66" s="1" t="s">
        <v>666</v>
      </c>
      <c r="F66" s="4">
        <v>11845</v>
      </c>
      <c r="G66" s="1" t="s">
        <v>19</v>
      </c>
      <c r="H66" s="1" t="s">
        <v>137</v>
      </c>
      <c r="I66" s="1" t="s">
        <v>757</v>
      </c>
      <c r="J66" s="1">
        <v>63</v>
      </c>
      <c r="K66" s="1">
        <v>65647</v>
      </c>
      <c r="L66" s="7" t="str">
        <f t="shared" si="0"/>
        <v>305038616386365647</v>
      </c>
      <c r="M66" s="5">
        <v>3</v>
      </c>
      <c r="N66" s="5">
        <v>0</v>
      </c>
      <c r="O66" s="5">
        <v>0</v>
      </c>
      <c r="P66" s="5">
        <v>18827.93</v>
      </c>
      <c r="Q66" s="5">
        <v>0</v>
      </c>
      <c r="R66" s="1" t="s">
        <v>15</v>
      </c>
      <c r="S66" s="5">
        <v>0</v>
      </c>
      <c r="T66">
        <f>VLOOKUP(L66,'MIS COMPROBANTES'!E:Q,13,0)</f>
        <v>790773.45</v>
      </c>
    </row>
    <row r="67" spans="1:20" x14ac:dyDescent="0.3">
      <c r="A67" s="3">
        <v>45415</v>
      </c>
      <c r="B67" s="1" t="s">
        <v>138</v>
      </c>
      <c r="C67" s="1" t="s">
        <v>139</v>
      </c>
      <c r="D67" s="1" t="s">
        <v>18</v>
      </c>
      <c r="E67" s="1" t="s">
        <v>667</v>
      </c>
      <c r="F67" s="4">
        <v>11849</v>
      </c>
      <c r="G67" s="1" t="s">
        <v>19</v>
      </c>
      <c r="H67" s="1" t="s">
        <v>140</v>
      </c>
      <c r="I67" s="1" t="s">
        <v>757</v>
      </c>
      <c r="J67" s="1">
        <v>90</v>
      </c>
      <c r="K67" s="1">
        <v>437347</v>
      </c>
      <c r="L67" s="7" t="str">
        <f t="shared" ref="L67:L130" si="1">CONCATENATE(E67,J67,K67)</f>
        <v>3070705980690437347</v>
      </c>
      <c r="M67" s="5">
        <v>21</v>
      </c>
      <c r="N67" s="5">
        <v>0</v>
      </c>
      <c r="O67" s="5">
        <v>881541.2</v>
      </c>
      <c r="P67" s="5">
        <v>185123.65</v>
      </c>
      <c r="Q67" s="5">
        <v>1137188.1499999999</v>
      </c>
      <c r="R67" s="1" t="s">
        <v>141</v>
      </c>
      <c r="S67" s="5">
        <v>44077.06</v>
      </c>
      <c r="T67">
        <f>VLOOKUP(L67,'MIS COMPROBANTES'!E:Q,13,0)</f>
        <v>1137188.1499999999</v>
      </c>
    </row>
    <row r="68" spans="1:20" x14ac:dyDescent="0.3">
      <c r="A68" s="3">
        <v>45415</v>
      </c>
      <c r="B68" s="1" t="s">
        <v>138</v>
      </c>
      <c r="C68" s="1" t="s">
        <v>139</v>
      </c>
      <c r="D68" s="1" t="s">
        <v>18</v>
      </c>
      <c r="E68" s="1" t="s">
        <v>667</v>
      </c>
      <c r="F68" s="4">
        <v>11849</v>
      </c>
      <c r="G68" s="1" t="s">
        <v>19</v>
      </c>
      <c r="H68" s="1" t="s">
        <v>140</v>
      </c>
      <c r="I68" s="1" t="s">
        <v>757</v>
      </c>
      <c r="J68" s="1">
        <v>90</v>
      </c>
      <c r="K68" s="1">
        <v>437347</v>
      </c>
      <c r="L68" s="7" t="str">
        <f t="shared" si="1"/>
        <v>3070705980690437347</v>
      </c>
      <c r="M68" s="5">
        <v>3</v>
      </c>
      <c r="N68" s="5">
        <v>0</v>
      </c>
      <c r="O68" s="5">
        <v>0</v>
      </c>
      <c r="P68" s="5">
        <v>26446.240000000002</v>
      </c>
      <c r="Q68" s="5">
        <v>0</v>
      </c>
      <c r="R68" s="1" t="s">
        <v>141</v>
      </c>
      <c r="S68" s="5">
        <v>0</v>
      </c>
      <c r="T68">
        <f>VLOOKUP(L68,'MIS COMPROBANTES'!E:Q,13,0)</f>
        <v>1137188.1499999999</v>
      </c>
    </row>
    <row r="69" spans="1:20" x14ac:dyDescent="0.3">
      <c r="A69" s="3">
        <v>45415</v>
      </c>
      <c r="B69" s="1" t="s">
        <v>142</v>
      </c>
      <c r="C69" s="1" t="s">
        <v>143</v>
      </c>
      <c r="D69" s="1" t="s">
        <v>18</v>
      </c>
      <c r="E69" s="1" t="s">
        <v>668</v>
      </c>
      <c r="F69" s="4">
        <v>11846</v>
      </c>
      <c r="G69" s="1" t="s">
        <v>19</v>
      </c>
      <c r="H69" s="1" t="s">
        <v>144</v>
      </c>
      <c r="I69" s="1" t="s">
        <v>757</v>
      </c>
      <c r="J69" s="1">
        <v>539</v>
      </c>
      <c r="K69" s="1">
        <v>40432</v>
      </c>
      <c r="L69" s="7" t="str">
        <f t="shared" si="1"/>
        <v>3066319759953940432</v>
      </c>
      <c r="M69" s="5">
        <v>21</v>
      </c>
      <c r="N69" s="5">
        <v>0</v>
      </c>
      <c r="O69" s="5">
        <v>549623.30000000005</v>
      </c>
      <c r="P69" s="5">
        <v>115420.9</v>
      </c>
      <c r="Q69" s="5">
        <v>676036.66</v>
      </c>
      <c r="R69" s="1" t="s">
        <v>15</v>
      </c>
      <c r="S69" s="5">
        <v>10992.46</v>
      </c>
      <c r="T69">
        <f>VLOOKUP(L69,'MIS COMPROBANTES'!E:Q,13,0)</f>
        <v>676036.65</v>
      </c>
    </row>
    <row r="70" spans="1:20" x14ac:dyDescent="0.3">
      <c r="A70" s="3">
        <v>45415</v>
      </c>
      <c r="B70" s="1" t="s">
        <v>145</v>
      </c>
      <c r="C70" s="1" t="s">
        <v>146</v>
      </c>
      <c r="D70" s="1" t="s">
        <v>18</v>
      </c>
      <c r="E70" s="1" t="s">
        <v>669</v>
      </c>
      <c r="F70" s="4">
        <v>12322</v>
      </c>
      <c r="G70" s="1" t="s">
        <v>19</v>
      </c>
      <c r="H70" s="1" t="s">
        <v>147</v>
      </c>
      <c r="I70" s="1" t="s">
        <v>757</v>
      </c>
      <c r="J70" s="1">
        <v>629</v>
      </c>
      <c r="K70" s="1">
        <v>5099324</v>
      </c>
      <c r="L70" s="7" t="str">
        <f t="shared" si="1"/>
        <v>306634985136295099324</v>
      </c>
      <c r="M70" s="5">
        <v>21</v>
      </c>
      <c r="N70" s="5">
        <v>0</v>
      </c>
      <c r="O70" s="5">
        <v>247.93</v>
      </c>
      <c r="P70" s="5">
        <v>52.07</v>
      </c>
      <c r="Q70" s="5">
        <v>300</v>
      </c>
      <c r="R70" s="1" t="s">
        <v>15</v>
      </c>
      <c r="S70" s="5">
        <v>0</v>
      </c>
      <c r="T70">
        <f>VLOOKUP(L70,'MIS COMPROBANTES'!E:Q,13,0)</f>
        <v>300</v>
      </c>
    </row>
    <row r="71" spans="1:20" x14ac:dyDescent="0.3">
      <c r="A71" s="3">
        <v>45415</v>
      </c>
      <c r="B71" s="1" t="s">
        <v>145</v>
      </c>
      <c r="C71" s="1" t="s">
        <v>146</v>
      </c>
      <c r="D71" s="1" t="s">
        <v>18</v>
      </c>
      <c r="E71" s="1" t="s">
        <v>669</v>
      </c>
      <c r="F71" s="4">
        <v>12321</v>
      </c>
      <c r="G71" s="1" t="s">
        <v>19</v>
      </c>
      <c r="H71" s="1" t="s">
        <v>148</v>
      </c>
      <c r="I71" s="1" t="s">
        <v>757</v>
      </c>
      <c r="J71" s="1">
        <v>629</v>
      </c>
      <c r="K71" s="1">
        <v>5099970</v>
      </c>
      <c r="L71" s="7" t="str">
        <f t="shared" si="1"/>
        <v>306634985136295099970</v>
      </c>
      <c r="M71" s="5">
        <v>21</v>
      </c>
      <c r="N71" s="5">
        <v>0</v>
      </c>
      <c r="O71" s="5">
        <v>1900.83</v>
      </c>
      <c r="P71" s="5">
        <v>399.17</v>
      </c>
      <c r="Q71" s="5">
        <v>2357.02</v>
      </c>
      <c r="R71" s="1" t="s">
        <v>15</v>
      </c>
      <c r="S71" s="5">
        <v>57.02</v>
      </c>
      <c r="T71">
        <f>VLOOKUP(L71,'MIS COMPROBANTES'!E:Q,13,0)</f>
        <v>2357.02</v>
      </c>
    </row>
    <row r="72" spans="1:20" x14ac:dyDescent="0.3">
      <c r="A72" s="3">
        <v>45415</v>
      </c>
      <c r="B72" s="1" t="s">
        <v>149</v>
      </c>
      <c r="C72" s="1" t="s">
        <v>150</v>
      </c>
      <c r="D72" s="1" t="s">
        <v>18</v>
      </c>
      <c r="E72" s="1" t="s">
        <v>670</v>
      </c>
      <c r="F72" s="4">
        <v>12300</v>
      </c>
      <c r="G72" s="1" t="s">
        <v>19</v>
      </c>
      <c r="H72" s="1" t="s">
        <v>151</v>
      </c>
      <c r="I72" s="1" t="s">
        <v>757</v>
      </c>
      <c r="J72" s="1">
        <v>711</v>
      </c>
      <c r="K72" s="1">
        <v>5662018</v>
      </c>
      <c r="L72" s="7" t="str">
        <f t="shared" si="1"/>
        <v>306772371197115662018</v>
      </c>
      <c r="M72" s="5">
        <v>21</v>
      </c>
      <c r="N72" s="5">
        <v>0</v>
      </c>
      <c r="O72" s="5">
        <v>7272.63</v>
      </c>
      <c r="P72" s="5">
        <v>1527.37</v>
      </c>
      <c r="Q72" s="5">
        <v>9381.81</v>
      </c>
      <c r="R72" s="1" t="s">
        <v>15</v>
      </c>
      <c r="S72" s="5">
        <v>363.63</v>
      </c>
      <c r="T72">
        <f>VLOOKUP(L72,'MIS COMPROBANTES'!E:Q,13,0)</f>
        <v>9381.81</v>
      </c>
    </row>
    <row r="73" spans="1:20" x14ac:dyDescent="0.3">
      <c r="A73" s="3">
        <v>45415</v>
      </c>
      <c r="B73" s="1" t="s">
        <v>149</v>
      </c>
      <c r="C73" s="1" t="s">
        <v>150</v>
      </c>
      <c r="D73" s="1" t="s">
        <v>18</v>
      </c>
      <c r="E73" s="1" t="s">
        <v>670</v>
      </c>
      <c r="F73" s="4">
        <v>12300</v>
      </c>
      <c r="G73" s="1" t="s">
        <v>19</v>
      </c>
      <c r="H73" s="1" t="s">
        <v>151</v>
      </c>
      <c r="I73" s="1" t="s">
        <v>757</v>
      </c>
      <c r="J73" s="1">
        <v>711</v>
      </c>
      <c r="K73" s="1">
        <v>5662018</v>
      </c>
      <c r="L73" s="7" t="str">
        <f t="shared" si="1"/>
        <v>306772371197115662018</v>
      </c>
      <c r="M73" s="5">
        <v>3</v>
      </c>
      <c r="N73" s="5">
        <v>0</v>
      </c>
      <c r="O73" s="5">
        <v>0</v>
      </c>
      <c r="P73" s="5">
        <v>218.18</v>
      </c>
      <c r="Q73" s="5">
        <v>0</v>
      </c>
      <c r="R73" s="1" t="s">
        <v>15</v>
      </c>
      <c r="S73" s="5">
        <v>0</v>
      </c>
      <c r="T73">
        <f>VLOOKUP(L73,'MIS COMPROBANTES'!E:Q,13,0)</f>
        <v>9381.81</v>
      </c>
    </row>
    <row r="74" spans="1:20" x14ac:dyDescent="0.3">
      <c r="A74" s="3">
        <v>45415</v>
      </c>
      <c r="B74" s="1" t="s">
        <v>149</v>
      </c>
      <c r="C74" s="1" t="s">
        <v>150</v>
      </c>
      <c r="D74" s="1" t="s">
        <v>18</v>
      </c>
      <c r="E74" s="1" t="s">
        <v>670</v>
      </c>
      <c r="F74" s="4">
        <v>12301</v>
      </c>
      <c r="G74" s="1" t="s">
        <v>19</v>
      </c>
      <c r="H74" s="1" t="s">
        <v>152</v>
      </c>
      <c r="I74" s="1" t="s">
        <v>757</v>
      </c>
      <c r="J74" s="1">
        <v>711</v>
      </c>
      <c r="K74" s="1">
        <v>5664894</v>
      </c>
      <c r="L74" s="7" t="str">
        <f t="shared" si="1"/>
        <v>306772371197115664894</v>
      </c>
      <c r="M74" s="5">
        <v>21</v>
      </c>
      <c r="N74" s="5">
        <v>0</v>
      </c>
      <c r="O74" s="5">
        <v>21900.76</v>
      </c>
      <c r="P74" s="5">
        <v>4599.24</v>
      </c>
      <c r="Q74" s="5">
        <v>28252.06</v>
      </c>
      <c r="R74" s="1" t="s">
        <v>15</v>
      </c>
      <c r="S74" s="5">
        <v>1095.04</v>
      </c>
      <c r="T74">
        <f>VLOOKUP(L74,'MIS COMPROBANTES'!E:Q,13,0)</f>
        <v>28252.06</v>
      </c>
    </row>
    <row r="75" spans="1:20" x14ac:dyDescent="0.3">
      <c r="A75" s="3">
        <v>45415</v>
      </c>
      <c r="B75" s="1" t="s">
        <v>149</v>
      </c>
      <c r="C75" s="1" t="s">
        <v>150</v>
      </c>
      <c r="D75" s="1" t="s">
        <v>18</v>
      </c>
      <c r="E75" s="1" t="s">
        <v>670</v>
      </c>
      <c r="F75" s="4">
        <v>12301</v>
      </c>
      <c r="G75" s="1" t="s">
        <v>19</v>
      </c>
      <c r="H75" s="1" t="s">
        <v>152</v>
      </c>
      <c r="I75" s="1" t="s">
        <v>757</v>
      </c>
      <c r="J75" s="1">
        <v>711</v>
      </c>
      <c r="K75" s="1">
        <v>5664894</v>
      </c>
      <c r="L75" s="7" t="str">
        <f t="shared" si="1"/>
        <v>306772371197115664894</v>
      </c>
      <c r="M75" s="5">
        <v>3</v>
      </c>
      <c r="N75" s="5">
        <v>0</v>
      </c>
      <c r="O75" s="5">
        <v>0</v>
      </c>
      <c r="P75" s="5">
        <v>657.02</v>
      </c>
      <c r="Q75" s="5">
        <v>0</v>
      </c>
      <c r="R75" s="1" t="s">
        <v>15</v>
      </c>
      <c r="S75" s="5">
        <v>0</v>
      </c>
      <c r="T75">
        <f>VLOOKUP(L75,'MIS COMPROBANTES'!E:Q,13,0)</f>
        <v>28252.06</v>
      </c>
    </row>
    <row r="76" spans="1:20" x14ac:dyDescent="0.3">
      <c r="A76" s="3">
        <v>45415</v>
      </c>
      <c r="B76" s="1" t="s">
        <v>149</v>
      </c>
      <c r="C76" s="1" t="s">
        <v>150</v>
      </c>
      <c r="D76" s="1" t="s">
        <v>18</v>
      </c>
      <c r="E76" s="1" t="s">
        <v>670</v>
      </c>
      <c r="F76" s="4">
        <v>12299</v>
      </c>
      <c r="G76" s="1" t="s">
        <v>19</v>
      </c>
      <c r="H76" s="1" t="s">
        <v>153</v>
      </c>
      <c r="I76" s="1" t="s">
        <v>757</v>
      </c>
      <c r="J76" s="1">
        <v>711</v>
      </c>
      <c r="K76" s="1">
        <v>5666700</v>
      </c>
      <c r="L76" s="7" t="str">
        <f t="shared" si="1"/>
        <v>306772371197115666700</v>
      </c>
      <c r="M76" s="5">
        <v>21</v>
      </c>
      <c r="N76" s="5">
        <v>0</v>
      </c>
      <c r="O76" s="5">
        <v>34008.050000000003</v>
      </c>
      <c r="P76" s="5">
        <v>7141.95</v>
      </c>
      <c r="Q76" s="5">
        <v>43870.64</v>
      </c>
      <c r="R76" s="1" t="s">
        <v>15</v>
      </c>
      <c r="S76" s="5">
        <v>1700.4</v>
      </c>
      <c r="T76">
        <f>VLOOKUP(L76,'MIS COMPROBANTES'!E:Q,13,0)</f>
        <v>43870.64</v>
      </c>
    </row>
    <row r="77" spans="1:20" x14ac:dyDescent="0.3">
      <c r="A77" s="3">
        <v>45415</v>
      </c>
      <c r="B77" s="1" t="s">
        <v>149</v>
      </c>
      <c r="C77" s="1" t="s">
        <v>150</v>
      </c>
      <c r="D77" s="1" t="s">
        <v>18</v>
      </c>
      <c r="E77" s="1" t="s">
        <v>670</v>
      </c>
      <c r="F77" s="4">
        <v>12299</v>
      </c>
      <c r="G77" s="1" t="s">
        <v>19</v>
      </c>
      <c r="H77" s="1" t="s">
        <v>153</v>
      </c>
      <c r="I77" s="1" t="s">
        <v>757</v>
      </c>
      <c r="J77" s="1">
        <v>711</v>
      </c>
      <c r="K77" s="1">
        <v>5666700</v>
      </c>
      <c r="L77" s="7" t="str">
        <f t="shared" si="1"/>
        <v>306772371197115666700</v>
      </c>
      <c r="M77" s="5">
        <v>3</v>
      </c>
      <c r="N77" s="5">
        <v>0</v>
      </c>
      <c r="O77" s="5">
        <v>0</v>
      </c>
      <c r="P77" s="5">
        <v>1020.24</v>
      </c>
      <c r="Q77" s="5">
        <v>0</v>
      </c>
      <c r="R77" s="1" t="s">
        <v>15</v>
      </c>
      <c r="S77" s="5">
        <v>0</v>
      </c>
      <c r="T77">
        <f>VLOOKUP(L77,'MIS COMPROBANTES'!E:Q,13,0)</f>
        <v>43870.64</v>
      </c>
    </row>
    <row r="78" spans="1:20" x14ac:dyDescent="0.3">
      <c r="A78" s="3">
        <v>45415</v>
      </c>
      <c r="B78" s="1" t="s">
        <v>64</v>
      </c>
      <c r="C78" s="1" t="s">
        <v>65</v>
      </c>
      <c r="D78" s="1" t="s">
        <v>18</v>
      </c>
      <c r="E78" s="1" t="s">
        <v>647</v>
      </c>
      <c r="F78" s="4">
        <v>11890</v>
      </c>
      <c r="G78" s="1" t="s">
        <v>19</v>
      </c>
      <c r="H78" s="1" t="s">
        <v>154</v>
      </c>
      <c r="I78" s="1" t="s">
        <v>757</v>
      </c>
      <c r="J78" s="1">
        <v>2002</v>
      </c>
      <c r="K78" s="1">
        <v>285596</v>
      </c>
      <c r="L78" s="7" t="str">
        <f t="shared" si="1"/>
        <v>305007682622002285596</v>
      </c>
      <c r="M78" s="5">
        <v>21</v>
      </c>
      <c r="N78" s="5">
        <v>0</v>
      </c>
      <c r="O78" s="5">
        <v>3548942.18</v>
      </c>
      <c r="P78" s="5">
        <v>745277.86</v>
      </c>
      <c r="Q78" s="5">
        <v>4578135.4000000004</v>
      </c>
      <c r="R78" s="1" t="s">
        <v>15</v>
      </c>
      <c r="S78" s="5">
        <v>177447.1</v>
      </c>
      <c r="T78">
        <f>VLOOKUP(L78,'MIS COMPROBANTES'!E:Q,13,0)</f>
        <v>4578135.4000000004</v>
      </c>
    </row>
    <row r="79" spans="1:20" x14ac:dyDescent="0.3">
      <c r="A79" s="3">
        <v>45415</v>
      </c>
      <c r="B79" s="1" t="s">
        <v>64</v>
      </c>
      <c r="C79" s="1" t="s">
        <v>65</v>
      </c>
      <c r="D79" s="1" t="s">
        <v>18</v>
      </c>
      <c r="E79" s="1" t="s">
        <v>647</v>
      </c>
      <c r="F79" s="4">
        <v>11890</v>
      </c>
      <c r="G79" s="1" t="s">
        <v>19</v>
      </c>
      <c r="H79" s="1" t="s">
        <v>154</v>
      </c>
      <c r="I79" s="1" t="s">
        <v>757</v>
      </c>
      <c r="J79" s="1">
        <v>2002</v>
      </c>
      <c r="K79" s="1">
        <v>285596</v>
      </c>
      <c r="L79" s="7" t="str">
        <f t="shared" si="1"/>
        <v>305007682622002285596</v>
      </c>
      <c r="M79" s="5">
        <v>3</v>
      </c>
      <c r="N79" s="5">
        <v>0</v>
      </c>
      <c r="O79" s="5">
        <v>0</v>
      </c>
      <c r="P79" s="5">
        <v>106468.26</v>
      </c>
      <c r="Q79" s="5">
        <v>0</v>
      </c>
      <c r="R79" s="1" t="s">
        <v>15</v>
      </c>
      <c r="S79" s="5">
        <v>0</v>
      </c>
      <c r="T79">
        <f>VLOOKUP(L79,'MIS COMPROBANTES'!E:Q,13,0)</f>
        <v>4578135.4000000004</v>
      </c>
    </row>
    <row r="80" spans="1:20" x14ac:dyDescent="0.3">
      <c r="A80" s="3">
        <v>45415</v>
      </c>
      <c r="B80" s="1" t="s">
        <v>155</v>
      </c>
      <c r="C80" s="1" t="s">
        <v>156</v>
      </c>
      <c r="D80" s="1" t="s">
        <v>18</v>
      </c>
      <c r="E80" s="1" t="s">
        <v>671</v>
      </c>
      <c r="F80" s="4">
        <v>11896</v>
      </c>
      <c r="G80" s="1" t="s">
        <v>19</v>
      </c>
      <c r="H80" s="1" t="s">
        <v>157</v>
      </c>
      <c r="I80" s="1" t="s">
        <v>757</v>
      </c>
      <c r="J80" s="1">
        <v>2009</v>
      </c>
      <c r="K80" s="1">
        <v>37405</v>
      </c>
      <c r="L80" s="7" t="str">
        <f t="shared" si="1"/>
        <v>30700869918200937405</v>
      </c>
      <c r="M80" s="5">
        <v>21</v>
      </c>
      <c r="N80" s="5">
        <v>0</v>
      </c>
      <c r="O80" s="5">
        <v>1095600</v>
      </c>
      <c r="P80" s="5">
        <v>230076</v>
      </c>
      <c r="Q80" s="5">
        <v>1413324</v>
      </c>
      <c r="R80" s="1" t="s">
        <v>15</v>
      </c>
      <c r="S80" s="5">
        <v>54780</v>
      </c>
      <c r="T80">
        <f>VLOOKUP(L80,'MIS COMPROBANTES'!E:Q,13,0)</f>
        <v>1413324</v>
      </c>
    </row>
    <row r="81" spans="1:20" x14ac:dyDescent="0.3">
      <c r="A81" s="3">
        <v>45415</v>
      </c>
      <c r="B81" s="1" t="s">
        <v>155</v>
      </c>
      <c r="C81" s="1" t="s">
        <v>156</v>
      </c>
      <c r="D81" s="1" t="s">
        <v>18</v>
      </c>
      <c r="E81" s="1" t="s">
        <v>671</v>
      </c>
      <c r="F81" s="4">
        <v>11896</v>
      </c>
      <c r="G81" s="1" t="s">
        <v>19</v>
      </c>
      <c r="H81" s="1" t="s">
        <v>157</v>
      </c>
      <c r="I81" s="1" t="s">
        <v>757</v>
      </c>
      <c r="J81" s="1">
        <v>2009</v>
      </c>
      <c r="K81" s="1">
        <v>37405</v>
      </c>
      <c r="L81" s="7" t="str">
        <f t="shared" si="1"/>
        <v>30700869918200937405</v>
      </c>
      <c r="M81" s="5">
        <v>3</v>
      </c>
      <c r="N81" s="5">
        <v>0</v>
      </c>
      <c r="O81" s="5">
        <v>0</v>
      </c>
      <c r="P81" s="5">
        <v>32868</v>
      </c>
      <c r="Q81" s="5">
        <v>0</v>
      </c>
      <c r="R81" s="1" t="s">
        <v>15</v>
      </c>
      <c r="S81" s="5">
        <v>0</v>
      </c>
      <c r="T81">
        <f>VLOOKUP(L81,'MIS COMPROBANTES'!E:Q,13,0)</f>
        <v>1413324</v>
      </c>
    </row>
    <row r="82" spans="1:20" x14ac:dyDescent="0.3">
      <c r="A82" s="3">
        <v>45415</v>
      </c>
      <c r="B82" s="1" t="s">
        <v>155</v>
      </c>
      <c r="C82" s="1" t="s">
        <v>156</v>
      </c>
      <c r="D82" s="1" t="s">
        <v>18</v>
      </c>
      <c r="E82" s="1" t="s">
        <v>671</v>
      </c>
      <c r="F82" s="4">
        <v>11895</v>
      </c>
      <c r="G82" s="1" t="s">
        <v>19</v>
      </c>
      <c r="H82" s="1" t="s">
        <v>158</v>
      </c>
      <c r="I82" s="1" t="s">
        <v>757</v>
      </c>
      <c r="J82" s="1">
        <v>2009</v>
      </c>
      <c r="K82" s="1">
        <v>37406</v>
      </c>
      <c r="L82" s="7" t="str">
        <f t="shared" si="1"/>
        <v>30700869918200937406</v>
      </c>
      <c r="M82" s="5">
        <v>21</v>
      </c>
      <c r="N82" s="5">
        <v>0</v>
      </c>
      <c r="O82" s="5">
        <v>4860000</v>
      </c>
      <c r="P82" s="5">
        <v>1020600</v>
      </c>
      <c r="Q82" s="5">
        <v>6269400</v>
      </c>
      <c r="R82" s="1" t="s">
        <v>15</v>
      </c>
      <c r="S82" s="5">
        <v>243000</v>
      </c>
      <c r="T82">
        <f>VLOOKUP(L82,'MIS COMPROBANTES'!E:Q,13,0)</f>
        <v>6269400</v>
      </c>
    </row>
    <row r="83" spans="1:20" x14ac:dyDescent="0.3">
      <c r="A83" s="3">
        <v>45415</v>
      </c>
      <c r="B83" s="1" t="s">
        <v>155</v>
      </c>
      <c r="C83" s="1" t="s">
        <v>156</v>
      </c>
      <c r="D83" s="1" t="s">
        <v>18</v>
      </c>
      <c r="E83" s="1" t="s">
        <v>671</v>
      </c>
      <c r="F83" s="4">
        <v>11895</v>
      </c>
      <c r="G83" s="1" t="s">
        <v>19</v>
      </c>
      <c r="H83" s="1" t="s">
        <v>158</v>
      </c>
      <c r="I83" s="1" t="s">
        <v>757</v>
      </c>
      <c r="J83" s="1">
        <v>2009</v>
      </c>
      <c r="K83" s="1">
        <v>37406</v>
      </c>
      <c r="L83" s="7" t="str">
        <f t="shared" si="1"/>
        <v>30700869918200937406</v>
      </c>
      <c r="M83" s="5">
        <v>3</v>
      </c>
      <c r="N83" s="5">
        <v>0</v>
      </c>
      <c r="O83" s="5">
        <v>0</v>
      </c>
      <c r="P83" s="5">
        <v>145800</v>
      </c>
      <c r="Q83" s="5">
        <v>0</v>
      </c>
      <c r="R83" s="1" t="s">
        <v>15</v>
      </c>
      <c r="S83" s="5">
        <v>0</v>
      </c>
      <c r="T83">
        <f>VLOOKUP(L83,'MIS COMPROBANTES'!E:Q,13,0)</f>
        <v>6269400</v>
      </c>
    </row>
    <row r="84" spans="1:20" x14ac:dyDescent="0.3">
      <c r="A84" s="3">
        <v>45415</v>
      </c>
      <c r="B84" s="1" t="s">
        <v>155</v>
      </c>
      <c r="C84" s="1" t="s">
        <v>156</v>
      </c>
      <c r="D84" s="1" t="s">
        <v>18</v>
      </c>
      <c r="E84" s="1" t="s">
        <v>671</v>
      </c>
      <c r="F84" s="4">
        <v>11894</v>
      </c>
      <c r="G84" s="1" t="s">
        <v>19</v>
      </c>
      <c r="H84" s="1" t="s">
        <v>159</v>
      </c>
      <c r="I84" s="1" t="s">
        <v>757</v>
      </c>
      <c r="J84" s="1">
        <v>2009</v>
      </c>
      <c r="K84" s="1">
        <v>37407</v>
      </c>
      <c r="L84" s="7" t="str">
        <f t="shared" si="1"/>
        <v>30700869918200937407</v>
      </c>
      <c r="M84" s="5">
        <v>21</v>
      </c>
      <c r="N84" s="5">
        <v>0</v>
      </c>
      <c r="O84" s="5">
        <v>12636000</v>
      </c>
      <c r="P84" s="5">
        <v>2653560</v>
      </c>
      <c r="Q84" s="5">
        <v>16300440</v>
      </c>
      <c r="R84" s="1" t="s">
        <v>15</v>
      </c>
      <c r="S84" s="5">
        <v>631800</v>
      </c>
      <c r="T84">
        <f>VLOOKUP(L84,'MIS COMPROBANTES'!E:Q,13,0)</f>
        <v>16300440</v>
      </c>
    </row>
    <row r="85" spans="1:20" x14ac:dyDescent="0.3">
      <c r="A85" s="3">
        <v>45415</v>
      </c>
      <c r="B85" s="1" t="s">
        <v>155</v>
      </c>
      <c r="C85" s="1" t="s">
        <v>156</v>
      </c>
      <c r="D85" s="1" t="s">
        <v>18</v>
      </c>
      <c r="E85" s="1" t="s">
        <v>671</v>
      </c>
      <c r="F85" s="4">
        <v>11894</v>
      </c>
      <c r="G85" s="1" t="s">
        <v>19</v>
      </c>
      <c r="H85" s="1" t="s">
        <v>159</v>
      </c>
      <c r="I85" s="1" t="s">
        <v>757</v>
      </c>
      <c r="J85" s="1">
        <v>2009</v>
      </c>
      <c r="K85" s="1">
        <v>37407</v>
      </c>
      <c r="L85" s="7" t="str">
        <f t="shared" si="1"/>
        <v>30700869918200937407</v>
      </c>
      <c r="M85" s="5">
        <v>3</v>
      </c>
      <c r="N85" s="5">
        <v>0</v>
      </c>
      <c r="O85" s="5">
        <v>0</v>
      </c>
      <c r="P85" s="5">
        <v>379080</v>
      </c>
      <c r="Q85" s="5">
        <v>0</v>
      </c>
      <c r="R85" s="1" t="s">
        <v>15</v>
      </c>
      <c r="S85" s="5">
        <v>0</v>
      </c>
      <c r="T85">
        <f>VLOOKUP(L85,'MIS COMPROBANTES'!E:Q,13,0)</f>
        <v>16300440</v>
      </c>
    </row>
    <row r="86" spans="1:20" x14ac:dyDescent="0.3">
      <c r="A86" s="3">
        <v>45415</v>
      </c>
      <c r="B86" s="1" t="s">
        <v>22</v>
      </c>
      <c r="C86" s="1" t="s">
        <v>23</v>
      </c>
      <c r="D86" s="1" t="s">
        <v>18</v>
      </c>
      <c r="E86" s="1" t="s">
        <v>634</v>
      </c>
      <c r="F86" s="4">
        <v>11820</v>
      </c>
      <c r="G86" s="1" t="s">
        <v>19</v>
      </c>
      <c r="H86" s="1" t="s">
        <v>160</v>
      </c>
      <c r="I86" s="1" t="s">
        <v>757</v>
      </c>
      <c r="J86" s="1">
        <v>5404</v>
      </c>
      <c r="K86" s="1">
        <v>1011</v>
      </c>
      <c r="L86" s="7" t="str">
        <f t="shared" si="1"/>
        <v>3069554247654041011</v>
      </c>
      <c r="M86" s="5">
        <v>21</v>
      </c>
      <c r="N86" s="5">
        <v>8991.2099999999991</v>
      </c>
      <c r="O86" s="5">
        <v>104940.35</v>
      </c>
      <c r="P86" s="5">
        <v>22037.47</v>
      </c>
      <c r="Q86" s="5">
        <v>139117.24</v>
      </c>
      <c r="R86" s="1" t="s">
        <v>15</v>
      </c>
      <c r="S86" s="5">
        <v>0</v>
      </c>
      <c r="T86" t="e">
        <f>VLOOKUP(L86,'MIS COMPROBANTES'!E:Q,13,0)</f>
        <v>#N/A</v>
      </c>
    </row>
    <row r="87" spans="1:20" x14ac:dyDescent="0.3">
      <c r="A87" s="3">
        <v>45415</v>
      </c>
      <c r="B87" s="1" t="s">
        <v>22</v>
      </c>
      <c r="C87" s="1" t="s">
        <v>23</v>
      </c>
      <c r="D87" s="1" t="s">
        <v>18</v>
      </c>
      <c r="E87" s="1" t="s">
        <v>634</v>
      </c>
      <c r="F87" s="4">
        <v>11820</v>
      </c>
      <c r="G87" s="1" t="s">
        <v>19</v>
      </c>
      <c r="H87" s="1" t="s">
        <v>160</v>
      </c>
      <c r="I87" s="1" t="s">
        <v>757</v>
      </c>
      <c r="J87" s="1">
        <v>5404</v>
      </c>
      <c r="K87" s="1">
        <v>1011</v>
      </c>
      <c r="L87" s="7" t="str">
        <f t="shared" si="1"/>
        <v>3069554247654041011</v>
      </c>
      <c r="M87" s="5">
        <v>3</v>
      </c>
      <c r="N87" s="5">
        <v>0</v>
      </c>
      <c r="O87" s="5">
        <v>0</v>
      </c>
      <c r="P87" s="5">
        <v>3148.21</v>
      </c>
      <c r="Q87" s="5">
        <v>0</v>
      </c>
      <c r="R87" s="1" t="s">
        <v>15</v>
      </c>
      <c r="S87" s="5">
        <v>0</v>
      </c>
      <c r="T87" t="e">
        <f>VLOOKUP(L87,'MIS COMPROBANTES'!E:Q,13,0)</f>
        <v>#N/A</v>
      </c>
    </row>
    <row r="88" spans="1:20" x14ac:dyDescent="0.3">
      <c r="A88" s="3">
        <v>45415</v>
      </c>
      <c r="B88" s="1" t="s">
        <v>161</v>
      </c>
      <c r="C88" s="1" t="s">
        <v>162</v>
      </c>
      <c r="D88" s="1" t="s">
        <v>102</v>
      </c>
      <c r="E88" s="1" t="s">
        <v>672</v>
      </c>
      <c r="F88" s="4">
        <v>11641</v>
      </c>
      <c r="G88" s="1" t="s">
        <v>19</v>
      </c>
      <c r="H88" s="1" t="s">
        <v>163</v>
      </c>
      <c r="I88" s="1" t="s">
        <v>758</v>
      </c>
      <c r="J88" s="1">
        <v>3</v>
      </c>
      <c r="K88" s="1">
        <v>5329</v>
      </c>
      <c r="L88" s="7" t="str">
        <f t="shared" si="1"/>
        <v>2018056301735329</v>
      </c>
      <c r="M88" s="5">
        <v>0</v>
      </c>
      <c r="N88" s="5">
        <v>78000</v>
      </c>
      <c r="O88" s="5">
        <v>0</v>
      </c>
      <c r="P88" s="5">
        <v>0</v>
      </c>
      <c r="Q88" s="5">
        <v>78000</v>
      </c>
      <c r="R88" s="1" t="s">
        <v>15</v>
      </c>
      <c r="S88" s="5">
        <v>0</v>
      </c>
      <c r="T88">
        <f>VLOOKUP(L88,'MIS COMPROBANTES'!E:Q,13,0)</f>
        <v>78000</v>
      </c>
    </row>
    <row r="89" spans="1:20" x14ac:dyDescent="0.3">
      <c r="A89" s="3">
        <v>45415</v>
      </c>
      <c r="B89" s="1" t="s">
        <v>115</v>
      </c>
      <c r="C89" s="1" t="s">
        <v>116</v>
      </c>
      <c r="D89" s="1" t="s">
        <v>18</v>
      </c>
      <c r="E89" s="1" t="s">
        <v>660</v>
      </c>
      <c r="F89" s="4">
        <v>12016</v>
      </c>
      <c r="G89" s="1" t="s">
        <v>27</v>
      </c>
      <c r="H89" s="1" t="s">
        <v>164</v>
      </c>
      <c r="I89" s="1" t="s">
        <v>757</v>
      </c>
      <c r="J89" s="1">
        <v>2</v>
      </c>
      <c r="K89" s="1">
        <v>411</v>
      </c>
      <c r="L89" s="7" t="str">
        <f t="shared" si="1"/>
        <v>307113114042411</v>
      </c>
      <c r="M89" s="5">
        <v>21</v>
      </c>
      <c r="N89" s="5">
        <v>0</v>
      </c>
      <c r="O89" s="5">
        <v>-361680</v>
      </c>
      <c r="P89" s="5">
        <v>-75952.800000000003</v>
      </c>
      <c r="Q89" s="5">
        <v>-437632.8</v>
      </c>
      <c r="R89" s="1" t="s">
        <v>118</v>
      </c>
      <c r="S89" s="5">
        <v>0</v>
      </c>
      <c r="T89">
        <f>VLOOKUP(L89,'MIS COMPROBANTES'!E:Q,13,0)</f>
        <v>437632.8</v>
      </c>
    </row>
    <row r="90" spans="1:20" x14ac:dyDescent="0.3">
      <c r="A90" s="3">
        <v>45416</v>
      </c>
      <c r="B90" s="1" t="s">
        <v>165</v>
      </c>
      <c r="C90" s="1" t="s">
        <v>166</v>
      </c>
      <c r="D90" s="1" t="s">
        <v>18</v>
      </c>
      <c r="E90" s="1" t="s">
        <v>673</v>
      </c>
      <c r="F90" s="4">
        <v>12240</v>
      </c>
      <c r="G90" s="1" t="s">
        <v>19</v>
      </c>
      <c r="H90" s="1" t="s">
        <v>167</v>
      </c>
      <c r="I90" s="1" t="s">
        <v>757</v>
      </c>
      <c r="J90" s="1">
        <v>3</v>
      </c>
      <c r="K90" s="1">
        <v>3588</v>
      </c>
      <c r="L90" s="7" t="str">
        <f t="shared" si="1"/>
        <v>3071683826533588</v>
      </c>
      <c r="M90" s="5">
        <v>21</v>
      </c>
      <c r="N90" s="5">
        <v>0</v>
      </c>
      <c r="O90" s="5">
        <v>2349270</v>
      </c>
      <c r="P90" s="5">
        <v>493346.7</v>
      </c>
      <c r="Q90" s="5">
        <v>2842616.7</v>
      </c>
      <c r="R90" s="1" t="s">
        <v>15</v>
      </c>
      <c r="S90" s="5">
        <v>0</v>
      </c>
      <c r="T90">
        <f>VLOOKUP(L90,'MIS COMPROBANTES'!E:Q,13,0)</f>
        <v>2842616.7</v>
      </c>
    </row>
    <row r="91" spans="1:20" x14ac:dyDescent="0.3">
      <c r="A91" s="3">
        <v>45416</v>
      </c>
      <c r="B91" s="1" t="s">
        <v>168</v>
      </c>
      <c r="C91" s="1" t="s">
        <v>169</v>
      </c>
      <c r="D91" s="1" t="s">
        <v>18</v>
      </c>
      <c r="E91" s="1" t="s">
        <v>674</v>
      </c>
      <c r="F91" s="4">
        <v>12031</v>
      </c>
      <c r="G91" s="1" t="s">
        <v>19</v>
      </c>
      <c r="H91" s="1" t="s">
        <v>170</v>
      </c>
      <c r="I91" s="1" t="s">
        <v>757</v>
      </c>
      <c r="J91" s="1">
        <v>622</v>
      </c>
      <c r="K91" s="1">
        <v>275203</v>
      </c>
      <c r="L91" s="7" t="str">
        <f t="shared" si="1"/>
        <v>30682032630622275203</v>
      </c>
      <c r="M91" s="5">
        <v>21</v>
      </c>
      <c r="N91" s="5">
        <v>0</v>
      </c>
      <c r="O91" s="5">
        <v>471501.9</v>
      </c>
      <c r="P91" s="5">
        <v>99015.4</v>
      </c>
      <c r="Q91" s="5">
        <v>608237.46</v>
      </c>
      <c r="R91" s="1" t="s">
        <v>15</v>
      </c>
      <c r="S91" s="5">
        <v>23575.1</v>
      </c>
      <c r="T91">
        <f>VLOOKUP(L91,'MIS COMPROBANTES'!E:Q,13,0)</f>
        <v>608237.46</v>
      </c>
    </row>
    <row r="92" spans="1:20" x14ac:dyDescent="0.3">
      <c r="A92" s="3">
        <v>45416</v>
      </c>
      <c r="B92" s="1" t="s">
        <v>168</v>
      </c>
      <c r="C92" s="1" t="s">
        <v>169</v>
      </c>
      <c r="D92" s="1" t="s">
        <v>18</v>
      </c>
      <c r="E92" s="1" t="s">
        <v>674</v>
      </c>
      <c r="F92" s="4">
        <v>12031</v>
      </c>
      <c r="G92" s="1" t="s">
        <v>19</v>
      </c>
      <c r="H92" s="1" t="s">
        <v>170</v>
      </c>
      <c r="I92" s="1" t="s">
        <v>757</v>
      </c>
      <c r="J92" s="1">
        <v>622</v>
      </c>
      <c r="K92" s="1">
        <v>275203</v>
      </c>
      <c r="L92" s="7" t="str">
        <f t="shared" si="1"/>
        <v>30682032630622275203</v>
      </c>
      <c r="M92" s="5">
        <v>3</v>
      </c>
      <c r="N92" s="5">
        <v>0</v>
      </c>
      <c r="O92" s="5">
        <v>0</v>
      </c>
      <c r="P92" s="5">
        <v>14145.06</v>
      </c>
      <c r="Q92" s="5">
        <v>0</v>
      </c>
      <c r="R92" s="1" t="s">
        <v>15</v>
      </c>
      <c r="S92" s="5">
        <v>0</v>
      </c>
      <c r="T92">
        <f>VLOOKUP(L92,'MIS COMPROBANTES'!E:Q,13,0)</f>
        <v>608237.46</v>
      </c>
    </row>
    <row r="93" spans="1:20" x14ac:dyDescent="0.3">
      <c r="A93" s="3">
        <v>45416</v>
      </c>
      <c r="B93" s="1" t="s">
        <v>171</v>
      </c>
      <c r="C93" s="1" t="s">
        <v>172</v>
      </c>
      <c r="D93" s="1" t="s">
        <v>102</v>
      </c>
      <c r="E93" s="1" t="s">
        <v>675</v>
      </c>
      <c r="F93" s="4">
        <v>11687</v>
      </c>
      <c r="G93" s="1" t="s">
        <v>19</v>
      </c>
      <c r="H93" s="1" t="s">
        <v>173</v>
      </c>
      <c r="I93" s="1" t="s">
        <v>758</v>
      </c>
      <c r="J93" s="1">
        <v>2</v>
      </c>
      <c r="K93" s="1">
        <v>190</v>
      </c>
      <c r="L93" s="7" t="str">
        <f t="shared" si="1"/>
        <v>203300659832190</v>
      </c>
      <c r="M93" s="5">
        <v>0</v>
      </c>
      <c r="N93" s="5">
        <v>150250</v>
      </c>
      <c r="O93" s="5">
        <v>0</v>
      </c>
      <c r="P93" s="5">
        <v>0</v>
      </c>
      <c r="Q93" s="5">
        <v>150250</v>
      </c>
      <c r="R93" s="1" t="s">
        <v>15</v>
      </c>
      <c r="S93" s="5">
        <v>0</v>
      </c>
      <c r="T93">
        <f>VLOOKUP(L93,'MIS COMPROBANTES'!E:Q,13,0)</f>
        <v>150250</v>
      </c>
    </row>
    <row r="94" spans="1:20" x14ac:dyDescent="0.3">
      <c r="A94" s="3">
        <v>45417</v>
      </c>
      <c r="B94" s="1" t="s">
        <v>174</v>
      </c>
      <c r="C94" s="1" t="s">
        <v>175</v>
      </c>
      <c r="D94" s="1" t="s">
        <v>18</v>
      </c>
      <c r="E94" s="1" t="s">
        <v>676</v>
      </c>
      <c r="F94" s="4">
        <v>11784</v>
      </c>
      <c r="G94" s="1" t="s">
        <v>19</v>
      </c>
      <c r="H94" s="1" t="s">
        <v>176</v>
      </c>
      <c r="I94" s="1" t="s">
        <v>757</v>
      </c>
      <c r="J94" s="1">
        <v>7296</v>
      </c>
      <c r="K94" s="1">
        <v>27092</v>
      </c>
      <c r="L94" s="7" t="str">
        <f t="shared" si="1"/>
        <v>30678774495729627092</v>
      </c>
      <c r="M94" s="5">
        <v>21</v>
      </c>
      <c r="N94" s="5">
        <v>6422.98</v>
      </c>
      <c r="O94" s="5">
        <v>48412.37</v>
      </c>
      <c r="P94" s="5">
        <v>10166.6</v>
      </c>
      <c r="Q94" s="5">
        <v>66098.66</v>
      </c>
      <c r="R94" s="1" t="s">
        <v>15</v>
      </c>
      <c r="S94" s="5">
        <v>1096.71</v>
      </c>
      <c r="T94">
        <f>VLOOKUP(L94,'MIS COMPROBANTES'!E:Q,13,0)</f>
        <v>66098.66</v>
      </c>
    </row>
    <row r="95" spans="1:20" x14ac:dyDescent="0.3">
      <c r="A95" s="3">
        <v>45417</v>
      </c>
      <c r="B95" s="1" t="s">
        <v>177</v>
      </c>
      <c r="C95" s="1" t="s">
        <v>178</v>
      </c>
      <c r="D95" s="1" t="s">
        <v>18</v>
      </c>
      <c r="E95" s="1" t="s">
        <v>677</v>
      </c>
      <c r="F95" s="4">
        <v>11786</v>
      </c>
      <c r="G95" s="1" t="s">
        <v>19</v>
      </c>
      <c r="H95" s="1" t="s">
        <v>179</v>
      </c>
      <c r="I95" s="1" t="s">
        <v>757</v>
      </c>
      <c r="J95" s="1">
        <v>8279</v>
      </c>
      <c r="K95" s="1">
        <v>2944</v>
      </c>
      <c r="L95" s="7" t="str">
        <f t="shared" si="1"/>
        <v>3059036076382792944</v>
      </c>
      <c r="M95" s="5">
        <v>21</v>
      </c>
      <c r="N95" s="5">
        <v>0</v>
      </c>
      <c r="O95" s="5">
        <v>85574.38</v>
      </c>
      <c r="P95" s="5">
        <v>17970.62</v>
      </c>
      <c r="Q95" s="5">
        <v>110390.95</v>
      </c>
      <c r="R95" s="1" t="s">
        <v>15</v>
      </c>
      <c r="S95" s="5">
        <v>4278.72</v>
      </c>
      <c r="T95">
        <f>VLOOKUP(L95,'MIS COMPROBANTES'!E:Q,13,0)</f>
        <v>110390.95</v>
      </c>
    </row>
    <row r="96" spans="1:20" x14ac:dyDescent="0.3">
      <c r="A96" s="3">
        <v>45417</v>
      </c>
      <c r="B96" s="1" t="s">
        <v>177</v>
      </c>
      <c r="C96" s="1" t="s">
        <v>178</v>
      </c>
      <c r="D96" s="1" t="s">
        <v>18</v>
      </c>
      <c r="E96" s="1" t="s">
        <v>677</v>
      </c>
      <c r="F96" s="4">
        <v>11786</v>
      </c>
      <c r="G96" s="1" t="s">
        <v>19</v>
      </c>
      <c r="H96" s="1" t="s">
        <v>179</v>
      </c>
      <c r="I96" s="1" t="s">
        <v>757</v>
      </c>
      <c r="J96" s="1">
        <v>8279</v>
      </c>
      <c r="K96" s="1">
        <v>2944</v>
      </c>
      <c r="L96" s="7" t="str">
        <f t="shared" si="1"/>
        <v>3059036076382792944</v>
      </c>
      <c r="M96" s="5">
        <v>3</v>
      </c>
      <c r="N96" s="5">
        <v>0</v>
      </c>
      <c r="O96" s="5">
        <v>0</v>
      </c>
      <c r="P96" s="5">
        <v>2567.23</v>
      </c>
      <c r="Q96" s="5">
        <v>0</v>
      </c>
      <c r="R96" s="1" t="s">
        <v>15</v>
      </c>
      <c r="S96" s="5">
        <v>0</v>
      </c>
      <c r="T96">
        <f>VLOOKUP(L96,'MIS COMPROBANTES'!E:Q,13,0)</f>
        <v>110390.95</v>
      </c>
    </row>
    <row r="97" spans="1:20" x14ac:dyDescent="0.3">
      <c r="A97" s="3">
        <v>45417</v>
      </c>
      <c r="B97" s="1" t="s">
        <v>180</v>
      </c>
      <c r="C97" s="1" t="s">
        <v>181</v>
      </c>
      <c r="D97" s="1" t="s">
        <v>102</v>
      </c>
      <c r="E97" s="1" t="s">
        <v>678</v>
      </c>
      <c r="F97" s="4">
        <v>11927</v>
      </c>
      <c r="G97" s="1" t="s">
        <v>19</v>
      </c>
      <c r="H97" s="1" t="s">
        <v>182</v>
      </c>
      <c r="I97" s="1" t="s">
        <v>758</v>
      </c>
      <c r="J97" s="1">
        <v>2</v>
      </c>
      <c r="K97" s="1">
        <v>356</v>
      </c>
      <c r="L97" s="7" t="str">
        <f t="shared" si="1"/>
        <v>202452948252356</v>
      </c>
      <c r="M97" s="5">
        <v>0</v>
      </c>
      <c r="N97" s="5">
        <v>34000</v>
      </c>
      <c r="O97" s="5">
        <v>0</v>
      </c>
      <c r="P97" s="5">
        <v>0</v>
      </c>
      <c r="Q97" s="5">
        <v>34000</v>
      </c>
      <c r="R97" s="1" t="s">
        <v>15</v>
      </c>
      <c r="S97" s="5">
        <v>0</v>
      </c>
      <c r="T97">
        <f>VLOOKUP(L97,'MIS COMPROBANTES'!E:Q,13,0)</f>
        <v>34000</v>
      </c>
    </row>
    <row r="98" spans="1:20" x14ac:dyDescent="0.3">
      <c r="A98" s="3">
        <v>45418</v>
      </c>
      <c r="B98" s="1" t="s">
        <v>44</v>
      </c>
      <c r="C98" s="1" t="s">
        <v>45</v>
      </c>
      <c r="D98" s="1" t="s">
        <v>18</v>
      </c>
      <c r="E98" s="1" t="s">
        <v>641</v>
      </c>
      <c r="F98" s="4">
        <v>11941</v>
      </c>
      <c r="G98" s="1" t="s">
        <v>19</v>
      </c>
      <c r="H98" s="1" t="s">
        <v>183</v>
      </c>
      <c r="I98" s="1">
        <v>0</v>
      </c>
      <c r="J98" s="1">
        <v>2024</v>
      </c>
      <c r="K98" s="1">
        <v>10197251</v>
      </c>
      <c r="L98" s="7" t="str">
        <f t="shared" si="1"/>
        <v>30500008454202410197251</v>
      </c>
      <c r="M98" s="5">
        <v>10.5</v>
      </c>
      <c r="N98" s="5">
        <v>1010698.27</v>
      </c>
      <c r="O98" s="5">
        <v>1229139.28</v>
      </c>
      <c r="P98" s="5">
        <v>129059.62</v>
      </c>
      <c r="Q98" s="5">
        <v>2411877.6800000002</v>
      </c>
      <c r="R98" s="1" t="s">
        <v>15</v>
      </c>
      <c r="S98" s="5">
        <v>24582.78</v>
      </c>
      <c r="T98" t="e">
        <f>VLOOKUP(L98,'MIS COMPROBANTES'!E:Q,13,0)</f>
        <v>#N/A</v>
      </c>
    </row>
    <row r="99" spans="1:20" x14ac:dyDescent="0.3">
      <c r="A99" s="3">
        <v>45418</v>
      </c>
      <c r="B99" s="1" t="s">
        <v>44</v>
      </c>
      <c r="C99" s="1" t="s">
        <v>45</v>
      </c>
      <c r="D99" s="1" t="s">
        <v>18</v>
      </c>
      <c r="E99" s="1" t="s">
        <v>641</v>
      </c>
      <c r="F99" s="4">
        <v>11941</v>
      </c>
      <c r="G99" s="1" t="s">
        <v>19</v>
      </c>
      <c r="H99" s="1" t="s">
        <v>183</v>
      </c>
      <c r="I99" s="1">
        <v>0</v>
      </c>
      <c r="J99" s="1">
        <v>2024</v>
      </c>
      <c r="K99" s="1">
        <v>10197251</v>
      </c>
      <c r="L99" s="7" t="str">
        <f t="shared" si="1"/>
        <v>30500008454202410197251</v>
      </c>
      <c r="M99" s="5">
        <v>1.5</v>
      </c>
      <c r="N99" s="5">
        <v>0</v>
      </c>
      <c r="O99" s="5">
        <v>0</v>
      </c>
      <c r="P99" s="5">
        <v>18397.73</v>
      </c>
      <c r="Q99" s="5">
        <v>0</v>
      </c>
      <c r="R99" s="1" t="s">
        <v>15</v>
      </c>
      <c r="S99" s="5">
        <v>0</v>
      </c>
      <c r="T99" t="e">
        <f>VLOOKUP(L99,'MIS COMPROBANTES'!E:Q,13,0)</f>
        <v>#N/A</v>
      </c>
    </row>
    <row r="100" spans="1:20" x14ac:dyDescent="0.3">
      <c r="A100" s="3">
        <v>45418</v>
      </c>
      <c r="B100" s="1" t="s">
        <v>44</v>
      </c>
      <c r="C100" s="1" t="s">
        <v>45</v>
      </c>
      <c r="D100" s="1" t="s">
        <v>18</v>
      </c>
      <c r="E100" s="1" t="s">
        <v>641</v>
      </c>
      <c r="F100" s="4">
        <v>11828</v>
      </c>
      <c r="G100" s="1" t="s">
        <v>19</v>
      </c>
      <c r="H100" s="1" t="s">
        <v>184</v>
      </c>
      <c r="I100" s="1">
        <v>0</v>
      </c>
      <c r="J100" s="1">
        <v>2024</v>
      </c>
      <c r="K100" s="1">
        <v>90043201</v>
      </c>
      <c r="L100" s="7" t="str">
        <f t="shared" si="1"/>
        <v>30500008454202490043201</v>
      </c>
      <c r="M100" s="5">
        <v>10.5</v>
      </c>
      <c r="N100" s="5">
        <v>8496.68</v>
      </c>
      <c r="O100" s="5">
        <v>222117.66</v>
      </c>
      <c r="P100" s="5">
        <v>23322.35</v>
      </c>
      <c r="Q100" s="5">
        <v>261634.09</v>
      </c>
      <c r="R100" s="1" t="s">
        <v>15</v>
      </c>
      <c r="S100" s="5">
        <v>4398.5</v>
      </c>
      <c r="T100" t="e">
        <f>VLOOKUP(L100,'MIS COMPROBANTES'!E:Q,13,0)</f>
        <v>#N/A</v>
      </c>
    </row>
    <row r="101" spans="1:20" x14ac:dyDescent="0.3">
      <c r="A101" s="3">
        <v>45418</v>
      </c>
      <c r="B101" s="1" t="s">
        <v>44</v>
      </c>
      <c r="C101" s="1" t="s">
        <v>45</v>
      </c>
      <c r="D101" s="1" t="s">
        <v>18</v>
      </c>
      <c r="E101" s="1" t="s">
        <v>641</v>
      </c>
      <c r="F101" s="4">
        <v>11828</v>
      </c>
      <c r="G101" s="1" t="s">
        <v>19</v>
      </c>
      <c r="H101" s="1" t="s">
        <v>184</v>
      </c>
      <c r="I101" s="1">
        <v>0</v>
      </c>
      <c r="J101" s="1">
        <v>2024</v>
      </c>
      <c r="K101" s="1">
        <v>90043201</v>
      </c>
      <c r="L101" s="7" t="str">
        <f t="shared" si="1"/>
        <v>30500008454202490043201</v>
      </c>
      <c r="M101" s="5">
        <v>1.5</v>
      </c>
      <c r="N101" s="5">
        <v>0</v>
      </c>
      <c r="O101" s="5">
        <v>0</v>
      </c>
      <c r="P101" s="5">
        <v>3298.9</v>
      </c>
      <c r="Q101" s="5">
        <v>0</v>
      </c>
      <c r="R101" s="1" t="s">
        <v>15</v>
      </c>
      <c r="S101" s="5">
        <v>0</v>
      </c>
      <c r="T101" t="e">
        <f>VLOOKUP(L101,'MIS COMPROBANTES'!E:Q,13,0)</f>
        <v>#N/A</v>
      </c>
    </row>
    <row r="102" spans="1:20" x14ac:dyDescent="0.3">
      <c r="A102" s="3">
        <v>45418</v>
      </c>
      <c r="B102" s="1" t="s">
        <v>44</v>
      </c>
      <c r="C102" s="1" t="s">
        <v>45</v>
      </c>
      <c r="D102" s="1" t="s">
        <v>18</v>
      </c>
      <c r="E102" s="1" t="s">
        <v>641</v>
      </c>
      <c r="F102" s="4">
        <v>11940</v>
      </c>
      <c r="G102" s="1" t="s">
        <v>19</v>
      </c>
      <c r="H102" s="1" t="s">
        <v>185</v>
      </c>
      <c r="I102" s="1">
        <v>0</v>
      </c>
      <c r="J102" s="1">
        <v>2024</v>
      </c>
      <c r="K102" s="1">
        <v>94320510</v>
      </c>
      <c r="L102" s="7" t="str">
        <f t="shared" si="1"/>
        <v>30500008454202494320510</v>
      </c>
      <c r="M102" s="5">
        <v>10.5</v>
      </c>
      <c r="N102" s="5">
        <v>1871330.89</v>
      </c>
      <c r="O102" s="5">
        <v>450156.83</v>
      </c>
      <c r="P102" s="5">
        <v>47266.47</v>
      </c>
      <c r="Q102" s="5">
        <v>2384509.6800000002</v>
      </c>
      <c r="R102" s="1" t="s">
        <v>15</v>
      </c>
      <c r="S102" s="5">
        <v>9003.14</v>
      </c>
      <c r="T102" t="e">
        <f>VLOOKUP(L102,'MIS COMPROBANTES'!E:Q,13,0)</f>
        <v>#N/A</v>
      </c>
    </row>
    <row r="103" spans="1:20" x14ac:dyDescent="0.3">
      <c r="A103" s="3">
        <v>45418</v>
      </c>
      <c r="B103" s="1" t="s">
        <v>44</v>
      </c>
      <c r="C103" s="1" t="s">
        <v>45</v>
      </c>
      <c r="D103" s="1" t="s">
        <v>18</v>
      </c>
      <c r="E103" s="1" t="s">
        <v>641</v>
      </c>
      <c r="F103" s="4">
        <v>11940</v>
      </c>
      <c r="G103" s="1" t="s">
        <v>19</v>
      </c>
      <c r="H103" s="1" t="s">
        <v>185</v>
      </c>
      <c r="I103" s="1">
        <v>0</v>
      </c>
      <c r="J103" s="1">
        <v>2024</v>
      </c>
      <c r="K103" s="1">
        <v>94320510</v>
      </c>
      <c r="L103" s="7" t="str">
        <f t="shared" si="1"/>
        <v>30500008454202494320510</v>
      </c>
      <c r="M103" s="5">
        <v>1.5</v>
      </c>
      <c r="N103" s="5">
        <v>0</v>
      </c>
      <c r="O103" s="5">
        <v>0</v>
      </c>
      <c r="P103" s="5">
        <v>6752.35</v>
      </c>
      <c r="Q103" s="5">
        <v>0</v>
      </c>
      <c r="R103" s="1" t="s">
        <v>15</v>
      </c>
      <c r="S103" s="5">
        <v>0</v>
      </c>
      <c r="T103" t="e">
        <f>VLOOKUP(L103,'MIS COMPROBANTES'!E:Q,13,0)</f>
        <v>#N/A</v>
      </c>
    </row>
    <row r="104" spans="1:20" x14ac:dyDescent="0.3">
      <c r="A104" s="3">
        <v>45418</v>
      </c>
      <c r="B104" s="1" t="s">
        <v>186</v>
      </c>
      <c r="C104" s="1" t="s">
        <v>187</v>
      </c>
      <c r="D104" s="1" t="s">
        <v>18</v>
      </c>
      <c r="E104" s="1" t="s">
        <v>679</v>
      </c>
      <c r="F104" s="4">
        <v>11833</v>
      </c>
      <c r="G104" s="1" t="s">
        <v>19</v>
      </c>
      <c r="H104" s="1" t="s">
        <v>188</v>
      </c>
      <c r="I104" s="1" t="s">
        <v>757</v>
      </c>
      <c r="J104" s="1">
        <v>1</v>
      </c>
      <c r="K104" s="1">
        <v>471</v>
      </c>
      <c r="L104" s="7" t="str">
        <f t="shared" si="1"/>
        <v>337177102291471</v>
      </c>
      <c r="M104" s="5">
        <v>21</v>
      </c>
      <c r="N104" s="5">
        <v>0</v>
      </c>
      <c r="O104" s="5">
        <v>1420000</v>
      </c>
      <c r="P104" s="5">
        <v>298200</v>
      </c>
      <c r="Q104" s="5">
        <v>1718200</v>
      </c>
      <c r="R104" s="1" t="s">
        <v>15</v>
      </c>
      <c r="S104" s="5">
        <v>0</v>
      </c>
      <c r="T104">
        <f>VLOOKUP(L104,'MIS COMPROBANTES'!E:Q,13,0)</f>
        <v>1718200</v>
      </c>
    </row>
    <row r="105" spans="1:20" x14ac:dyDescent="0.3">
      <c r="A105" s="3">
        <v>45418</v>
      </c>
      <c r="B105" s="1" t="s">
        <v>189</v>
      </c>
      <c r="C105" s="1" t="s">
        <v>190</v>
      </c>
      <c r="D105" s="1" t="s">
        <v>18</v>
      </c>
      <c r="E105" s="1" t="s">
        <v>680</v>
      </c>
      <c r="F105" s="4">
        <v>11697</v>
      </c>
      <c r="G105" s="1" t="s">
        <v>19</v>
      </c>
      <c r="H105" s="1" t="s">
        <v>191</v>
      </c>
      <c r="I105" s="1" t="s">
        <v>757</v>
      </c>
      <c r="J105" s="1">
        <v>1</v>
      </c>
      <c r="K105" s="1">
        <v>787</v>
      </c>
      <c r="L105" s="7" t="str">
        <f t="shared" si="1"/>
        <v>307150480661787</v>
      </c>
      <c r="M105" s="5">
        <v>21</v>
      </c>
      <c r="N105" s="5">
        <v>0</v>
      </c>
      <c r="O105" s="5">
        <v>5181819.5</v>
      </c>
      <c r="P105" s="5">
        <v>1088182.1000000001</v>
      </c>
      <c r="Q105" s="5">
        <v>6270001.5999999996</v>
      </c>
      <c r="R105" s="1" t="s">
        <v>15</v>
      </c>
      <c r="S105" s="5">
        <v>0</v>
      </c>
      <c r="T105">
        <f>VLOOKUP(L105,'MIS COMPROBANTES'!E:Q,13,0)</f>
        <v>6270001.5999999996</v>
      </c>
    </row>
    <row r="106" spans="1:20" x14ac:dyDescent="0.3">
      <c r="A106" s="3">
        <v>45418</v>
      </c>
      <c r="B106" s="1" t="s">
        <v>192</v>
      </c>
      <c r="C106" s="1" t="s">
        <v>193</v>
      </c>
      <c r="D106" s="1" t="s">
        <v>18</v>
      </c>
      <c r="E106" s="1" t="s">
        <v>681</v>
      </c>
      <c r="F106" s="4">
        <v>11924</v>
      </c>
      <c r="G106" s="1" t="s">
        <v>19</v>
      </c>
      <c r="H106" s="1" t="s">
        <v>194</v>
      </c>
      <c r="I106" s="1" t="s">
        <v>757</v>
      </c>
      <c r="J106" s="1">
        <v>3</v>
      </c>
      <c r="K106" s="1">
        <v>1377</v>
      </c>
      <c r="L106" s="7" t="str">
        <f t="shared" si="1"/>
        <v>3071474643631377</v>
      </c>
      <c r="M106" s="5">
        <v>21</v>
      </c>
      <c r="N106" s="5">
        <v>0</v>
      </c>
      <c r="O106" s="5">
        <v>712500</v>
      </c>
      <c r="P106" s="5">
        <v>149625</v>
      </c>
      <c r="Q106" s="5">
        <v>862125</v>
      </c>
      <c r="R106" s="1" t="s">
        <v>15</v>
      </c>
      <c r="S106" s="5">
        <v>0</v>
      </c>
      <c r="T106">
        <f>VLOOKUP(L106,'MIS COMPROBANTES'!E:Q,13,0)</f>
        <v>862125</v>
      </c>
    </row>
    <row r="107" spans="1:20" x14ac:dyDescent="0.3">
      <c r="A107" s="3">
        <v>45418</v>
      </c>
      <c r="B107" s="1" t="s">
        <v>192</v>
      </c>
      <c r="C107" s="1" t="s">
        <v>193</v>
      </c>
      <c r="D107" s="1" t="s">
        <v>18</v>
      </c>
      <c r="E107" s="1" t="s">
        <v>681</v>
      </c>
      <c r="F107" s="4">
        <v>11925</v>
      </c>
      <c r="G107" s="1" t="s">
        <v>19</v>
      </c>
      <c r="H107" s="1" t="s">
        <v>195</v>
      </c>
      <c r="I107" s="1" t="s">
        <v>757</v>
      </c>
      <c r="J107" s="1">
        <v>3</v>
      </c>
      <c r="K107" s="1">
        <v>1378</v>
      </c>
      <c r="L107" s="7" t="str">
        <f t="shared" si="1"/>
        <v>3071474643631378</v>
      </c>
      <c r="M107" s="5">
        <v>21</v>
      </c>
      <c r="N107" s="5">
        <v>0</v>
      </c>
      <c r="O107" s="5">
        <v>2164976.44</v>
      </c>
      <c r="P107" s="5">
        <v>454645.05</v>
      </c>
      <c r="Q107" s="5">
        <v>2619621.4900000002</v>
      </c>
      <c r="R107" s="1" t="s">
        <v>15</v>
      </c>
      <c r="S107" s="5">
        <v>0</v>
      </c>
      <c r="T107">
        <f>VLOOKUP(L107,'MIS COMPROBANTES'!E:Q,13,0)</f>
        <v>2619621.4900000002</v>
      </c>
    </row>
    <row r="108" spans="1:20" x14ac:dyDescent="0.3">
      <c r="A108" s="3">
        <v>45418</v>
      </c>
      <c r="B108" s="1" t="s">
        <v>196</v>
      </c>
      <c r="C108" s="1" t="s">
        <v>197</v>
      </c>
      <c r="D108" s="1" t="s">
        <v>18</v>
      </c>
      <c r="E108" s="1" t="s">
        <v>682</v>
      </c>
      <c r="F108" s="4">
        <v>11865</v>
      </c>
      <c r="G108" s="1" t="s">
        <v>19</v>
      </c>
      <c r="H108" s="1" t="s">
        <v>198</v>
      </c>
      <c r="I108" s="1" t="s">
        <v>757</v>
      </c>
      <c r="J108" s="1">
        <v>115</v>
      </c>
      <c r="K108" s="1">
        <v>142226</v>
      </c>
      <c r="L108" s="7" t="str">
        <f t="shared" si="1"/>
        <v>30629646708115142226</v>
      </c>
      <c r="M108" s="5">
        <v>21</v>
      </c>
      <c r="N108" s="5">
        <v>0</v>
      </c>
      <c r="O108" s="5">
        <v>1792807.8</v>
      </c>
      <c r="P108" s="5">
        <v>376489.64</v>
      </c>
      <c r="Q108" s="5">
        <v>2312722.06</v>
      </c>
      <c r="R108" s="1" t="s">
        <v>15</v>
      </c>
      <c r="S108" s="5">
        <v>89640.39</v>
      </c>
      <c r="T108">
        <f>VLOOKUP(L108,'MIS COMPROBANTES'!E:Q,13,0)</f>
        <v>2312722.06</v>
      </c>
    </row>
    <row r="109" spans="1:20" x14ac:dyDescent="0.3">
      <c r="A109" s="3">
        <v>45418</v>
      </c>
      <c r="B109" s="1" t="s">
        <v>196</v>
      </c>
      <c r="C109" s="1" t="s">
        <v>197</v>
      </c>
      <c r="D109" s="1" t="s">
        <v>18</v>
      </c>
      <c r="E109" s="1" t="s">
        <v>682</v>
      </c>
      <c r="F109" s="4">
        <v>11865</v>
      </c>
      <c r="G109" s="1" t="s">
        <v>19</v>
      </c>
      <c r="H109" s="1" t="s">
        <v>198</v>
      </c>
      <c r="I109" s="1" t="s">
        <v>757</v>
      </c>
      <c r="J109" s="1">
        <v>115</v>
      </c>
      <c r="K109" s="1">
        <v>142226</v>
      </c>
      <c r="L109" s="7" t="str">
        <f t="shared" si="1"/>
        <v>30629646708115142226</v>
      </c>
      <c r="M109" s="5">
        <v>3</v>
      </c>
      <c r="N109" s="5">
        <v>0</v>
      </c>
      <c r="O109" s="5">
        <v>0</v>
      </c>
      <c r="P109" s="5">
        <v>53784.23</v>
      </c>
      <c r="Q109" s="5">
        <v>0</v>
      </c>
      <c r="R109" s="1" t="s">
        <v>15</v>
      </c>
      <c r="S109" s="5">
        <v>0</v>
      </c>
      <c r="T109">
        <f>VLOOKUP(L109,'MIS COMPROBANTES'!E:Q,13,0)</f>
        <v>2312722.06</v>
      </c>
    </row>
    <row r="110" spans="1:20" x14ac:dyDescent="0.3">
      <c r="A110" s="3">
        <v>45418</v>
      </c>
      <c r="B110" s="1" t="s">
        <v>196</v>
      </c>
      <c r="C110" s="1" t="s">
        <v>197</v>
      </c>
      <c r="D110" s="1" t="s">
        <v>18</v>
      </c>
      <c r="E110" s="1" t="s">
        <v>682</v>
      </c>
      <c r="F110" s="4">
        <v>11866</v>
      </c>
      <c r="G110" s="1" t="s">
        <v>19</v>
      </c>
      <c r="H110" s="1" t="s">
        <v>199</v>
      </c>
      <c r="I110" s="1" t="s">
        <v>757</v>
      </c>
      <c r="J110" s="1">
        <v>115</v>
      </c>
      <c r="K110" s="1">
        <v>142227</v>
      </c>
      <c r="L110" s="7" t="str">
        <f t="shared" si="1"/>
        <v>30629646708115142227</v>
      </c>
      <c r="M110" s="5">
        <v>10.5</v>
      </c>
      <c r="N110" s="5">
        <v>0</v>
      </c>
      <c r="O110" s="5">
        <v>169092.09</v>
      </c>
      <c r="P110" s="5">
        <v>17754.669999999998</v>
      </c>
      <c r="Q110" s="5">
        <v>191919.52</v>
      </c>
      <c r="R110" s="1" t="s">
        <v>15</v>
      </c>
      <c r="S110" s="5">
        <v>5072.76</v>
      </c>
      <c r="T110">
        <f>VLOOKUP(L110,'MIS COMPROBANTES'!E:Q,13,0)</f>
        <v>191919.52</v>
      </c>
    </row>
    <row r="111" spans="1:20" x14ac:dyDescent="0.3">
      <c r="A111" s="3">
        <v>45418</v>
      </c>
      <c r="B111" s="1" t="s">
        <v>196</v>
      </c>
      <c r="C111" s="1" t="s">
        <v>197</v>
      </c>
      <c r="D111" s="1" t="s">
        <v>18</v>
      </c>
      <c r="E111" s="1" t="s">
        <v>682</v>
      </c>
      <c r="F111" s="4">
        <v>11867</v>
      </c>
      <c r="G111" s="1" t="s">
        <v>19</v>
      </c>
      <c r="H111" s="1" t="s">
        <v>200</v>
      </c>
      <c r="I111" s="1" t="s">
        <v>757</v>
      </c>
      <c r="J111" s="1">
        <v>115</v>
      </c>
      <c r="K111" s="1">
        <v>142228</v>
      </c>
      <c r="L111" s="7" t="str">
        <f t="shared" si="1"/>
        <v>30629646708115142228</v>
      </c>
      <c r="M111" s="5">
        <v>21</v>
      </c>
      <c r="N111" s="5">
        <v>0</v>
      </c>
      <c r="O111" s="5">
        <v>659835.30000000005</v>
      </c>
      <c r="P111" s="5">
        <v>138565.41</v>
      </c>
      <c r="Q111" s="5">
        <v>851187.54</v>
      </c>
      <c r="R111" s="1" t="s">
        <v>15</v>
      </c>
      <c r="S111" s="5">
        <v>32991.769999999997</v>
      </c>
      <c r="T111">
        <f>VLOOKUP(L111,'MIS COMPROBANTES'!E:Q,13,0)</f>
        <v>851187.53</v>
      </c>
    </row>
    <row r="112" spans="1:20" x14ac:dyDescent="0.3">
      <c r="A112" s="3">
        <v>45418</v>
      </c>
      <c r="B112" s="1" t="s">
        <v>196</v>
      </c>
      <c r="C112" s="1" t="s">
        <v>197</v>
      </c>
      <c r="D112" s="1" t="s">
        <v>18</v>
      </c>
      <c r="E112" s="1" t="s">
        <v>682</v>
      </c>
      <c r="F112" s="4">
        <v>11867</v>
      </c>
      <c r="G112" s="1" t="s">
        <v>19</v>
      </c>
      <c r="H112" s="1" t="s">
        <v>200</v>
      </c>
      <c r="I112" s="1" t="s">
        <v>757</v>
      </c>
      <c r="J112" s="1">
        <v>115</v>
      </c>
      <c r="K112" s="1">
        <v>142228</v>
      </c>
      <c r="L112" s="7" t="str">
        <f t="shared" si="1"/>
        <v>30629646708115142228</v>
      </c>
      <c r="M112" s="5">
        <v>3</v>
      </c>
      <c r="N112" s="5">
        <v>0</v>
      </c>
      <c r="O112" s="5">
        <v>0</v>
      </c>
      <c r="P112" s="5">
        <v>19795.060000000001</v>
      </c>
      <c r="Q112" s="5">
        <v>0</v>
      </c>
      <c r="R112" s="1" t="s">
        <v>15</v>
      </c>
      <c r="S112" s="5">
        <v>0</v>
      </c>
      <c r="T112">
        <f>VLOOKUP(L112,'MIS COMPROBANTES'!E:Q,13,0)</f>
        <v>851187.53</v>
      </c>
    </row>
    <row r="113" spans="1:20" x14ac:dyDescent="0.3">
      <c r="A113" s="3">
        <v>45418</v>
      </c>
      <c r="B113" s="1" t="s">
        <v>201</v>
      </c>
      <c r="C113" s="1" t="s">
        <v>202</v>
      </c>
      <c r="D113" s="1" t="s">
        <v>18</v>
      </c>
      <c r="E113" s="1" t="s">
        <v>683</v>
      </c>
      <c r="F113" s="4">
        <v>12070</v>
      </c>
      <c r="G113" s="1" t="s">
        <v>19</v>
      </c>
      <c r="H113" s="1" t="s">
        <v>203</v>
      </c>
      <c r="I113" s="1" t="s">
        <v>757</v>
      </c>
      <c r="J113" s="1">
        <v>437</v>
      </c>
      <c r="K113" s="1">
        <v>1656983</v>
      </c>
      <c r="L113" s="7" t="str">
        <f t="shared" si="1"/>
        <v>305010926964371656983</v>
      </c>
      <c r="M113" s="5">
        <v>21</v>
      </c>
      <c r="N113" s="5">
        <v>0</v>
      </c>
      <c r="O113" s="5">
        <v>1523147.81</v>
      </c>
      <c r="P113" s="5">
        <v>319861.03999999998</v>
      </c>
      <c r="Q113" s="5">
        <v>1964860.67</v>
      </c>
      <c r="R113" s="1" t="s">
        <v>15</v>
      </c>
      <c r="S113" s="5">
        <v>76157.39</v>
      </c>
      <c r="T113">
        <f>VLOOKUP(L113,'MIS COMPROBANTES'!E:Q,13,0)</f>
        <v>1964860.67</v>
      </c>
    </row>
    <row r="114" spans="1:20" x14ac:dyDescent="0.3">
      <c r="A114" s="3">
        <v>45418</v>
      </c>
      <c r="B114" s="1" t="s">
        <v>201</v>
      </c>
      <c r="C114" s="1" t="s">
        <v>202</v>
      </c>
      <c r="D114" s="1" t="s">
        <v>18</v>
      </c>
      <c r="E114" s="1" t="s">
        <v>683</v>
      </c>
      <c r="F114" s="4">
        <v>12070</v>
      </c>
      <c r="G114" s="1" t="s">
        <v>19</v>
      </c>
      <c r="H114" s="1" t="s">
        <v>203</v>
      </c>
      <c r="I114" s="1" t="s">
        <v>757</v>
      </c>
      <c r="J114" s="1">
        <v>437</v>
      </c>
      <c r="K114" s="1">
        <v>1656983</v>
      </c>
      <c r="L114" s="7" t="str">
        <f t="shared" si="1"/>
        <v>305010926964371656983</v>
      </c>
      <c r="M114" s="5">
        <v>3</v>
      </c>
      <c r="N114" s="5">
        <v>0</v>
      </c>
      <c r="O114" s="5">
        <v>0</v>
      </c>
      <c r="P114" s="5">
        <v>45694.43</v>
      </c>
      <c r="Q114" s="5">
        <v>0</v>
      </c>
      <c r="R114" s="1" t="s">
        <v>15</v>
      </c>
      <c r="S114" s="5">
        <v>0</v>
      </c>
      <c r="T114">
        <f>VLOOKUP(L114,'MIS COMPROBANTES'!E:Q,13,0)</f>
        <v>1964860.67</v>
      </c>
    </row>
    <row r="115" spans="1:20" x14ac:dyDescent="0.3">
      <c r="A115" s="3">
        <v>45418</v>
      </c>
      <c r="B115" s="1" t="s">
        <v>201</v>
      </c>
      <c r="C115" s="1" t="s">
        <v>202</v>
      </c>
      <c r="D115" s="1" t="s">
        <v>18</v>
      </c>
      <c r="E115" s="1" t="s">
        <v>683</v>
      </c>
      <c r="F115" s="4">
        <v>11980</v>
      </c>
      <c r="G115" s="1" t="s">
        <v>19</v>
      </c>
      <c r="H115" s="1" t="s">
        <v>204</v>
      </c>
      <c r="I115" s="1" t="s">
        <v>757</v>
      </c>
      <c r="J115" s="1">
        <v>437</v>
      </c>
      <c r="K115" s="1">
        <v>1656984</v>
      </c>
      <c r="L115" s="7" t="str">
        <f t="shared" si="1"/>
        <v>305010926964371656984</v>
      </c>
      <c r="M115" s="5">
        <v>21</v>
      </c>
      <c r="N115" s="5">
        <v>0</v>
      </c>
      <c r="O115" s="5">
        <v>15596326.119999999</v>
      </c>
      <c r="P115" s="5">
        <v>3275228.49</v>
      </c>
      <c r="Q115" s="5">
        <v>20119260.690000001</v>
      </c>
      <c r="R115" s="1" t="s">
        <v>15</v>
      </c>
      <c r="S115" s="5">
        <v>779816.3</v>
      </c>
      <c r="T115">
        <f>VLOOKUP(L115,'MIS COMPROBANTES'!E:Q,13,0)</f>
        <v>20119260.690000001</v>
      </c>
    </row>
    <row r="116" spans="1:20" x14ac:dyDescent="0.3">
      <c r="A116" s="3">
        <v>45418</v>
      </c>
      <c r="B116" s="1" t="s">
        <v>201</v>
      </c>
      <c r="C116" s="1" t="s">
        <v>202</v>
      </c>
      <c r="D116" s="1" t="s">
        <v>18</v>
      </c>
      <c r="E116" s="1" t="s">
        <v>683</v>
      </c>
      <c r="F116" s="4">
        <v>11980</v>
      </c>
      <c r="G116" s="1" t="s">
        <v>19</v>
      </c>
      <c r="H116" s="1" t="s">
        <v>204</v>
      </c>
      <c r="I116" s="1" t="s">
        <v>757</v>
      </c>
      <c r="J116" s="1">
        <v>437</v>
      </c>
      <c r="K116" s="1">
        <v>1656984</v>
      </c>
      <c r="L116" s="7" t="str">
        <f t="shared" si="1"/>
        <v>305010926964371656984</v>
      </c>
      <c r="M116" s="5">
        <v>3</v>
      </c>
      <c r="N116" s="5">
        <v>0</v>
      </c>
      <c r="O116" s="5">
        <v>0</v>
      </c>
      <c r="P116" s="5">
        <v>467889.78</v>
      </c>
      <c r="Q116" s="5">
        <v>0</v>
      </c>
      <c r="R116" s="1" t="s">
        <v>15</v>
      </c>
      <c r="S116" s="5">
        <v>0</v>
      </c>
      <c r="T116">
        <f>VLOOKUP(L116,'MIS COMPROBANTES'!E:Q,13,0)</f>
        <v>20119260.690000001</v>
      </c>
    </row>
    <row r="117" spans="1:20" x14ac:dyDescent="0.3">
      <c r="A117" s="3">
        <v>45418</v>
      </c>
      <c r="B117" s="1" t="s">
        <v>201</v>
      </c>
      <c r="C117" s="1" t="s">
        <v>202</v>
      </c>
      <c r="D117" s="1" t="s">
        <v>18</v>
      </c>
      <c r="E117" s="1" t="s">
        <v>683</v>
      </c>
      <c r="F117" s="4">
        <v>12071</v>
      </c>
      <c r="G117" s="1" t="s">
        <v>19</v>
      </c>
      <c r="H117" s="1" t="s">
        <v>205</v>
      </c>
      <c r="I117" s="1" t="s">
        <v>757</v>
      </c>
      <c r="J117" s="1">
        <v>437</v>
      </c>
      <c r="K117" s="1">
        <v>1656985</v>
      </c>
      <c r="L117" s="7" t="str">
        <f t="shared" si="1"/>
        <v>305010926964371656985</v>
      </c>
      <c r="M117" s="5">
        <v>21</v>
      </c>
      <c r="N117" s="5">
        <v>0</v>
      </c>
      <c r="O117" s="5">
        <v>121851.82</v>
      </c>
      <c r="P117" s="5">
        <v>25588.880000000001</v>
      </c>
      <c r="Q117" s="5">
        <v>154751.79999999999</v>
      </c>
      <c r="R117" s="1" t="s">
        <v>15</v>
      </c>
      <c r="S117" s="5">
        <v>3655.55</v>
      </c>
      <c r="T117">
        <f>VLOOKUP(L117,'MIS COMPROBANTES'!E:Q,13,0)</f>
        <v>154751.79999999999</v>
      </c>
    </row>
    <row r="118" spans="1:20" x14ac:dyDescent="0.3">
      <c r="A118" s="3">
        <v>45418</v>
      </c>
      <c r="B118" s="1" t="s">
        <v>201</v>
      </c>
      <c r="C118" s="1" t="s">
        <v>202</v>
      </c>
      <c r="D118" s="1" t="s">
        <v>18</v>
      </c>
      <c r="E118" s="1" t="s">
        <v>683</v>
      </c>
      <c r="F118" s="4">
        <v>12071</v>
      </c>
      <c r="G118" s="1" t="s">
        <v>19</v>
      </c>
      <c r="H118" s="1" t="s">
        <v>205</v>
      </c>
      <c r="I118" s="1" t="s">
        <v>757</v>
      </c>
      <c r="J118" s="1">
        <v>437</v>
      </c>
      <c r="K118" s="1">
        <v>1656985</v>
      </c>
      <c r="L118" s="7" t="str">
        <f t="shared" si="1"/>
        <v>305010926964371656985</v>
      </c>
      <c r="M118" s="5">
        <v>3</v>
      </c>
      <c r="N118" s="5">
        <v>0</v>
      </c>
      <c r="O118" s="5">
        <v>0</v>
      </c>
      <c r="P118" s="5">
        <v>3655.55</v>
      </c>
      <c r="Q118" s="5">
        <v>0</v>
      </c>
      <c r="R118" s="1" t="s">
        <v>15</v>
      </c>
      <c r="S118" s="5">
        <v>0</v>
      </c>
      <c r="T118">
        <f>VLOOKUP(L118,'MIS COMPROBANTES'!E:Q,13,0)</f>
        <v>154751.79999999999</v>
      </c>
    </row>
    <row r="119" spans="1:20" x14ac:dyDescent="0.3">
      <c r="A119" s="3">
        <v>45418</v>
      </c>
      <c r="B119" s="1" t="s">
        <v>201</v>
      </c>
      <c r="C119" s="1" t="s">
        <v>202</v>
      </c>
      <c r="D119" s="1" t="s">
        <v>18</v>
      </c>
      <c r="E119" s="1" t="s">
        <v>683</v>
      </c>
      <c r="F119" s="4">
        <v>12039</v>
      </c>
      <c r="G119" s="1" t="s">
        <v>19</v>
      </c>
      <c r="H119" s="1" t="s">
        <v>206</v>
      </c>
      <c r="I119" s="1" t="s">
        <v>757</v>
      </c>
      <c r="J119" s="1">
        <v>437</v>
      </c>
      <c r="K119" s="1">
        <v>1656986</v>
      </c>
      <c r="L119" s="7" t="str">
        <f t="shared" si="1"/>
        <v>305010926964371656986</v>
      </c>
      <c r="M119" s="5">
        <v>21</v>
      </c>
      <c r="N119" s="5">
        <v>0</v>
      </c>
      <c r="O119" s="5">
        <v>1347221.64</v>
      </c>
      <c r="P119" s="5">
        <v>282916.53999999998</v>
      </c>
      <c r="Q119" s="5">
        <v>1737915.91</v>
      </c>
      <c r="R119" s="1" t="s">
        <v>15</v>
      </c>
      <c r="S119" s="5">
        <v>67361.08</v>
      </c>
      <c r="T119">
        <f>VLOOKUP(L119,'MIS COMPROBANTES'!E:Q,13,0)</f>
        <v>1737915.91</v>
      </c>
    </row>
    <row r="120" spans="1:20" x14ac:dyDescent="0.3">
      <c r="A120" s="3">
        <v>45418</v>
      </c>
      <c r="B120" s="1" t="s">
        <v>201</v>
      </c>
      <c r="C120" s="1" t="s">
        <v>202</v>
      </c>
      <c r="D120" s="1" t="s">
        <v>18</v>
      </c>
      <c r="E120" s="1" t="s">
        <v>683</v>
      </c>
      <c r="F120" s="4">
        <v>12039</v>
      </c>
      <c r="G120" s="1" t="s">
        <v>19</v>
      </c>
      <c r="H120" s="1" t="s">
        <v>206</v>
      </c>
      <c r="I120" s="1" t="s">
        <v>757</v>
      </c>
      <c r="J120" s="1">
        <v>437</v>
      </c>
      <c r="K120" s="1">
        <v>1656986</v>
      </c>
      <c r="L120" s="7" t="str">
        <f t="shared" si="1"/>
        <v>305010926964371656986</v>
      </c>
      <c r="M120" s="5">
        <v>3</v>
      </c>
      <c r="N120" s="5">
        <v>0</v>
      </c>
      <c r="O120" s="5">
        <v>0</v>
      </c>
      <c r="P120" s="5">
        <v>40416.65</v>
      </c>
      <c r="Q120" s="5">
        <v>0</v>
      </c>
      <c r="R120" s="1" t="s">
        <v>15</v>
      </c>
      <c r="S120" s="5">
        <v>0</v>
      </c>
      <c r="T120">
        <f>VLOOKUP(L120,'MIS COMPROBANTES'!E:Q,13,0)</f>
        <v>1737915.91</v>
      </c>
    </row>
    <row r="121" spans="1:20" x14ac:dyDescent="0.3">
      <c r="A121" s="3">
        <v>45418</v>
      </c>
      <c r="B121" s="1" t="s">
        <v>201</v>
      </c>
      <c r="C121" s="1" t="s">
        <v>202</v>
      </c>
      <c r="D121" s="1" t="s">
        <v>18</v>
      </c>
      <c r="E121" s="1" t="s">
        <v>683</v>
      </c>
      <c r="F121" s="4">
        <v>12040</v>
      </c>
      <c r="G121" s="1" t="s">
        <v>19</v>
      </c>
      <c r="H121" s="1" t="s">
        <v>207</v>
      </c>
      <c r="I121" s="1" t="s">
        <v>757</v>
      </c>
      <c r="J121" s="1">
        <v>437</v>
      </c>
      <c r="K121" s="1">
        <v>1656987</v>
      </c>
      <c r="L121" s="7" t="str">
        <f t="shared" si="1"/>
        <v>305010926964371656987</v>
      </c>
      <c r="M121" s="5">
        <v>21</v>
      </c>
      <c r="N121" s="5">
        <v>0</v>
      </c>
      <c r="O121" s="5">
        <v>2176281.12</v>
      </c>
      <c r="P121" s="5">
        <v>457019.04</v>
      </c>
      <c r="Q121" s="5">
        <v>2807402.64</v>
      </c>
      <c r="R121" s="1" t="s">
        <v>15</v>
      </c>
      <c r="S121" s="5">
        <v>108814.05</v>
      </c>
      <c r="T121">
        <f>VLOOKUP(L121,'MIS COMPROBANTES'!E:Q,13,0)</f>
        <v>2807402.64</v>
      </c>
    </row>
    <row r="122" spans="1:20" x14ac:dyDescent="0.3">
      <c r="A122" s="3">
        <v>45418</v>
      </c>
      <c r="B122" s="1" t="s">
        <v>201</v>
      </c>
      <c r="C122" s="1" t="s">
        <v>202</v>
      </c>
      <c r="D122" s="1" t="s">
        <v>18</v>
      </c>
      <c r="E122" s="1" t="s">
        <v>683</v>
      </c>
      <c r="F122" s="4">
        <v>12040</v>
      </c>
      <c r="G122" s="1" t="s">
        <v>19</v>
      </c>
      <c r="H122" s="1" t="s">
        <v>207</v>
      </c>
      <c r="I122" s="1" t="s">
        <v>757</v>
      </c>
      <c r="J122" s="1">
        <v>437</v>
      </c>
      <c r="K122" s="1">
        <v>1656987</v>
      </c>
      <c r="L122" s="7" t="str">
        <f t="shared" si="1"/>
        <v>305010926964371656987</v>
      </c>
      <c r="M122" s="5">
        <v>3</v>
      </c>
      <c r="N122" s="5">
        <v>0</v>
      </c>
      <c r="O122" s="5">
        <v>0</v>
      </c>
      <c r="P122" s="5">
        <v>65288.43</v>
      </c>
      <c r="Q122" s="5">
        <v>0</v>
      </c>
      <c r="R122" s="1" t="s">
        <v>15</v>
      </c>
      <c r="S122" s="5">
        <v>0</v>
      </c>
      <c r="T122">
        <f>VLOOKUP(L122,'MIS COMPROBANTES'!E:Q,13,0)</f>
        <v>2807402.64</v>
      </c>
    </row>
    <row r="123" spans="1:20" x14ac:dyDescent="0.3">
      <c r="A123" s="3">
        <v>45418</v>
      </c>
      <c r="B123" s="1" t="s">
        <v>64</v>
      </c>
      <c r="C123" s="1" t="s">
        <v>65</v>
      </c>
      <c r="D123" s="1" t="s">
        <v>18</v>
      </c>
      <c r="E123" s="1" t="s">
        <v>647</v>
      </c>
      <c r="F123" s="4">
        <v>11891</v>
      </c>
      <c r="G123" s="1" t="s">
        <v>19</v>
      </c>
      <c r="H123" s="1" t="s">
        <v>208</v>
      </c>
      <c r="I123" s="1" t="s">
        <v>757</v>
      </c>
      <c r="J123" s="1">
        <v>2002</v>
      </c>
      <c r="K123" s="1">
        <v>285926</v>
      </c>
      <c r="L123" s="7" t="str">
        <f t="shared" si="1"/>
        <v>305007682622002285926</v>
      </c>
      <c r="M123" s="5">
        <v>21</v>
      </c>
      <c r="N123" s="5">
        <v>0</v>
      </c>
      <c r="O123" s="5">
        <v>4496250</v>
      </c>
      <c r="P123" s="5">
        <v>944212.5</v>
      </c>
      <c r="Q123" s="5">
        <v>5800162.5</v>
      </c>
      <c r="R123" s="1" t="s">
        <v>15</v>
      </c>
      <c r="S123" s="5">
        <v>224812.5</v>
      </c>
      <c r="T123">
        <f>VLOOKUP(L123,'MIS COMPROBANTES'!E:Q,13,0)</f>
        <v>5800162.5</v>
      </c>
    </row>
    <row r="124" spans="1:20" x14ac:dyDescent="0.3">
      <c r="A124" s="3">
        <v>45418</v>
      </c>
      <c r="B124" s="1" t="s">
        <v>64</v>
      </c>
      <c r="C124" s="1" t="s">
        <v>65</v>
      </c>
      <c r="D124" s="1" t="s">
        <v>18</v>
      </c>
      <c r="E124" s="1" t="s">
        <v>647</v>
      </c>
      <c r="F124" s="4">
        <v>11891</v>
      </c>
      <c r="G124" s="1" t="s">
        <v>19</v>
      </c>
      <c r="H124" s="1" t="s">
        <v>208</v>
      </c>
      <c r="I124" s="1" t="s">
        <v>757</v>
      </c>
      <c r="J124" s="1">
        <v>2002</v>
      </c>
      <c r="K124" s="1">
        <v>285926</v>
      </c>
      <c r="L124" s="7" t="str">
        <f t="shared" si="1"/>
        <v>305007682622002285926</v>
      </c>
      <c r="M124" s="5">
        <v>3</v>
      </c>
      <c r="N124" s="5">
        <v>0</v>
      </c>
      <c r="O124" s="5">
        <v>0</v>
      </c>
      <c r="P124" s="5">
        <v>134887.5</v>
      </c>
      <c r="Q124" s="5">
        <v>0</v>
      </c>
      <c r="R124" s="1" t="s">
        <v>15</v>
      </c>
      <c r="S124" s="5">
        <v>0</v>
      </c>
      <c r="T124">
        <f>VLOOKUP(L124,'MIS COMPROBANTES'!E:Q,13,0)</f>
        <v>5800162.5</v>
      </c>
    </row>
    <row r="125" spans="1:20" x14ac:dyDescent="0.3">
      <c r="A125" s="3">
        <v>45418</v>
      </c>
      <c r="B125" s="1" t="s">
        <v>209</v>
      </c>
      <c r="C125" s="1" t="s">
        <v>210</v>
      </c>
      <c r="D125" s="1" t="s">
        <v>18</v>
      </c>
      <c r="E125" s="1" t="s">
        <v>684</v>
      </c>
      <c r="F125" s="4">
        <v>11885</v>
      </c>
      <c r="G125" s="1" t="s">
        <v>19</v>
      </c>
      <c r="H125" s="1" t="s">
        <v>211</v>
      </c>
      <c r="I125" s="1" t="s">
        <v>757</v>
      </c>
      <c r="J125" s="1">
        <v>2038</v>
      </c>
      <c r="K125" s="1">
        <v>7152</v>
      </c>
      <c r="L125" s="7" t="str">
        <f t="shared" si="1"/>
        <v>3051618667020387152</v>
      </c>
      <c r="M125" s="5">
        <v>21</v>
      </c>
      <c r="N125" s="5">
        <v>6229.1</v>
      </c>
      <c r="O125" s="5">
        <v>70070.78</v>
      </c>
      <c r="P125" s="5">
        <v>14714.86</v>
      </c>
      <c r="Q125" s="5">
        <v>96910.83</v>
      </c>
      <c r="R125" s="1" t="s">
        <v>15</v>
      </c>
      <c r="S125" s="5">
        <v>3793.97</v>
      </c>
      <c r="T125" t="e">
        <f>VLOOKUP(L125,'MIS COMPROBANTES'!E:Q,13,0)</f>
        <v>#N/A</v>
      </c>
    </row>
    <row r="126" spans="1:20" x14ac:dyDescent="0.3">
      <c r="A126" s="3">
        <v>45418</v>
      </c>
      <c r="B126" s="1" t="s">
        <v>209</v>
      </c>
      <c r="C126" s="1" t="s">
        <v>210</v>
      </c>
      <c r="D126" s="1" t="s">
        <v>18</v>
      </c>
      <c r="E126" s="1" t="s">
        <v>684</v>
      </c>
      <c r="F126" s="4">
        <v>11885</v>
      </c>
      <c r="G126" s="1" t="s">
        <v>19</v>
      </c>
      <c r="H126" s="1" t="s">
        <v>211</v>
      </c>
      <c r="I126" s="1" t="s">
        <v>757</v>
      </c>
      <c r="J126" s="1">
        <v>2038</v>
      </c>
      <c r="K126" s="1">
        <v>7152</v>
      </c>
      <c r="L126" s="7" t="str">
        <f t="shared" si="1"/>
        <v>3051618667020387152</v>
      </c>
      <c r="M126" s="5">
        <v>3</v>
      </c>
      <c r="N126" s="5">
        <v>0</v>
      </c>
      <c r="O126" s="5">
        <v>0</v>
      </c>
      <c r="P126" s="5">
        <v>2102.12</v>
      </c>
      <c r="Q126" s="5">
        <v>0</v>
      </c>
      <c r="R126" s="1" t="s">
        <v>15</v>
      </c>
      <c r="S126" s="5">
        <v>0</v>
      </c>
      <c r="T126" t="e">
        <f>VLOOKUP(L126,'MIS COMPROBANTES'!E:Q,13,0)</f>
        <v>#N/A</v>
      </c>
    </row>
    <row r="127" spans="1:20" x14ac:dyDescent="0.3">
      <c r="A127" s="3">
        <v>45418</v>
      </c>
      <c r="B127" s="1" t="s">
        <v>212</v>
      </c>
      <c r="C127" s="1" t="s">
        <v>213</v>
      </c>
      <c r="D127" s="1" t="s">
        <v>102</v>
      </c>
      <c r="E127" s="1" t="s">
        <v>685</v>
      </c>
      <c r="F127" s="4">
        <v>11691</v>
      </c>
      <c r="G127" s="1" t="s">
        <v>19</v>
      </c>
      <c r="H127" s="1" t="s">
        <v>214</v>
      </c>
      <c r="I127" s="1" t="s">
        <v>758</v>
      </c>
      <c r="J127" s="1">
        <v>1</v>
      </c>
      <c r="K127" s="1">
        <v>30</v>
      </c>
      <c r="L127" s="7" t="str">
        <f t="shared" si="1"/>
        <v>20345349600130</v>
      </c>
      <c r="M127" s="5">
        <v>0</v>
      </c>
      <c r="N127" s="5">
        <v>750900</v>
      </c>
      <c r="O127" s="5">
        <v>0</v>
      </c>
      <c r="P127" s="5">
        <v>0</v>
      </c>
      <c r="Q127" s="5">
        <v>750900</v>
      </c>
      <c r="R127" s="1" t="s">
        <v>15</v>
      </c>
      <c r="S127" s="5">
        <v>0</v>
      </c>
      <c r="T127">
        <f>VLOOKUP(L127,'MIS COMPROBANTES'!E:Q,13,0)</f>
        <v>750900</v>
      </c>
    </row>
    <row r="128" spans="1:20" x14ac:dyDescent="0.3">
      <c r="A128" s="3">
        <v>45419</v>
      </c>
      <c r="B128" s="1" t="s">
        <v>44</v>
      </c>
      <c r="C128" s="1" t="s">
        <v>45</v>
      </c>
      <c r="D128" s="1" t="s">
        <v>18</v>
      </c>
      <c r="E128" s="1" t="s">
        <v>641</v>
      </c>
      <c r="F128" s="4">
        <v>11829</v>
      </c>
      <c r="G128" s="1" t="s">
        <v>19</v>
      </c>
      <c r="H128" s="1" t="s">
        <v>215</v>
      </c>
      <c r="I128" s="1">
        <v>0</v>
      </c>
      <c r="J128" s="1">
        <v>2024</v>
      </c>
      <c r="K128" s="1">
        <v>90000201</v>
      </c>
      <c r="L128" s="7" t="str">
        <f t="shared" si="1"/>
        <v>30500008454202490000201</v>
      </c>
      <c r="M128" s="5">
        <v>10.5</v>
      </c>
      <c r="N128" s="5">
        <v>11972.41</v>
      </c>
      <c r="O128" s="5">
        <v>312978.87</v>
      </c>
      <c r="P128" s="5">
        <v>32862.78</v>
      </c>
      <c r="Q128" s="5">
        <v>368727.41</v>
      </c>
      <c r="R128" s="1" t="s">
        <v>15</v>
      </c>
      <c r="S128" s="5">
        <v>6236.2</v>
      </c>
      <c r="T128" t="e">
        <f>VLOOKUP(L128,'MIS COMPROBANTES'!E:Q,13,0)</f>
        <v>#N/A</v>
      </c>
    </row>
    <row r="129" spans="1:20" x14ac:dyDescent="0.3">
      <c r="A129" s="3">
        <v>45419</v>
      </c>
      <c r="B129" s="1" t="s">
        <v>44</v>
      </c>
      <c r="C129" s="1" t="s">
        <v>45</v>
      </c>
      <c r="D129" s="1" t="s">
        <v>18</v>
      </c>
      <c r="E129" s="1" t="s">
        <v>641</v>
      </c>
      <c r="F129" s="4">
        <v>11829</v>
      </c>
      <c r="G129" s="1" t="s">
        <v>19</v>
      </c>
      <c r="H129" s="1" t="s">
        <v>215</v>
      </c>
      <c r="I129" s="1">
        <v>0</v>
      </c>
      <c r="J129" s="1">
        <v>2024</v>
      </c>
      <c r="K129" s="1">
        <v>90000201</v>
      </c>
      <c r="L129" s="7" t="str">
        <f t="shared" si="1"/>
        <v>30500008454202490000201</v>
      </c>
      <c r="M129" s="5">
        <v>1.5</v>
      </c>
      <c r="N129" s="5">
        <v>0</v>
      </c>
      <c r="O129" s="5">
        <v>0</v>
      </c>
      <c r="P129" s="5">
        <v>4677.1499999999996</v>
      </c>
      <c r="Q129" s="5">
        <v>0</v>
      </c>
      <c r="R129" s="1" t="s">
        <v>15</v>
      </c>
      <c r="S129" s="5">
        <v>0</v>
      </c>
      <c r="T129" t="e">
        <f>VLOOKUP(L129,'MIS COMPROBANTES'!E:Q,13,0)</f>
        <v>#N/A</v>
      </c>
    </row>
    <row r="130" spans="1:20" x14ac:dyDescent="0.3">
      <c r="A130" s="3">
        <v>45419</v>
      </c>
      <c r="B130" s="1" t="s">
        <v>44</v>
      </c>
      <c r="C130" s="1" t="s">
        <v>45</v>
      </c>
      <c r="D130" s="1" t="s">
        <v>18</v>
      </c>
      <c r="E130" s="1" t="s">
        <v>641</v>
      </c>
      <c r="F130" s="4">
        <v>11830</v>
      </c>
      <c r="G130" s="1" t="s">
        <v>19</v>
      </c>
      <c r="H130" s="1" t="s">
        <v>216</v>
      </c>
      <c r="I130" s="1">
        <v>0</v>
      </c>
      <c r="J130" s="1">
        <v>2024</v>
      </c>
      <c r="K130" s="1">
        <v>90017101</v>
      </c>
      <c r="L130" s="7" t="str">
        <f t="shared" si="1"/>
        <v>30500008454202490017101</v>
      </c>
      <c r="M130" s="5">
        <v>10.5</v>
      </c>
      <c r="N130" s="5">
        <v>1160.81</v>
      </c>
      <c r="O130" s="5">
        <v>30345.85</v>
      </c>
      <c r="P130" s="5">
        <v>3186.33</v>
      </c>
      <c r="Q130" s="5">
        <v>34839.58</v>
      </c>
      <c r="R130" s="1" t="s">
        <v>15</v>
      </c>
      <c r="S130" s="5">
        <v>146.59</v>
      </c>
      <c r="T130" t="e">
        <f>VLOOKUP(L130,'MIS COMPROBANTES'!E:Q,13,0)</f>
        <v>#N/A</v>
      </c>
    </row>
    <row r="131" spans="1:20" x14ac:dyDescent="0.3">
      <c r="A131" s="3">
        <v>45419</v>
      </c>
      <c r="B131" s="1" t="s">
        <v>44</v>
      </c>
      <c r="C131" s="1" t="s">
        <v>45</v>
      </c>
      <c r="D131" s="1" t="s">
        <v>18</v>
      </c>
      <c r="E131" s="1" t="s">
        <v>641</v>
      </c>
      <c r="F131" s="4">
        <v>11944</v>
      </c>
      <c r="G131" s="1" t="s">
        <v>19</v>
      </c>
      <c r="H131" s="1" t="s">
        <v>217</v>
      </c>
      <c r="I131" s="1">
        <v>0</v>
      </c>
      <c r="J131" s="1">
        <v>2024</v>
      </c>
      <c r="K131" s="1">
        <v>93760211</v>
      </c>
      <c r="L131" s="7" t="str">
        <f t="shared" ref="L131:L194" si="2">CONCATENATE(E131,J131,K131)</f>
        <v>30500008454202493760211</v>
      </c>
      <c r="M131" s="5">
        <v>10.5</v>
      </c>
      <c r="N131" s="5">
        <v>1114468.21</v>
      </c>
      <c r="O131" s="5">
        <v>169003.44</v>
      </c>
      <c r="P131" s="5">
        <v>17745.36</v>
      </c>
      <c r="Q131" s="5">
        <v>1307132.1299999999</v>
      </c>
      <c r="R131" s="1" t="s">
        <v>15</v>
      </c>
      <c r="S131" s="5">
        <v>3380.07</v>
      </c>
      <c r="T131" t="e">
        <f>VLOOKUP(L131,'MIS COMPROBANTES'!E:Q,13,0)</f>
        <v>#N/A</v>
      </c>
    </row>
    <row r="132" spans="1:20" x14ac:dyDescent="0.3">
      <c r="A132" s="3">
        <v>45419</v>
      </c>
      <c r="B132" s="1" t="s">
        <v>44</v>
      </c>
      <c r="C132" s="1" t="s">
        <v>45</v>
      </c>
      <c r="D132" s="1" t="s">
        <v>18</v>
      </c>
      <c r="E132" s="1" t="s">
        <v>641</v>
      </c>
      <c r="F132" s="4">
        <v>11944</v>
      </c>
      <c r="G132" s="1" t="s">
        <v>19</v>
      </c>
      <c r="H132" s="1" t="s">
        <v>217</v>
      </c>
      <c r="I132" s="1">
        <v>0</v>
      </c>
      <c r="J132" s="1">
        <v>2024</v>
      </c>
      <c r="K132" s="1">
        <v>93760211</v>
      </c>
      <c r="L132" s="7" t="str">
        <f t="shared" si="2"/>
        <v>30500008454202493760211</v>
      </c>
      <c r="M132" s="5">
        <v>1.5</v>
      </c>
      <c r="N132" s="5">
        <v>0</v>
      </c>
      <c r="O132" s="5">
        <v>0</v>
      </c>
      <c r="P132" s="5">
        <v>2535.0500000000002</v>
      </c>
      <c r="Q132" s="5">
        <v>0</v>
      </c>
      <c r="R132" s="1" t="s">
        <v>15</v>
      </c>
      <c r="S132" s="5">
        <v>0</v>
      </c>
      <c r="T132" t="e">
        <f>VLOOKUP(L132,'MIS COMPROBANTES'!E:Q,13,0)</f>
        <v>#N/A</v>
      </c>
    </row>
    <row r="133" spans="1:20" x14ac:dyDescent="0.3">
      <c r="A133" s="3">
        <v>45419</v>
      </c>
      <c r="B133" s="1" t="s">
        <v>218</v>
      </c>
      <c r="C133" s="1" t="s">
        <v>219</v>
      </c>
      <c r="D133" s="1" t="s">
        <v>18</v>
      </c>
      <c r="E133" s="1" t="s">
        <v>686</v>
      </c>
      <c r="F133" s="4">
        <v>11853</v>
      </c>
      <c r="G133" s="1" t="s">
        <v>19</v>
      </c>
      <c r="H133" s="1" t="s">
        <v>220</v>
      </c>
      <c r="I133" s="1" t="s">
        <v>757</v>
      </c>
      <c r="J133" s="1">
        <v>1</v>
      </c>
      <c r="K133" s="1">
        <v>2351</v>
      </c>
      <c r="L133" s="7" t="str">
        <f t="shared" si="2"/>
        <v>3071616110912351</v>
      </c>
      <c r="M133" s="5">
        <v>21</v>
      </c>
      <c r="N133" s="5">
        <v>0</v>
      </c>
      <c r="O133" s="5">
        <v>1281940</v>
      </c>
      <c r="P133" s="5">
        <v>269207.40000000002</v>
      </c>
      <c r="Q133" s="5">
        <v>1551147.4</v>
      </c>
      <c r="R133" s="1" t="s">
        <v>15</v>
      </c>
      <c r="S133" s="5">
        <v>0</v>
      </c>
      <c r="T133">
        <f>VLOOKUP(L133,'MIS COMPROBANTES'!E:Q,13,0)</f>
        <v>1551147.4</v>
      </c>
    </row>
    <row r="134" spans="1:20" x14ac:dyDescent="0.3">
      <c r="A134" s="3">
        <v>45419</v>
      </c>
      <c r="B134" s="1" t="s">
        <v>221</v>
      </c>
      <c r="C134" s="1" t="s">
        <v>222</v>
      </c>
      <c r="D134" s="1" t="s">
        <v>18</v>
      </c>
      <c r="E134" s="1" t="s">
        <v>687</v>
      </c>
      <c r="F134" s="4">
        <v>12075</v>
      </c>
      <c r="G134" s="1" t="s">
        <v>19</v>
      </c>
      <c r="H134" s="1" t="s">
        <v>223</v>
      </c>
      <c r="I134" s="1" t="s">
        <v>757</v>
      </c>
      <c r="J134" s="1">
        <v>3</v>
      </c>
      <c r="K134" s="1">
        <v>5174</v>
      </c>
      <c r="L134" s="7" t="str">
        <f t="shared" si="2"/>
        <v>3070848113735174</v>
      </c>
      <c r="M134" s="5">
        <v>21</v>
      </c>
      <c r="N134" s="5">
        <v>0</v>
      </c>
      <c r="O134" s="5">
        <v>269972.45</v>
      </c>
      <c r="P134" s="5">
        <v>56694.21</v>
      </c>
      <c r="Q134" s="5">
        <v>334765.83</v>
      </c>
      <c r="R134" s="1" t="s">
        <v>15</v>
      </c>
      <c r="S134" s="5">
        <v>0</v>
      </c>
      <c r="T134">
        <f>VLOOKUP(L134,'MIS COMPROBANTES'!E:Q,13,0)</f>
        <v>334765.83</v>
      </c>
    </row>
    <row r="135" spans="1:20" x14ac:dyDescent="0.3">
      <c r="A135" s="3">
        <v>45419</v>
      </c>
      <c r="B135" s="1" t="s">
        <v>221</v>
      </c>
      <c r="C135" s="1" t="s">
        <v>222</v>
      </c>
      <c r="D135" s="1" t="s">
        <v>18</v>
      </c>
      <c r="E135" s="1" t="s">
        <v>687</v>
      </c>
      <c r="F135" s="4">
        <v>12075</v>
      </c>
      <c r="G135" s="1" t="s">
        <v>19</v>
      </c>
      <c r="H135" s="1" t="s">
        <v>223</v>
      </c>
      <c r="I135" s="1" t="s">
        <v>757</v>
      </c>
      <c r="J135" s="1">
        <v>3</v>
      </c>
      <c r="K135" s="1">
        <v>5174</v>
      </c>
      <c r="L135" s="7" t="str">
        <f t="shared" si="2"/>
        <v>3070848113735174</v>
      </c>
      <c r="M135" s="5">
        <v>3</v>
      </c>
      <c r="N135" s="5">
        <v>0</v>
      </c>
      <c r="O135" s="5">
        <v>0</v>
      </c>
      <c r="P135" s="5">
        <v>8099.17</v>
      </c>
      <c r="Q135" s="5">
        <v>0</v>
      </c>
      <c r="R135" s="1" t="s">
        <v>15</v>
      </c>
      <c r="S135" s="5">
        <v>0</v>
      </c>
      <c r="T135">
        <f>VLOOKUP(L135,'MIS COMPROBANTES'!E:Q,13,0)</f>
        <v>334765.83</v>
      </c>
    </row>
    <row r="136" spans="1:20" x14ac:dyDescent="0.3">
      <c r="A136" s="3">
        <v>45419</v>
      </c>
      <c r="B136" s="1" t="s">
        <v>70</v>
      </c>
      <c r="C136" s="1" t="s">
        <v>71</v>
      </c>
      <c r="D136" s="1" t="s">
        <v>18</v>
      </c>
      <c r="E136" s="1" t="s">
        <v>649</v>
      </c>
      <c r="F136" s="4">
        <v>11804</v>
      </c>
      <c r="G136" s="1" t="s">
        <v>19</v>
      </c>
      <c r="H136" s="1" t="s">
        <v>224</v>
      </c>
      <c r="I136" s="1" t="s">
        <v>757</v>
      </c>
      <c r="J136" s="1">
        <v>3</v>
      </c>
      <c r="K136" s="1">
        <v>100365</v>
      </c>
      <c r="L136" s="7" t="str">
        <f t="shared" si="2"/>
        <v>307039574783100365</v>
      </c>
      <c r="M136" s="5">
        <v>21</v>
      </c>
      <c r="N136" s="5">
        <v>0</v>
      </c>
      <c r="O136" s="5">
        <v>1520419.6</v>
      </c>
      <c r="P136" s="5">
        <v>319288.11</v>
      </c>
      <c r="Q136" s="5">
        <v>1870116.1</v>
      </c>
      <c r="R136" s="1" t="s">
        <v>15</v>
      </c>
      <c r="S136" s="5">
        <v>30408.39</v>
      </c>
      <c r="T136">
        <f>VLOOKUP(L136,'MIS COMPROBANTES'!E:Q,13,0)</f>
        <v>1870116.1</v>
      </c>
    </row>
    <row r="137" spans="1:20" x14ac:dyDescent="0.3">
      <c r="A137" s="3">
        <v>45419</v>
      </c>
      <c r="B137" s="1" t="s">
        <v>225</v>
      </c>
      <c r="C137" s="1" t="s">
        <v>226</v>
      </c>
      <c r="D137" s="1" t="s">
        <v>18</v>
      </c>
      <c r="E137" s="1" t="s">
        <v>688</v>
      </c>
      <c r="F137" s="4">
        <v>11854</v>
      </c>
      <c r="G137" s="1" t="s">
        <v>19</v>
      </c>
      <c r="H137" s="1" t="s">
        <v>227</v>
      </c>
      <c r="I137" s="1" t="s">
        <v>757</v>
      </c>
      <c r="J137" s="1">
        <v>14</v>
      </c>
      <c r="K137" s="1">
        <v>66144</v>
      </c>
      <c r="L137" s="7" t="str">
        <f t="shared" si="2"/>
        <v>306026087901466144</v>
      </c>
      <c r="M137" s="5">
        <v>21</v>
      </c>
      <c r="N137" s="5">
        <v>0</v>
      </c>
      <c r="O137" s="5">
        <v>950170.2</v>
      </c>
      <c r="P137" s="5">
        <v>199535.74</v>
      </c>
      <c r="Q137" s="5">
        <v>1201965.31</v>
      </c>
      <c r="R137" s="1" t="s">
        <v>15</v>
      </c>
      <c r="S137" s="5">
        <v>52259.37</v>
      </c>
      <c r="T137">
        <f>VLOOKUP(L137,'MIS COMPROBANTES'!E:Q,13,0)</f>
        <v>1201965.31</v>
      </c>
    </row>
    <row r="138" spans="1:20" x14ac:dyDescent="0.3">
      <c r="A138" s="3">
        <v>45419</v>
      </c>
      <c r="B138" s="1" t="s">
        <v>225</v>
      </c>
      <c r="C138" s="1" t="s">
        <v>226</v>
      </c>
      <c r="D138" s="1" t="s">
        <v>18</v>
      </c>
      <c r="E138" s="1" t="s">
        <v>688</v>
      </c>
      <c r="F138" s="4">
        <v>11855</v>
      </c>
      <c r="G138" s="1" t="s">
        <v>19</v>
      </c>
      <c r="H138" s="1" t="s">
        <v>228</v>
      </c>
      <c r="I138" s="1" t="s">
        <v>757</v>
      </c>
      <c r="J138" s="1">
        <v>14</v>
      </c>
      <c r="K138" s="1">
        <v>66145</v>
      </c>
      <c r="L138" s="7" t="str">
        <f t="shared" si="2"/>
        <v>306026087901466145</v>
      </c>
      <c r="M138" s="5">
        <v>21</v>
      </c>
      <c r="N138" s="5">
        <v>0</v>
      </c>
      <c r="O138" s="5">
        <v>482191.61</v>
      </c>
      <c r="P138" s="5">
        <v>101260.24</v>
      </c>
      <c r="Q138" s="5">
        <v>609972.39</v>
      </c>
      <c r="R138" s="1" t="s">
        <v>15</v>
      </c>
      <c r="S138" s="5">
        <v>26520.54</v>
      </c>
      <c r="T138">
        <f>VLOOKUP(L138,'MIS COMPROBANTES'!E:Q,13,0)</f>
        <v>609972.38</v>
      </c>
    </row>
    <row r="139" spans="1:20" x14ac:dyDescent="0.3">
      <c r="A139" s="3">
        <v>45419</v>
      </c>
      <c r="B139" s="1" t="s">
        <v>229</v>
      </c>
      <c r="C139" s="1" t="s">
        <v>230</v>
      </c>
      <c r="D139" s="1" t="s">
        <v>18</v>
      </c>
      <c r="E139" s="1" t="s">
        <v>689</v>
      </c>
      <c r="F139" s="4">
        <v>11837</v>
      </c>
      <c r="G139" s="1" t="s">
        <v>19</v>
      </c>
      <c r="H139" s="1" t="s">
        <v>231</v>
      </c>
      <c r="I139" s="1" t="s">
        <v>757</v>
      </c>
      <c r="J139" s="1">
        <v>32</v>
      </c>
      <c r="K139" s="1">
        <v>82054</v>
      </c>
      <c r="L139" s="7" t="str">
        <f t="shared" si="2"/>
        <v>305012142793282054</v>
      </c>
      <c r="M139" s="5">
        <v>21</v>
      </c>
      <c r="N139" s="5">
        <v>0</v>
      </c>
      <c r="O139" s="5">
        <v>501603.88</v>
      </c>
      <c r="P139" s="5">
        <v>105336.81</v>
      </c>
      <c r="Q139" s="5">
        <v>647069.01</v>
      </c>
      <c r="R139" s="1" t="s">
        <v>15</v>
      </c>
      <c r="S139" s="5">
        <v>25080.2</v>
      </c>
      <c r="T139">
        <f>VLOOKUP(L139,'MIS COMPROBANTES'!E:Q,13,0)</f>
        <v>647069</v>
      </c>
    </row>
    <row r="140" spans="1:20" x14ac:dyDescent="0.3">
      <c r="A140" s="3">
        <v>45419</v>
      </c>
      <c r="B140" s="1" t="s">
        <v>229</v>
      </c>
      <c r="C140" s="1" t="s">
        <v>230</v>
      </c>
      <c r="D140" s="1" t="s">
        <v>18</v>
      </c>
      <c r="E140" s="1" t="s">
        <v>689</v>
      </c>
      <c r="F140" s="4">
        <v>11837</v>
      </c>
      <c r="G140" s="1" t="s">
        <v>19</v>
      </c>
      <c r="H140" s="1" t="s">
        <v>231</v>
      </c>
      <c r="I140" s="1" t="s">
        <v>757</v>
      </c>
      <c r="J140" s="1">
        <v>32</v>
      </c>
      <c r="K140" s="1">
        <v>82054</v>
      </c>
      <c r="L140" s="7" t="str">
        <f t="shared" si="2"/>
        <v>305012142793282054</v>
      </c>
      <c r="M140" s="5">
        <v>3</v>
      </c>
      <c r="N140" s="5">
        <v>0</v>
      </c>
      <c r="O140" s="5">
        <v>0</v>
      </c>
      <c r="P140" s="5">
        <v>15048.12</v>
      </c>
      <c r="Q140" s="5">
        <v>0</v>
      </c>
      <c r="R140" s="1" t="s">
        <v>15</v>
      </c>
      <c r="S140" s="5">
        <v>0</v>
      </c>
      <c r="T140">
        <f>VLOOKUP(L140,'MIS COMPROBANTES'!E:Q,13,0)</f>
        <v>647069</v>
      </c>
    </row>
    <row r="141" spans="1:20" x14ac:dyDescent="0.3">
      <c r="A141" s="3">
        <v>45419</v>
      </c>
      <c r="B141" s="1" t="s">
        <v>91</v>
      </c>
      <c r="C141" s="1" t="s">
        <v>92</v>
      </c>
      <c r="D141" s="1" t="s">
        <v>18</v>
      </c>
      <c r="E141" s="1" t="s">
        <v>654</v>
      </c>
      <c r="F141" s="4">
        <v>11857</v>
      </c>
      <c r="G141" s="1" t="s">
        <v>19</v>
      </c>
      <c r="H141" s="1" t="s">
        <v>232</v>
      </c>
      <c r="I141" s="1" t="s">
        <v>757</v>
      </c>
      <c r="J141" s="1">
        <v>1001</v>
      </c>
      <c r="K141" s="1">
        <v>235600</v>
      </c>
      <c r="L141" s="7" t="str">
        <f t="shared" si="2"/>
        <v>305866115221001235600</v>
      </c>
      <c r="M141" s="5">
        <v>21</v>
      </c>
      <c r="N141" s="5">
        <v>0</v>
      </c>
      <c r="O141" s="5">
        <v>1812720</v>
      </c>
      <c r="P141" s="5">
        <v>380671.2</v>
      </c>
      <c r="Q141" s="5">
        <v>2338408.7999999998</v>
      </c>
      <c r="R141" s="1" t="s">
        <v>15</v>
      </c>
      <c r="S141" s="5">
        <v>90636</v>
      </c>
      <c r="T141">
        <f>VLOOKUP(L141,'MIS COMPROBANTES'!E:Q,13,0)</f>
        <v>2338408.7999999998</v>
      </c>
    </row>
    <row r="142" spans="1:20" x14ac:dyDescent="0.3">
      <c r="A142" s="3">
        <v>45419</v>
      </c>
      <c r="B142" s="1" t="s">
        <v>91</v>
      </c>
      <c r="C142" s="1" t="s">
        <v>92</v>
      </c>
      <c r="D142" s="1" t="s">
        <v>18</v>
      </c>
      <c r="E142" s="1" t="s">
        <v>654</v>
      </c>
      <c r="F142" s="4">
        <v>11857</v>
      </c>
      <c r="G142" s="1" t="s">
        <v>19</v>
      </c>
      <c r="H142" s="1" t="s">
        <v>232</v>
      </c>
      <c r="I142" s="1" t="s">
        <v>757</v>
      </c>
      <c r="J142" s="1">
        <v>1001</v>
      </c>
      <c r="K142" s="1">
        <v>235600</v>
      </c>
      <c r="L142" s="7" t="str">
        <f t="shared" si="2"/>
        <v>305866115221001235600</v>
      </c>
      <c r="M142" s="5">
        <v>3</v>
      </c>
      <c r="N142" s="5">
        <v>0</v>
      </c>
      <c r="O142" s="5">
        <v>0</v>
      </c>
      <c r="P142" s="5">
        <v>54381.599999999999</v>
      </c>
      <c r="Q142" s="5">
        <v>0</v>
      </c>
      <c r="R142" s="1" t="s">
        <v>15</v>
      </c>
      <c r="S142" s="5">
        <v>0</v>
      </c>
      <c r="T142">
        <f>VLOOKUP(L142,'MIS COMPROBANTES'!E:Q,13,0)</f>
        <v>2338408.7999999998</v>
      </c>
    </row>
    <row r="143" spans="1:20" x14ac:dyDescent="0.3">
      <c r="A143" s="3">
        <v>45419</v>
      </c>
      <c r="B143" s="1" t="s">
        <v>233</v>
      </c>
      <c r="C143" s="1" t="s">
        <v>234</v>
      </c>
      <c r="D143" s="1" t="s">
        <v>18</v>
      </c>
      <c r="E143" s="1" t="s">
        <v>690</v>
      </c>
      <c r="F143" s="4">
        <v>12082</v>
      </c>
      <c r="G143" s="1" t="s">
        <v>19</v>
      </c>
      <c r="H143" s="1" t="s">
        <v>235</v>
      </c>
      <c r="I143" s="1" t="s">
        <v>757</v>
      </c>
      <c r="J143" s="1">
        <v>3950</v>
      </c>
      <c r="K143" s="1">
        <v>1681005</v>
      </c>
      <c r="L143" s="7" t="str">
        <f t="shared" si="2"/>
        <v>3063945373839501681005</v>
      </c>
      <c r="M143" s="5">
        <v>21</v>
      </c>
      <c r="N143" s="5">
        <v>0</v>
      </c>
      <c r="O143" s="5">
        <v>54450.01</v>
      </c>
      <c r="P143" s="5">
        <v>11434.5</v>
      </c>
      <c r="Q143" s="5">
        <v>68607.009999999995</v>
      </c>
      <c r="R143" s="1" t="s">
        <v>15</v>
      </c>
      <c r="S143" s="5">
        <v>1089</v>
      </c>
      <c r="T143">
        <f>VLOOKUP(L143,'MIS COMPROBANTES'!E:Q,13,0)</f>
        <v>68607.009999999995</v>
      </c>
    </row>
    <row r="144" spans="1:20" x14ac:dyDescent="0.3">
      <c r="A144" s="3">
        <v>45419</v>
      </c>
      <c r="B144" s="1" t="s">
        <v>233</v>
      </c>
      <c r="C144" s="1" t="s">
        <v>234</v>
      </c>
      <c r="D144" s="1" t="s">
        <v>18</v>
      </c>
      <c r="E144" s="1" t="s">
        <v>690</v>
      </c>
      <c r="F144" s="4">
        <v>12082</v>
      </c>
      <c r="G144" s="1" t="s">
        <v>19</v>
      </c>
      <c r="H144" s="1" t="s">
        <v>235</v>
      </c>
      <c r="I144" s="1" t="s">
        <v>757</v>
      </c>
      <c r="J144" s="1">
        <v>3950</v>
      </c>
      <c r="K144" s="1">
        <v>1681005</v>
      </c>
      <c r="L144" s="7" t="str">
        <f t="shared" si="2"/>
        <v>3063945373839501681005</v>
      </c>
      <c r="M144" s="5">
        <v>3</v>
      </c>
      <c r="N144" s="5">
        <v>0</v>
      </c>
      <c r="O144" s="5">
        <v>0</v>
      </c>
      <c r="P144" s="5">
        <v>1633.5</v>
      </c>
      <c r="Q144" s="5">
        <v>0</v>
      </c>
      <c r="R144" s="1" t="s">
        <v>15</v>
      </c>
      <c r="S144" s="5">
        <v>0</v>
      </c>
      <c r="T144">
        <f>VLOOKUP(L144,'MIS COMPROBANTES'!E:Q,13,0)</f>
        <v>68607.009999999995</v>
      </c>
    </row>
    <row r="145" spans="1:20" x14ac:dyDescent="0.3">
      <c r="A145" s="3">
        <v>45419</v>
      </c>
      <c r="B145" s="1" t="s">
        <v>236</v>
      </c>
      <c r="C145" s="1" t="s">
        <v>237</v>
      </c>
      <c r="D145" s="1" t="s">
        <v>18</v>
      </c>
      <c r="E145" s="1" t="s">
        <v>691</v>
      </c>
      <c r="F145" s="4">
        <v>11850</v>
      </c>
      <c r="G145" s="1" t="s">
        <v>19</v>
      </c>
      <c r="H145" s="1" t="s">
        <v>238</v>
      </c>
      <c r="I145" s="1" t="s">
        <v>757</v>
      </c>
      <c r="J145" s="1">
        <v>6004</v>
      </c>
      <c r="K145" s="1">
        <v>3613137</v>
      </c>
      <c r="L145" s="7" t="str">
        <f t="shared" si="2"/>
        <v>3050111624260043613137</v>
      </c>
      <c r="M145" s="5">
        <v>21</v>
      </c>
      <c r="N145" s="5">
        <v>0</v>
      </c>
      <c r="O145" s="5">
        <v>926333.4</v>
      </c>
      <c r="P145" s="5">
        <v>194530.01</v>
      </c>
      <c r="Q145" s="5">
        <v>1167180.08</v>
      </c>
      <c r="R145" s="1" t="s">
        <v>15</v>
      </c>
      <c r="S145" s="5">
        <v>18526.669999999998</v>
      </c>
      <c r="T145">
        <f>VLOOKUP(L145,'MIS COMPROBANTES'!E:Q,13,0)</f>
        <v>1167180.08</v>
      </c>
    </row>
    <row r="146" spans="1:20" x14ac:dyDescent="0.3">
      <c r="A146" s="3">
        <v>45419</v>
      </c>
      <c r="B146" s="1" t="s">
        <v>236</v>
      </c>
      <c r="C146" s="1" t="s">
        <v>237</v>
      </c>
      <c r="D146" s="1" t="s">
        <v>18</v>
      </c>
      <c r="E146" s="1" t="s">
        <v>691</v>
      </c>
      <c r="F146" s="4">
        <v>11850</v>
      </c>
      <c r="G146" s="1" t="s">
        <v>19</v>
      </c>
      <c r="H146" s="1" t="s">
        <v>238</v>
      </c>
      <c r="I146" s="1" t="s">
        <v>757</v>
      </c>
      <c r="J146" s="1">
        <v>6004</v>
      </c>
      <c r="K146" s="1">
        <v>3613137</v>
      </c>
      <c r="L146" s="7" t="str">
        <f t="shared" si="2"/>
        <v>3050111624260043613137</v>
      </c>
      <c r="M146" s="5">
        <v>3</v>
      </c>
      <c r="N146" s="5">
        <v>0</v>
      </c>
      <c r="O146" s="5">
        <v>0</v>
      </c>
      <c r="P146" s="5">
        <v>27790</v>
      </c>
      <c r="Q146" s="5">
        <v>0</v>
      </c>
      <c r="R146" s="1" t="s">
        <v>15</v>
      </c>
      <c r="S146" s="5">
        <v>0</v>
      </c>
      <c r="T146">
        <f>VLOOKUP(L146,'MIS COMPROBANTES'!E:Q,13,0)</f>
        <v>1167180.08</v>
      </c>
    </row>
    <row r="147" spans="1:20" x14ac:dyDescent="0.3">
      <c r="A147" s="3">
        <v>45419</v>
      </c>
      <c r="B147" s="1" t="s">
        <v>41</v>
      </c>
      <c r="C147" s="1" t="s">
        <v>42</v>
      </c>
      <c r="D147" s="1" t="s">
        <v>18</v>
      </c>
      <c r="E147" s="1" t="s">
        <v>640</v>
      </c>
      <c r="F147" s="4">
        <v>11851</v>
      </c>
      <c r="G147" s="1" t="s">
        <v>19</v>
      </c>
      <c r="H147" s="1" t="s">
        <v>239</v>
      </c>
      <c r="I147" s="1" t="s">
        <v>757</v>
      </c>
      <c r="J147" s="1">
        <v>6156</v>
      </c>
      <c r="K147" s="1">
        <v>6747755</v>
      </c>
      <c r="L147" s="7" t="str">
        <f t="shared" si="2"/>
        <v>3054724233161566747755</v>
      </c>
      <c r="M147" s="5">
        <v>21</v>
      </c>
      <c r="N147" s="5">
        <v>0</v>
      </c>
      <c r="O147" s="5">
        <v>536294.43999999994</v>
      </c>
      <c r="P147" s="5">
        <v>112621.83</v>
      </c>
      <c r="Q147" s="5">
        <v>675152.15</v>
      </c>
      <c r="R147" s="1" t="s">
        <v>15</v>
      </c>
      <c r="S147" s="5">
        <v>10725.89</v>
      </c>
      <c r="T147">
        <f>VLOOKUP(L147,'MIS COMPROBANTES'!E:Q,13,0)</f>
        <v>675152.15</v>
      </c>
    </row>
    <row r="148" spans="1:20" x14ac:dyDescent="0.3">
      <c r="A148" s="3">
        <v>45419</v>
      </c>
      <c r="B148" s="1" t="s">
        <v>41</v>
      </c>
      <c r="C148" s="1" t="s">
        <v>42</v>
      </c>
      <c r="D148" s="1" t="s">
        <v>18</v>
      </c>
      <c r="E148" s="1" t="s">
        <v>640</v>
      </c>
      <c r="F148" s="4">
        <v>11851</v>
      </c>
      <c r="G148" s="1" t="s">
        <v>19</v>
      </c>
      <c r="H148" s="1" t="s">
        <v>239</v>
      </c>
      <c r="I148" s="1" t="s">
        <v>757</v>
      </c>
      <c r="J148" s="1">
        <v>6156</v>
      </c>
      <c r="K148" s="1">
        <v>6747755</v>
      </c>
      <c r="L148" s="7" t="str">
        <f t="shared" si="2"/>
        <v>3054724233161566747755</v>
      </c>
      <c r="M148" s="5">
        <v>3</v>
      </c>
      <c r="N148" s="5">
        <v>0</v>
      </c>
      <c r="O148" s="5">
        <v>0</v>
      </c>
      <c r="P148" s="5">
        <v>15509.99</v>
      </c>
      <c r="Q148" s="5">
        <v>0</v>
      </c>
      <c r="R148" s="1" t="s">
        <v>15</v>
      </c>
      <c r="S148" s="5">
        <v>0</v>
      </c>
      <c r="T148">
        <f>VLOOKUP(L148,'MIS COMPROBANTES'!E:Q,13,0)</f>
        <v>675152.15</v>
      </c>
    </row>
    <row r="149" spans="1:20" x14ac:dyDescent="0.3">
      <c r="A149" s="3">
        <v>45419</v>
      </c>
      <c r="B149" s="1" t="s">
        <v>240</v>
      </c>
      <c r="C149" s="1" t="s">
        <v>241</v>
      </c>
      <c r="D149" s="1" t="s">
        <v>18</v>
      </c>
      <c r="E149" s="1" t="s">
        <v>692</v>
      </c>
      <c r="F149" s="4">
        <v>11886</v>
      </c>
      <c r="G149" s="1" t="s">
        <v>242</v>
      </c>
      <c r="H149" s="1" t="s">
        <v>243</v>
      </c>
      <c r="I149" s="1" t="s">
        <v>757</v>
      </c>
      <c r="J149" s="1">
        <v>10</v>
      </c>
      <c r="K149" s="1">
        <v>3248</v>
      </c>
      <c r="L149" s="7" t="str">
        <f t="shared" si="2"/>
        <v>30642219355103248</v>
      </c>
      <c r="M149" s="5">
        <v>21</v>
      </c>
      <c r="N149" s="5">
        <v>0</v>
      </c>
      <c r="O149" s="5">
        <v>4940.6400000000003</v>
      </c>
      <c r="P149" s="5">
        <v>1037.53</v>
      </c>
      <c r="Q149" s="5">
        <v>6373.42</v>
      </c>
      <c r="R149" s="1" t="s">
        <v>15</v>
      </c>
      <c r="S149" s="5">
        <v>247.03</v>
      </c>
      <c r="T149">
        <f>VLOOKUP(L149,'MIS COMPROBANTES'!E:Q,13,0)</f>
        <v>6373.42</v>
      </c>
    </row>
    <row r="150" spans="1:20" x14ac:dyDescent="0.3">
      <c r="A150" s="3">
        <v>45419</v>
      </c>
      <c r="B150" s="1" t="s">
        <v>240</v>
      </c>
      <c r="C150" s="1" t="s">
        <v>241</v>
      </c>
      <c r="D150" s="1" t="s">
        <v>18</v>
      </c>
      <c r="E150" s="1" t="s">
        <v>692</v>
      </c>
      <c r="F150" s="4">
        <v>11886</v>
      </c>
      <c r="G150" s="1" t="s">
        <v>242</v>
      </c>
      <c r="H150" s="1" t="s">
        <v>243</v>
      </c>
      <c r="I150" s="1" t="s">
        <v>757</v>
      </c>
      <c r="J150" s="1">
        <v>10</v>
      </c>
      <c r="K150" s="1">
        <v>3248</v>
      </c>
      <c r="L150" s="7" t="str">
        <f t="shared" si="2"/>
        <v>30642219355103248</v>
      </c>
      <c r="M150" s="5">
        <v>3</v>
      </c>
      <c r="N150" s="5">
        <v>0</v>
      </c>
      <c r="O150" s="5">
        <v>0</v>
      </c>
      <c r="P150" s="5">
        <v>148.22</v>
      </c>
      <c r="Q150" s="5">
        <v>0</v>
      </c>
      <c r="R150" s="1" t="s">
        <v>15</v>
      </c>
      <c r="S150" s="5">
        <v>0</v>
      </c>
      <c r="T150">
        <f>VLOOKUP(L150,'MIS COMPROBANTES'!E:Q,13,0)</f>
        <v>6373.42</v>
      </c>
    </row>
    <row r="151" spans="1:20" x14ac:dyDescent="0.3">
      <c r="A151" s="3">
        <v>45420</v>
      </c>
      <c r="B151" s="1" t="s">
        <v>44</v>
      </c>
      <c r="C151" s="1" t="s">
        <v>45</v>
      </c>
      <c r="D151" s="1" t="s">
        <v>18</v>
      </c>
      <c r="E151" s="1" t="s">
        <v>641</v>
      </c>
      <c r="F151" s="4">
        <v>11942</v>
      </c>
      <c r="G151" s="1" t="s">
        <v>19</v>
      </c>
      <c r="H151" s="1" t="s">
        <v>244</v>
      </c>
      <c r="I151" s="1">
        <v>0</v>
      </c>
      <c r="J151" s="1">
        <v>2024</v>
      </c>
      <c r="K151" s="1">
        <v>10203921</v>
      </c>
      <c r="L151" s="7" t="str">
        <f t="shared" si="2"/>
        <v>30500008454202410203921</v>
      </c>
      <c r="M151" s="5">
        <v>10.5</v>
      </c>
      <c r="N151" s="5">
        <v>426662.16</v>
      </c>
      <c r="O151" s="5">
        <v>517808.22</v>
      </c>
      <c r="P151" s="5">
        <v>54369.86</v>
      </c>
      <c r="Q151" s="5">
        <v>1016963.52</v>
      </c>
      <c r="R151" s="1" t="s">
        <v>15</v>
      </c>
      <c r="S151" s="5">
        <v>10356.16</v>
      </c>
      <c r="T151" t="e">
        <f>VLOOKUP(L151,'MIS COMPROBANTES'!E:Q,13,0)</f>
        <v>#N/A</v>
      </c>
    </row>
    <row r="152" spans="1:20" x14ac:dyDescent="0.3">
      <c r="A152" s="3">
        <v>45420</v>
      </c>
      <c r="B152" s="1" t="s">
        <v>44</v>
      </c>
      <c r="C152" s="1" t="s">
        <v>45</v>
      </c>
      <c r="D152" s="1" t="s">
        <v>18</v>
      </c>
      <c r="E152" s="1" t="s">
        <v>641</v>
      </c>
      <c r="F152" s="4">
        <v>11942</v>
      </c>
      <c r="G152" s="1" t="s">
        <v>19</v>
      </c>
      <c r="H152" s="1" t="s">
        <v>244</v>
      </c>
      <c r="I152" s="1">
        <v>0</v>
      </c>
      <c r="J152" s="1">
        <v>2024</v>
      </c>
      <c r="K152" s="1">
        <v>10203921</v>
      </c>
      <c r="L152" s="7" t="str">
        <f t="shared" si="2"/>
        <v>30500008454202410203921</v>
      </c>
      <c r="M152" s="5">
        <v>1.5</v>
      </c>
      <c r="N152" s="5">
        <v>0</v>
      </c>
      <c r="O152" s="5">
        <v>0</v>
      </c>
      <c r="P152" s="5">
        <v>7767.12</v>
      </c>
      <c r="Q152" s="5">
        <v>0</v>
      </c>
      <c r="R152" s="1" t="s">
        <v>15</v>
      </c>
      <c r="S152" s="5">
        <v>0</v>
      </c>
      <c r="T152" t="e">
        <f>VLOOKUP(L152,'MIS COMPROBANTES'!E:Q,13,0)</f>
        <v>#N/A</v>
      </c>
    </row>
    <row r="153" spans="1:20" x14ac:dyDescent="0.3">
      <c r="A153" s="3">
        <v>45420</v>
      </c>
      <c r="B153" s="1" t="s">
        <v>44</v>
      </c>
      <c r="C153" s="1" t="s">
        <v>45</v>
      </c>
      <c r="D153" s="1" t="s">
        <v>18</v>
      </c>
      <c r="E153" s="1" t="s">
        <v>641</v>
      </c>
      <c r="F153" s="4">
        <v>11831</v>
      </c>
      <c r="G153" s="1" t="s">
        <v>19</v>
      </c>
      <c r="H153" s="1" t="s">
        <v>245</v>
      </c>
      <c r="I153" s="1">
        <v>0</v>
      </c>
      <c r="J153" s="1">
        <v>2024</v>
      </c>
      <c r="K153" s="1">
        <v>80007701</v>
      </c>
      <c r="L153" s="7" t="str">
        <f t="shared" si="2"/>
        <v>30500008454202480007701</v>
      </c>
      <c r="M153" s="5">
        <v>10.5</v>
      </c>
      <c r="N153" s="5">
        <v>3107.48</v>
      </c>
      <c r="O153" s="5">
        <v>81235.399999999994</v>
      </c>
      <c r="P153" s="5">
        <v>8529.69</v>
      </c>
      <c r="Q153" s="5">
        <v>95285.01</v>
      </c>
      <c r="R153" s="1" t="s">
        <v>15</v>
      </c>
      <c r="S153" s="5">
        <v>1509.84</v>
      </c>
      <c r="T153" t="e">
        <f>VLOOKUP(L153,'MIS COMPROBANTES'!E:Q,13,0)</f>
        <v>#N/A</v>
      </c>
    </row>
    <row r="154" spans="1:20" x14ac:dyDescent="0.3">
      <c r="A154" s="3">
        <v>45420</v>
      </c>
      <c r="B154" s="1" t="s">
        <v>44</v>
      </c>
      <c r="C154" s="1" t="s">
        <v>45</v>
      </c>
      <c r="D154" s="1" t="s">
        <v>18</v>
      </c>
      <c r="E154" s="1" t="s">
        <v>641</v>
      </c>
      <c r="F154" s="4">
        <v>11831</v>
      </c>
      <c r="G154" s="1" t="s">
        <v>19</v>
      </c>
      <c r="H154" s="1" t="s">
        <v>245</v>
      </c>
      <c r="I154" s="1">
        <v>0</v>
      </c>
      <c r="J154" s="1">
        <v>2024</v>
      </c>
      <c r="K154" s="1">
        <v>80007701</v>
      </c>
      <c r="L154" s="7" t="str">
        <f t="shared" si="2"/>
        <v>30500008454202480007701</v>
      </c>
      <c r="M154" s="5">
        <v>1.5</v>
      </c>
      <c r="N154" s="5">
        <v>0</v>
      </c>
      <c r="O154" s="5">
        <v>0</v>
      </c>
      <c r="P154" s="5">
        <v>902.6</v>
      </c>
      <c r="Q154" s="5">
        <v>0</v>
      </c>
      <c r="R154" s="1" t="s">
        <v>15</v>
      </c>
      <c r="S154" s="5">
        <v>0</v>
      </c>
      <c r="T154" t="e">
        <f>VLOOKUP(L154,'MIS COMPROBANTES'!E:Q,13,0)</f>
        <v>#N/A</v>
      </c>
    </row>
    <row r="155" spans="1:20" x14ac:dyDescent="0.3">
      <c r="A155" s="3">
        <v>45420</v>
      </c>
      <c r="B155" s="1" t="s">
        <v>246</v>
      </c>
      <c r="C155" s="1" t="s">
        <v>247</v>
      </c>
      <c r="D155" s="1" t="s">
        <v>18</v>
      </c>
      <c r="E155" s="1" t="s">
        <v>693</v>
      </c>
      <c r="F155" s="4">
        <v>11922</v>
      </c>
      <c r="G155" s="1" t="s">
        <v>19</v>
      </c>
      <c r="H155" s="1" t="s">
        <v>248</v>
      </c>
      <c r="I155" s="1" t="s">
        <v>757</v>
      </c>
      <c r="J155" s="1">
        <v>1</v>
      </c>
      <c r="K155" s="1">
        <v>97</v>
      </c>
      <c r="L155" s="7" t="str">
        <f t="shared" si="2"/>
        <v>20301971479197</v>
      </c>
      <c r="M155" s="5">
        <v>21</v>
      </c>
      <c r="N155" s="5">
        <v>0</v>
      </c>
      <c r="O155" s="5">
        <v>320000</v>
      </c>
      <c r="P155" s="5">
        <v>67200</v>
      </c>
      <c r="Q155" s="5">
        <v>387200</v>
      </c>
      <c r="R155" s="1" t="s">
        <v>15</v>
      </c>
      <c r="S155" s="5">
        <v>0</v>
      </c>
      <c r="T155">
        <f>VLOOKUP(L155,'MIS COMPROBANTES'!E:Q,13,0)</f>
        <v>387200</v>
      </c>
    </row>
    <row r="156" spans="1:20" x14ac:dyDescent="0.3">
      <c r="A156" s="3">
        <v>45420</v>
      </c>
      <c r="B156" s="1" t="s">
        <v>249</v>
      </c>
      <c r="C156" s="1" t="s">
        <v>250</v>
      </c>
      <c r="D156" s="1" t="s">
        <v>18</v>
      </c>
      <c r="E156" s="1" t="s">
        <v>694</v>
      </c>
      <c r="F156" s="4">
        <v>11801</v>
      </c>
      <c r="G156" s="1" t="s">
        <v>19</v>
      </c>
      <c r="H156" s="1" t="s">
        <v>251</v>
      </c>
      <c r="I156" s="1" t="s">
        <v>757</v>
      </c>
      <c r="J156" s="1">
        <v>3</v>
      </c>
      <c r="K156" s="1">
        <v>3816</v>
      </c>
      <c r="L156" s="7" t="str">
        <f t="shared" si="2"/>
        <v>3071529613233816</v>
      </c>
      <c r="M156" s="5">
        <v>21</v>
      </c>
      <c r="N156" s="5">
        <v>0</v>
      </c>
      <c r="O156" s="5">
        <v>1834710.8</v>
      </c>
      <c r="P156" s="5">
        <v>385289.27</v>
      </c>
      <c r="Q156" s="5">
        <v>2220000.0699999998</v>
      </c>
      <c r="R156" s="1" t="s">
        <v>15</v>
      </c>
      <c r="S156" s="5">
        <v>0</v>
      </c>
      <c r="T156">
        <f>VLOOKUP(L156,'MIS COMPROBANTES'!E:Q,13,0)</f>
        <v>2220000.0699999998</v>
      </c>
    </row>
    <row r="157" spans="1:20" x14ac:dyDescent="0.3">
      <c r="A157" s="3">
        <v>45420</v>
      </c>
      <c r="B157" s="1" t="s">
        <v>252</v>
      </c>
      <c r="C157" s="1" t="s">
        <v>253</v>
      </c>
      <c r="D157" s="1" t="s">
        <v>18</v>
      </c>
      <c r="E157" s="1" t="s">
        <v>695</v>
      </c>
      <c r="F157" s="4">
        <v>11863</v>
      </c>
      <c r="G157" s="1" t="s">
        <v>19</v>
      </c>
      <c r="H157" s="1" t="s">
        <v>254</v>
      </c>
      <c r="I157" s="1" t="s">
        <v>757</v>
      </c>
      <c r="J157" s="1">
        <v>4</v>
      </c>
      <c r="K157" s="1">
        <v>28765</v>
      </c>
      <c r="L157" s="7" t="str">
        <f t="shared" si="2"/>
        <v>30645830446428765</v>
      </c>
      <c r="M157" s="5">
        <v>21</v>
      </c>
      <c r="N157" s="5">
        <v>0</v>
      </c>
      <c r="O157" s="5">
        <v>3471927.3</v>
      </c>
      <c r="P157" s="5">
        <v>729104.73</v>
      </c>
      <c r="Q157" s="5">
        <v>4374628.4000000004</v>
      </c>
      <c r="R157" s="1" t="s">
        <v>15</v>
      </c>
      <c r="S157" s="5">
        <v>173596.37</v>
      </c>
      <c r="T157">
        <f>VLOOKUP(L157,'MIS COMPROBANTES'!E:Q,13,0)</f>
        <v>4374628.4000000004</v>
      </c>
    </row>
    <row r="158" spans="1:20" x14ac:dyDescent="0.3">
      <c r="A158" s="3">
        <v>45420</v>
      </c>
      <c r="B158" s="1" t="s">
        <v>255</v>
      </c>
      <c r="C158" s="1" t="s">
        <v>256</v>
      </c>
      <c r="D158" s="1" t="s">
        <v>18</v>
      </c>
      <c r="E158" s="1" t="s">
        <v>696</v>
      </c>
      <c r="F158" s="4">
        <v>11746</v>
      </c>
      <c r="G158" s="1" t="s">
        <v>19</v>
      </c>
      <c r="H158" s="1" t="s">
        <v>257</v>
      </c>
      <c r="I158" s="1" t="s">
        <v>757</v>
      </c>
      <c r="J158" s="1">
        <v>12</v>
      </c>
      <c r="K158" s="1">
        <v>79899</v>
      </c>
      <c r="L158" s="7" t="str">
        <f t="shared" si="2"/>
        <v>306976466271279899</v>
      </c>
      <c r="M158" s="5">
        <v>21</v>
      </c>
      <c r="N158" s="5">
        <v>0</v>
      </c>
      <c r="O158" s="5">
        <v>1305404.8799999999</v>
      </c>
      <c r="P158" s="5">
        <v>274135.02</v>
      </c>
      <c r="Q158" s="5">
        <v>1618702.05</v>
      </c>
      <c r="R158" s="1" t="s">
        <v>15</v>
      </c>
      <c r="S158" s="5">
        <v>0</v>
      </c>
      <c r="T158">
        <f>VLOOKUP(L158,'MIS COMPROBANTES'!E:Q,13,0)</f>
        <v>1618702.05</v>
      </c>
    </row>
    <row r="159" spans="1:20" x14ac:dyDescent="0.3">
      <c r="A159" s="3">
        <v>45420</v>
      </c>
      <c r="B159" s="1" t="s">
        <v>255</v>
      </c>
      <c r="C159" s="1" t="s">
        <v>256</v>
      </c>
      <c r="D159" s="1" t="s">
        <v>18</v>
      </c>
      <c r="E159" s="1" t="s">
        <v>696</v>
      </c>
      <c r="F159" s="4">
        <v>11746</v>
      </c>
      <c r="G159" s="1" t="s">
        <v>19</v>
      </c>
      <c r="H159" s="1" t="s">
        <v>257</v>
      </c>
      <c r="I159" s="1" t="s">
        <v>757</v>
      </c>
      <c r="J159" s="1">
        <v>12</v>
      </c>
      <c r="K159" s="1">
        <v>79899</v>
      </c>
      <c r="L159" s="7" t="str">
        <f t="shared" si="2"/>
        <v>306976466271279899</v>
      </c>
      <c r="M159" s="5">
        <v>3</v>
      </c>
      <c r="N159" s="5">
        <v>0</v>
      </c>
      <c r="O159" s="5">
        <v>0</v>
      </c>
      <c r="P159" s="5">
        <v>39162.15</v>
      </c>
      <c r="Q159" s="5">
        <v>0</v>
      </c>
      <c r="R159" s="1" t="s">
        <v>15</v>
      </c>
      <c r="S159" s="5">
        <v>0</v>
      </c>
      <c r="T159">
        <f>VLOOKUP(L159,'MIS COMPROBANTES'!E:Q,13,0)</f>
        <v>1618702.05</v>
      </c>
    </row>
    <row r="160" spans="1:20" x14ac:dyDescent="0.3">
      <c r="A160" s="3">
        <v>45420</v>
      </c>
      <c r="B160" s="1" t="s">
        <v>258</v>
      </c>
      <c r="C160" s="1" t="s">
        <v>259</v>
      </c>
      <c r="D160" s="1" t="s">
        <v>18</v>
      </c>
      <c r="E160" s="1" t="s">
        <v>697</v>
      </c>
      <c r="F160" s="4">
        <v>12339</v>
      </c>
      <c r="G160" s="1" t="s">
        <v>19</v>
      </c>
      <c r="H160" s="1" t="s">
        <v>260</v>
      </c>
      <c r="I160" s="1" t="s">
        <v>757</v>
      </c>
      <c r="J160" s="1">
        <v>601</v>
      </c>
      <c r="K160" s="1">
        <v>262572</v>
      </c>
      <c r="L160" s="7" t="str">
        <f t="shared" si="2"/>
        <v>30525390086601262572</v>
      </c>
      <c r="M160" s="5">
        <v>21</v>
      </c>
      <c r="N160" s="5">
        <v>65700.55</v>
      </c>
      <c r="O160" s="5">
        <v>3786401.26</v>
      </c>
      <c r="P160" s="5">
        <v>795144.26</v>
      </c>
      <c r="Q160" s="5">
        <v>4837880.12</v>
      </c>
      <c r="R160" s="1" t="s">
        <v>15</v>
      </c>
      <c r="S160" s="5">
        <v>77042.02</v>
      </c>
      <c r="T160">
        <f>VLOOKUP(L160,'MIS COMPROBANTES'!E:Q,13,0)</f>
        <v>4837880.12</v>
      </c>
    </row>
    <row r="161" spans="1:20" x14ac:dyDescent="0.3">
      <c r="A161" s="3">
        <v>45420</v>
      </c>
      <c r="B161" s="1" t="s">
        <v>258</v>
      </c>
      <c r="C161" s="1" t="s">
        <v>259</v>
      </c>
      <c r="D161" s="1" t="s">
        <v>18</v>
      </c>
      <c r="E161" s="1" t="s">
        <v>697</v>
      </c>
      <c r="F161" s="4">
        <v>12339</v>
      </c>
      <c r="G161" s="1" t="s">
        <v>19</v>
      </c>
      <c r="H161" s="1" t="s">
        <v>260</v>
      </c>
      <c r="I161" s="1" t="s">
        <v>757</v>
      </c>
      <c r="J161" s="1">
        <v>601</v>
      </c>
      <c r="K161" s="1">
        <v>262572</v>
      </c>
      <c r="L161" s="7" t="str">
        <f t="shared" si="2"/>
        <v>30525390086601262572</v>
      </c>
      <c r="M161" s="5">
        <v>3</v>
      </c>
      <c r="N161" s="5">
        <v>0</v>
      </c>
      <c r="O161" s="5">
        <v>0</v>
      </c>
      <c r="P161" s="5">
        <v>113592.03</v>
      </c>
      <c r="Q161" s="5">
        <v>0</v>
      </c>
      <c r="R161" s="1" t="s">
        <v>15</v>
      </c>
      <c r="S161" s="5">
        <v>0</v>
      </c>
      <c r="T161">
        <f>VLOOKUP(L161,'MIS COMPROBANTES'!E:Q,13,0)</f>
        <v>4837880.12</v>
      </c>
    </row>
    <row r="162" spans="1:20" x14ac:dyDescent="0.3">
      <c r="A162" s="3">
        <v>45420</v>
      </c>
      <c r="B162" s="1" t="s">
        <v>258</v>
      </c>
      <c r="C162" s="1" t="s">
        <v>259</v>
      </c>
      <c r="D162" s="1" t="s">
        <v>18</v>
      </c>
      <c r="E162" s="1" t="s">
        <v>697</v>
      </c>
      <c r="F162" s="4">
        <v>12340</v>
      </c>
      <c r="G162" s="1" t="s">
        <v>19</v>
      </c>
      <c r="H162" s="1" t="s">
        <v>261</v>
      </c>
      <c r="I162" s="1" t="s">
        <v>757</v>
      </c>
      <c r="J162" s="1">
        <v>601</v>
      </c>
      <c r="K162" s="1">
        <v>262573</v>
      </c>
      <c r="L162" s="7" t="str">
        <f t="shared" si="2"/>
        <v>30525390086601262573</v>
      </c>
      <c r="M162" s="5">
        <v>21</v>
      </c>
      <c r="N162" s="5">
        <v>260695.23</v>
      </c>
      <c r="O162" s="5">
        <v>4787965.22</v>
      </c>
      <c r="P162" s="5">
        <v>1005472.72</v>
      </c>
      <c r="Q162" s="5">
        <v>6298745.3899999997</v>
      </c>
      <c r="R162" s="1" t="s">
        <v>15</v>
      </c>
      <c r="S162" s="5">
        <v>100973.24</v>
      </c>
      <c r="T162">
        <f>VLOOKUP(L162,'MIS COMPROBANTES'!E:Q,13,0)</f>
        <v>6298745.3899999997</v>
      </c>
    </row>
    <row r="163" spans="1:20" x14ac:dyDescent="0.3">
      <c r="A163" s="3">
        <v>45420</v>
      </c>
      <c r="B163" s="1" t="s">
        <v>258</v>
      </c>
      <c r="C163" s="1" t="s">
        <v>259</v>
      </c>
      <c r="D163" s="1" t="s">
        <v>18</v>
      </c>
      <c r="E163" s="1" t="s">
        <v>697</v>
      </c>
      <c r="F163" s="4">
        <v>12340</v>
      </c>
      <c r="G163" s="1" t="s">
        <v>19</v>
      </c>
      <c r="H163" s="1" t="s">
        <v>261</v>
      </c>
      <c r="I163" s="1" t="s">
        <v>757</v>
      </c>
      <c r="J163" s="1">
        <v>601</v>
      </c>
      <c r="K163" s="1">
        <v>262573</v>
      </c>
      <c r="L163" s="7" t="str">
        <f t="shared" si="2"/>
        <v>30525390086601262573</v>
      </c>
      <c r="M163" s="5">
        <v>3</v>
      </c>
      <c r="N163" s="5">
        <v>0</v>
      </c>
      <c r="O163" s="5">
        <v>0</v>
      </c>
      <c r="P163" s="5">
        <v>143638.98000000001</v>
      </c>
      <c r="Q163" s="5">
        <v>0</v>
      </c>
      <c r="R163" s="1" t="s">
        <v>15</v>
      </c>
      <c r="S163" s="5">
        <v>0</v>
      </c>
      <c r="T163">
        <f>VLOOKUP(L163,'MIS COMPROBANTES'!E:Q,13,0)</f>
        <v>6298745.3899999997</v>
      </c>
    </row>
    <row r="164" spans="1:20" x14ac:dyDescent="0.3">
      <c r="A164" s="3">
        <v>45420</v>
      </c>
      <c r="B164" s="1" t="s">
        <v>262</v>
      </c>
      <c r="C164" s="1" t="s">
        <v>263</v>
      </c>
      <c r="D164" s="1" t="s">
        <v>18</v>
      </c>
      <c r="E164" s="1" t="s">
        <v>698</v>
      </c>
      <c r="F164" s="4">
        <v>12315</v>
      </c>
      <c r="G164" s="1" t="s">
        <v>19</v>
      </c>
      <c r="H164" s="1" t="s">
        <v>264</v>
      </c>
      <c r="I164" s="1" t="s">
        <v>757</v>
      </c>
      <c r="J164" s="1">
        <v>700</v>
      </c>
      <c r="K164" s="1">
        <v>1649549</v>
      </c>
      <c r="L164" s="7" t="str">
        <f t="shared" si="2"/>
        <v>307158048127001649549</v>
      </c>
      <c r="M164" s="5">
        <v>21</v>
      </c>
      <c r="N164" s="5">
        <v>0</v>
      </c>
      <c r="O164" s="5">
        <v>2809.92</v>
      </c>
      <c r="P164" s="5">
        <v>590.08000000000004</v>
      </c>
      <c r="Q164" s="5">
        <v>3400</v>
      </c>
      <c r="R164" s="1" t="s">
        <v>15</v>
      </c>
      <c r="S164" s="5">
        <v>0</v>
      </c>
      <c r="T164">
        <f>VLOOKUP(L164,'MIS COMPROBANTES'!E:Q,13,0)</f>
        <v>3400</v>
      </c>
    </row>
    <row r="165" spans="1:20" x14ac:dyDescent="0.3">
      <c r="A165" s="3">
        <v>45420</v>
      </c>
      <c r="B165" s="1" t="s">
        <v>262</v>
      </c>
      <c r="C165" s="1" t="s">
        <v>263</v>
      </c>
      <c r="D165" s="1" t="s">
        <v>18</v>
      </c>
      <c r="E165" s="1" t="s">
        <v>698</v>
      </c>
      <c r="F165" s="4">
        <v>12316</v>
      </c>
      <c r="G165" s="1" t="s">
        <v>19</v>
      </c>
      <c r="H165" s="1" t="s">
        <v>265</v>
      </c>
      <c r="I165" s="1" t="s">
        <v>757</v>
      </c>
      <c r="J165" s="1">
        <v>700</v>
      </c>
      <c r="K165" s="1">
        <v>1649798</v>
      </c>
      <c r="L165" s="7" t="str">
        <f t="shared" si="2"/>
        <v>307158048127001649798</v>
      </c>
      <c r="M165" s="5">
        <v>21</v>
      </c>
      <c r="N165" s="5">
        <v>0</v>
      </c>
      <c r="O165" s="5">
        <v>991.73</v>
      </c>
      <c r="P165" s="5">
        <v>208.27</v>
      </c>
      <c r="Q165" s="5">
        <v>1200</v>
      </c>
      <c r="R165" s="1" t="s">
        <v>15</v>
      </c>
      <c r="S165" s="5">
        <v>0</v>
      </c>
      <c r="T165">
        <f>VLOOKUP(L165,'MIS COMPROBANTES'!E:Q,13,0)</f>
        <v>1200</v>
      </c>
    </row>
    <row r="166" spans="1:20" x14ac:dyDescent="0.3">
      <c r="A166" s="3">
        <v>45420</v>
      </c>
      <c r="B166" s="1" t="s">
        <v>262</v>
      </c>
      <c r="C166" s="1" t="s">
        <v>263</v>
      </c>
      <c r="D166" s="1" t="s">
        <v>18</v>
      </c>
      <c r="E166" s="1" t="s">
        <v>698</v>
      </c>
      <c r="F166" s="4">
        <v>12314</v>
      </c>
      <c r="G166" s="1" t="s">
        <v>19</v>
      </c>
      <c r="H166" s="1" t="s">
        <v>266</v>
      </c>
      <c r="I166" s="1" t="s">
        <v>757</v>
      </c>
      <c r="J166" s="1">
        <v>700</v>
      </c>
      <c r="K166" s="1">
        <v>1665693</v>
      </c>
      <c r="L166" s="7" t="str">
        <f t="shared" si="2"/>
        <v>307158048127001665693</v>
      </c>
      <c r="M166" s="5">
        <v>21</v>
      </c>
      <c r="N166" s="5">
        <v>0</v>
      </c>
      <c r="O166" s="5">
        <v>5289.26</v>
      </c>
      <c r="P166" s="5">
        <v>1110.74</v>
      </c>
      <c r="Q166" s="5">
        <v>6664.46</v>
      </c>
      <c r="R166" s="1" t="s">
        <v>15</v>
      </c>
      <c r="S166" s="5">
        <v>264.45999999999998</v>
      </c>
      <c r="T166">
        <f>VLOOKUP(L166,'MIS COMPROBANTES'!E:Q,13,0)</f>
        <v>6664.46</v>
      </c>
    </row>
    <row r="167" spans="1:20" x14ac:dyDescent="0.3">
      <c r="A167" s="3">
        <v>45420</v>
      </c>
      <c r="B167" s="1" t="s">
        <v>267</v>
      </c>
      <c r="C167" s="1" t="s">
        <v>268</v>
      </c>
      <c r="D167" s="1" t="s">
        <v>18</v>
      </c>
      <c r="E167" s="1" t="s">
        <v>699</v>
      </c>
      <c r="F167" s="4">
        <v>11868</v>
      </c>
      <c r="G167" s="1" t="s">
        <v>19</v>
      </c>
      <c r="H167" s="1" t="s">
        <v>269</v>
      </c>
      <c r="I167" s="1" t="s">
        <v>757</v>
      </c>
      <c r="J167" s="1">
        <v>884</v>
      </c>
      <c r="K167" s="1">
        <v>103413</v>
      </c>
      <c r="L167" s="7" t="str">
        <f t="shared" si="2"/>
        <v>30507950848884103413</v>
      </c>
      <c r="M167" s="5">
        <v>21</v>
      </c>
      <c r="N167" s="5">
        <v>0</v>
      </c>
      <c r="O167" s="5">
        <v>1290829.08</v>
      </c>
      <c r="P167" s="5">
        <v>271074.11</v>
      </c>
      <c r="Q167" s="5">
        <v>1665169.51</v>
      </c>
      <c r="R167" s="1" t="s">
        <v>15</v>
      </c>
      <c r="S167" s="5">
        <v>64541.45</v>
      </c>
      <c r="T167">
        <f>VLOOKUP(L167,'MIS COMPROBANTES'!E:Q,13,0)</f>
        <v>1665169.51</v>
      </c>
    </row>
    <row r="168" spans="1:20" x14ac:dyDescent="0.3">
      <c r="A168" s="3">
        <v>45420</v>
      </c>
      <c r="B168" s="1" t="s">
        <v>267</v>
      </c>
      <c r="C168" s="1" t="s">
        <v>268</v>
      </c>
      <c r="D168" s="1" t="s">
        <v>18</v>
      </c>
      <c r="E168" s="1" t="s">
        <v>699</v>
      </c>
      <c r="F168" s="4">
        <v>11868</v>
      </c>
      <c r="G168" s="1" t="s">
        <v>19</v>
      </c>
      <c r="H168" s="1" t="s">
        <v>269</v>
      </c>
      <c r="I168" s="1" t="s">
        <v>757</v>
      </c>
      <c r="J168" s="1">
        <v>884</v>
      </c>
      <c r="K168" s="1">
        <v>103413</v>
      </c>
      <c r="L168" s="7" t="str">
        <f t="shared" si="2"/>
        <v>30507950848884103413</v>
      </c>
      <c r="M168" s="5">
        <v>3</v>
      </c>
      <c r="N168" s="5">
        <v>0</v>
      </c>
      <c r="O168" s="5">
        <v>0</v>
      </c>
      <c r="P168" s="5">
        <v>38724.870000000003</v>
      </c>
      <c r="Q168" s="5">
        <v>0</v>
      </c>
      <c r="R168" s="1" t="s">
        <v>15</v>
      </c>
      <c r="S168" s="5">
        <v>0</v>
      </c>
      <c r="T168">
        <f>VLOOKUP(L168,'MIS COMPROBANTES'!E:Q,13,0)</f>
        <v>1665169.51</v>
      </c>
    </row>
    <row r="169" spans="1:20" x14ac:dyDescent="0.3">
      <c r="A169" s="3">
        <v>45420</v>
      </c>
      <c r="B169" s="1" t="s">
        <v>91</v>
      </c>
      <c r="C169" s="1" t="s">
        <v>92</v>
      </c>
      <c r="D169" s="1" t="s">
        <v>18</v>
      </c>
      <c r="E169" s="1" t="s">
        <v>654</v>
      </c>
      <c r="F169" s="4">
        <v>11856</v>
      </c>
      <c r="G169" s="1" t="s">
        <v>19</v>
      </c>
      <c r="H169" s="1" t="s">
        <v>270</v>
      </c>
      <c r="I169" s="1" t="s">
        <v>757</v>
      </c>
      <c r="J169" s="1">
        <v>1001</v>
      </c>
      <c r="K169" s="1">
        <v>235628</v>
      </c>
      <c r="L169" s="7" t="str">
        <f t="shared" si="2"/>
        <v>305866115221001235628</v>
      </c>
      <c r="M169" s="5">
        <v>21</v>
      </c>
      <c r="N169" s="5">
        <v>0</v>
      </c>
      <c r="O169" s="5">
        <v>7021200</v>
      </c>
      <c r="P169" s="5">
        <v>1474452</v>
      </c>
      <c r="Q169" s="5">
        <v>9057348</v>
      </c>
      <c r="R169" s="1" t="s">
        <v>15</v>
      </c>
      <c r="S169" s="5">
        <v>351060</v>
      </c>
      <c r="T169">
        <f>VLOOKUP(L169,'MIS COMPROBANTES'!E:Q,13,0)</f>
        <v>9057348</v>
      </c>
    </row>
    <row r="170" spans="1:20" x14ac:dyDescent="0.3">
      <c r="A170" s="3">
        <v>45420</v>
      </c>
      <c r="B170" s="1" t="s">
        <v>91</v>
      </c>
      <c r="C170" s="1" t="s">
        <v>92</v>
      </c>
      <c r="D170" s="1" t="s">
        <v>18</v>
      </c>
      <c r="E170" s="1" t="s">
        <v>654</v>
      </c>
      <c r="F170" s="4">
        <v>11856</v>
      </c>
      <c r="G170" s="1" t="s">
        <v>19</v>
      </c>
      <c r="H170" s="1" t="s">
        <v>270</v>
      </c>
      <c r="I170" s="1" t="s">
        <v>757</v>
      </c>
      <c r="J170" s="1">
        <v>1001</v>
      </c>
      <c r="K170" s="1">
        <v>235628</v>
      </c>
      <c r="L170" s="7" t="str">
        <f t="shared" si="2"/>
        <v>305866115221001235628</v>
      </c>
      <c r="M170" s="5">
        <v>3</v>
      </c>
      <c r="N170" s="5">
        <v>0</v>
      </c>
      <c r="O170" s="5">
        <v>0</v>
      </c>
      <c r="P170" s="5">
        <v>210636</v>
      </c>
      <c r="Q170" s="5">
        <v>0</v>
      </c>
      <c r="R170" s="1" t="s">
        <v>15</v>
      </c>
      <c r="S170" s="5">
        <v>0</v>
      </c>
      <c r="T170">
        <f>VLOOKUP(L170,'MIS COMPROBANTES'!E:Q,13,0)</f>
        <v>9057348</v>
      </c>
    </row>
    <row r="171" spans="1:20" x14ac:dyDescent="0.3">
      <c r="A171" s="3">
        <v>45420</v>
      </c>
      <c r="B171" s="1" t="s">
        <v>155</v>
      </c>
      <c r="C171" s="1" t="s">
        <v>156</v>
      </c>
      <c r="D171" s="1" t="s">
        <v>18</v>
      </c>
      <c r="E171" s="1" t="s">
        <v>671</v>
      </c>
      <c r="F171" s="4">
        <v>11847</v>
      </c>
      <c r="G171" s="1" t="s">
        <v>19</v>
      </c>
      <c r="H171" s="1" t="s">
        <v>271</v>
      </c>
      <c r="I171" s="1" t="s">
        <v>757</v>
      </c>
      <c r="J171" s="1">
        <v>2009</v>
      </c>
      <c r="K171" s="1">
        <v>37599</v>
      </c>
      <c r="L171" s="7" t="str">
        <f t="shared" si="2"/>
        <v>30700869918200937599</v>
      </c>
      <c r="M171" s="5">
        <v>21</v>
      </c>
      <c r="N171" s="5">
        <v>0</v>
      </c>
      <c r="O171" s="5">
        <v>5478000</v>
      </c>
      <c r="P171" s="5">
        <v>1150380</v>
      </c>
      <c r="Q171" s="5">
        <v>7066620</v>
      </c>
      <c r="R171" s="1" t="s">
        <v>15</v>
      </c>
      <c r="S171" s="5">
        <v>273900</v>
      </c>
      <c r="T171">
        <f>VLOOKUP(L171,'MIS COMPROBANTES'!E:Q,13,0)</f>
        <v>7066620</v>
      </c>
    </row>
    <row r="172" spans="1:20" x14ac:dyDescent="0.3">
      <c r="A172" s="3">
        <v>45420</v>
      </c>
      <c r="B172" s="1" t="s">
        <v>155</v>
      </c>
      <c r="C172" s="1" t="s">
        <v>156</v>
      </c>
      <c r="D172" s="1" t="s">
        <v>18</v>
      </c>
      <c r="E172" s="1" t="s">
        <v>671</v>
      </c>
      <c r="F172" s="4">
        <v>11847</v>
      </c>
      <c r="G172" s="1" t="s">
        <v>19</v>
      </c>
      <c r="H172" s="1" t="s">
        <v>271</v>
      </c>
      <c r="I172" s="1" t="s">
        <v>757</v>
      </c>
      <c r="J172" s="1">
        <v>2009</v>
      </c>
      <c r="K172" s="1">
        <v>37599</v>
      </c>
      <c r="L172" s="7" t="str">
        <f t="shared" si="2"/>
        <v>30700869918200937599</v>
      </c>
      <c r="M172" s="5">
        <v>3</v>
      </c>
      <c r="N172" s="5">
        <v>0</v>
      </c>
      <c r="O172" s="5">
        <v>0</v>
      </c>
      <c r="P172" s="5">
        <v>164340</v>
      </c>
      <c r="Q172" s="5">
        <v>0</v>
      </c>
      <c r="R172" s="1" t="s">
        <v>15</v>
      </c>
      <c r="S172" s="5">
        <v>0</v>
      </c>
      <c r="T172">
        <f>VLOOKUP(L172,'MIS COMPROBANTES'!E:Q,13,0)</f>
        <v>7066620</v>
      </c>
    </row>
    <row r="173" spans="1:20" x14ac:dyDescent="0.3">
      <c r="A173" s="3">
        <v>45420</v>
      </c>
      <c r="B173" s="1" t="s">
        <v>155</v>
      </c>
      <c r="C173" s="1" t="s">
        <v>156</v>
      </c>
      <c r="D173" s="1" t="s">
        <v>18</v>
      </c>
      <c r="E173" s="1" t="s">
        <v>671</v>
      </c>
      <c r="F173" s="4">
        <v>11848</v>
      </c>
      <c r="G173" s="1" t="s">
        <v>19</v>
      </c>
      <c r="H173" s="1" t="s">
        <v>272</v>
      </c>
      <c r="I173" s="1" t="s">
        <v>757</v>
      </c>
      <c r="J173" s="1">
        <v>2009</v>
      </c>
      <c r="K173" s="1">
        <v>37600</v>
      </c>
      <c r="L173" s="7" t="str">
        <f t="shared" si="2"/>
        <v>30700869918200937600</v>
      </c>
      <c r="M173" s="5">
        <v>21</v>
      </c>
      <c r="N173" s="5">
        <v>0</v>
      </c>
      <c r="O173" s="5">
        <v>8800000</v>
      </c>
      <c r="P173" s="5">
        <v>1848000</v>
      </c>
      <c r="Q173" s="5">
        <v>11352000</v>
      </c>
      <c r="R173" s="1" t="s">
        <v>15</v>
      </c>
      <c r="S173" s="5">
        <v>440000</v>
      </c>
      <c r="T173">
        <f>VLOOKUP(L173,'MIS COMPROBANTES'!E:Q,13,0)</f>
        <v>11352000</v>
      </c>
    </row>
    <row r="174" spans="1:20" x14ac:dyDescent="0.3">
      <c r="A174" s="3">
        <v>45420</v>
      </c>
      <c r="B174" s="1" t="s">
        <v>155</v>
      </c>
      <c r="C174" s="1" t="s">
        <v>156</v>
      </c>
      <c r="D174" s="1" t="s">
        <v>18</v>
      </c>
      <c r="E174" s="1" t="s">
        <v>671</v>
      </c>
      <c r="F174" s="4">
        <v>11848</v>
      </c>
      <c r="G174" s="1" t="s">
        <v>19</v>
      </c>
      <c r="H174" s="1" t="s">
        <v>272</v>
      </c>
      <c r="I174" s="1" t="s">
        <v>757</v>
      </c>
      <c r="J174" s="1">
        <v>2009</v>
      </c>
      <c r="K174" s="1">
        <v>37600</v>
      </c>
      <c r="L174" s="7" t="str">
        <f t="shared" si="2"/>
        <v>30700869918200937600</v>
      </c>
      <c r="M174" s="5">
        <v>3</v>
      </c>
      <c r="N174" s="5">
        <v>0</v>
      </c>
      <c r="O174" s="5">
        <v>0</v>
      </c>
      <c r="P174" s="5">
        <v>264000</v>
      </c>
      <c r="Q174" s="5">
        <v>0</v>
      </c>
      <c r="R174" s="1" t="s">
        <v>15</v>
      </c>
      <c r="S174" s="5">
        <v>0</v>
      </c>
      <c r="T174">
        <f>VLOOKUP(L174,'MIS COMPROBANTES'!E:Q,13,0)</f>
        <v>11352000</v>
      </c>
    </row>
    <row r="175" spans="1:20" x14ac:dyDescent="0.3">
      <c r="A175" s="3">
        <v>45420</v>
      </c>
      <c r="B175" s="1" t="s">
        <v>22</v>
      </c>
      <c r="C175" s="1" t="s">
        <v>23</v>
      </c>
      <c r="D175" s="1" t="s">
        <v>18</v>
      </c>
      <c r="E175" s="1" t="s">
        <v>634</v>
      </c>
      <c r="F175" s="4">
        <v>11903</v>
      </c>
      <c r="G175" s="1" t="s">
        <v>19</v>
      </c>
      <c r="H175" s="1" t="s">
        <v>273</v>
      </c>
      <c r="I175" s="1" t="s">
        <v>757</v>
      </c>
      <c r="J175" s="1">
        <v>5049</v>
      </c>
      <c r="K175" s="1">
        <v>27473</v>
      </c>
      <c r="L175" s="7" t="str">
        <f t="shared" si="2"/>
        <v>30695542476504927473</v>
      </c>
      <c r="M175" s="5">
        <v>21</v>
      </c>
      <c r="N175" s="5">
        <v>9174.64</v>
      </c>
      <c r="O175" s="5">
        <v>109197.01</v>
      </c>
      <c r="P175" s="5">
        <v>22931.37</v>
      </c>
      <c r="Q175" s="5">
        <v>144578.93</v>
      </c>
      <c r="R175" s="1" t="s">
        <v>15</v>
      </c>
      <c r="S175" s="5">
        <v>0</v>
      </c>
      <c r="T175" t="e">
        <f>VLOOKUP(L175,'MIS COMPROBANTES'!E:Q,13,0)</f>
        <v>#N/A</v>
      </c>
    </row>
    <row r="176" spans="1:20" x14ac:dyDescent="0.3">
      <c r="A176" s="3">
        <v>45420</v>
      </c>
      <c r="B176" s="1" t="s">
        <v>22</v>
      </c>
      <c r="C176" s="1" t="s">
        <v>23</v>
      </c>
      <c r="D176" s="1" t="s">
        <v>18</v>
      </c>
      <c r="E176" s="1" t="s">
        <v>634</v>
      </c>
      <c r="F176" s="4">
        <v>11903</v>
      </c>
      <c r="G176" s="1" t="s">
        <v>19</v>
      </c>
      <c r="H176" s="1" t="s">
        <v>273</v>
      </c>
      <c r="I176" s="1" t="s">
        <v>757</v>
      </c>
      <c r="J176" s="1">
        <v>5049</v>
      </c>
      <c r="K176" s="1">
        <v>27473</v>
      </c>
      <c r="L176" s="7" t="str">
        <f t="shared" si="2"/>
        <v>30695542476504927473</v>
      </c>
      <c r="M176" s="5">
        <v>3</v>
      </c>
      <c r="N176" s="5">
        <v>0</v>
      </c>
      <c r="O176" s="5">
        <v>0</v>
      </c>
      <c r="P176" s="5">
        <v>3275.91</v>
      </c>
      <c r="Q176" s="5">
        <v>0</v>
      </c>
      <c r="R176" s="1" t="s">
        <v>15</v>
      </c>
      <c r="S176" s="5">
        <v>0</v>
      </c>
      <c r="T176" t="e">
        <f>VLOOKUP(L176,'MIS COMPROBANTES'!E:Q,13,0)</f>
        <v>#N/A</v>
      </c>
    </row>
    <row r="177" spans="1:20" x14ac:dyDescent="0.3">
      <c r="A177" s="3">
        <v>45421</v>
      </c>
      <c r="B177" s="1" t="s">
        <v>44</v>
      </c>
      <c r="C177" s="1" t="s">
        <v>45</v>
      </c>
      <c r="D177" s="1" t="s">
        <v>18</v>
      </c>
      <c r="E177" s="1" t="s">
        <v>641</v>
      </c>
      <c r="F177" s="4">
        <v>11943</v>
      </c>
      <c r="G177" s="1" t="s">
        <v>19</v>
      </c>
      <c r="H177" s="1" t="s">
        <v>274</v>
      </c>
      <c r="I177" s="1">
        <v>0</v>
      </c>
      <c r="J177" s="1">
        <v>2024</v>
      </c>
      <c r="K177" s="1">
        <v>10209411</v>
      </c>
      <c r="L177" s="7" t="str">
        <f t="shared" si="2"/>
        <v>30500008454202410209411</v>
      </c>
      <c r="M177" s="5">
        <v>10.5</v>
      </c>
      <c r="N177" s="5">
        <v>1308430.6499999999</v>
      </c>
      <c r="O177" s="5">
        <v>1587945.21</v>
      </c>
      <c r="P177" s="5">
        <v>166734.25</v>
      </c>
      <c r="Q177" s="5">
        <v>3118688.19</v>
      </c>
      <c r="R177" s="1" t="s">
        <v>15</v>
      </c>
      <c r="S177" s="5">
        <v>31758.9</v>
      </c>
      <c r="T177" t="e">
        <f>VLOOKUP(L177,'MIS COMPROBANTES'!E:Q,13,0)</f>
        <v>#N/A</v>
      </c>
    </row>
    <row r="178" spans="1:20" x14ac:dyDescent="0.3">
      <c r="A178" s="3">
        <v>45421</v>
      </c>
      <c r="B178" s="1" t="s">
        <v>44</v>
      </c>
      <c r="C178" s="1" t="s">
        <v>45</v>
      </c>
      <c r="D178" s="1" t="s">
        <v>18</v>
      </c>
      <c r="E178" s="1" t="s">
        <v>641</v>
      </c>
      <c r="F178" s="4">
        <v>11943</v>
      </c>
      <c r="G178" s="1" t="s">
        <v>19</v>
      </c>
      <c r="H178" s="1" t="s">
        <v>274</v>
      </c>
      <c r="I178" s="1">
        <v>0</v>
      </c>
      <c r="J178" s="1">
        <v>2024</v>
      </c>
      <c r="K178" s="1">
        <v>10209411</v>
      </c>
      <c r="L178" s="7" t="str">
        <f t="shared" si="2"/>
        <v>30500008454202410209411</v>
      </c>
      <c r="M178" s="5">
        <v>1.5</v>
      </c>
      <c r="N178" s="5">
        <v>0</v>
      </c>
      <c r="O178" s="5">
        <v>0</v>
      </c>
      <c r="P178" s="5">
        <v>23819.18</v>
      </c>
      <c r="Q178" s="5">
        <v>0</v>
      </c>
      <c r="R178" s="1" t="s">
        <v>15</v>
      </c>
      <c r="S178" s="5">
        <v>0</v>
      </c>
      <c r="T178" t="e">
        <f>VLOOKUP(L178,'MIS COMPROBANTES'!E:Q,13,0)</f>
        <v>#N/A</v>
      </c>
    </row>
    <row r="179" spans="1:20" x14ac:dyDescent="0.3">
      <c r="A179" s="3">
        <v>45421</v>
      </c>
      <c r="B179" s="1" t="s">
        <v>189</v>
      </c>
      <c r="C179" s="1" t="s">
        <v>190</v>
      </c>
      <c r="D179" s="1" t="s">
        <v>18</v>
      </c>
      <c r="E179" s="1" t="s">
        <v>680</v>
      </c>
      <c r="F179" s="4">
        <v>11761</v>
      </c>
      <c r="G179" s="1" t="s">
        <v>19</v>
      </c>
      <c r="H179" s="1" t="s">
        <v>275</v>
      </c>
      <c r="I179" s="1" t="s">
        <v>757</v>
      </c>
      <c r="J179" s="1">
        <v>1</v>
      </c>
      <c r="K179" s="1">
        <v>789</v>
      </c>
      <c r="L179" s="7" t="str">
        <f t="shared" si="2"/>
        <v>307150480661789</v>
      </c>
      <c r="M179" s="5">
        <v>21</v>
      </c>
      <c r="N179" s="5">
        <v>0</v>
      </c>
      <c r="O179" s="5">
        <v>5181819.5</v>
      </c>
      <c r="P179" s="5">
        <v>1088182.1000000001</v>
      </c>
      <c r="Q179" s="5">
        <v>6270001.5999999996</v>
      </c>
      <c r="R179" s="1" t="s">
        <v>15</v>
      </c>
      <c r="S179" s="5">
        <v>0</v>
      </c>
      <c r="T179">
        <f>VLOOKUP(L179,'MIS COMPROBANTES'!E:Q,13,0)</f>
        <v>6270001.5999999996</v>
      </c>
    </row>
    <row r="180" spans="1:20" x14ac:dyDescent="0.3">
      <c r="A180" s="3">
        <v>45421</v>
      </c>
      <c r="B180" s="1" t="s">
        <v>276</v>
      </c>
      <c r="C180" s="1" t="s">
        <v>277</v>
      </c>
      <c r="D180" s="1" t="s">
        <v>18</v>
      </c>
      <c r="E180" s="1" t="s">
        <v>700</v>
      </c>
      <c r="F180" s="4">
        <v>11933</v>
      </c>
      <c r="G180" s="1" t="s">
        <v>19</v>
      </c>
      <c r="H180" s="1" t="s">
        <v>278</v>
      </c>
      <c r="I180" s="1" t="s">
        <v>757</v>
      </c>
      <c r="J180" s="1">
        <v>1</v>
      </c>
      <c r="K180" s="1">
        <v>8370</v>
      </c>
      <c r="L180" s="7" t="str">
        <f t="shared" si="2"/>
        <v>3071662311018370</v>
      </c>
      <c r="M180" s="5">
        <v>10.5</v>
      </c>
      <c r="N180" s="5">
        <v>0</v>
      </c>
      <c r="O180" s="5">
        <v>23049.8</v>
      </c>
      <c r="P180" s="5">
        <v>2420.23</v>
      </c>
      <c r="Q180" s="5">
        <v>25470.03</v>
      </c>
      <c r="R180" s="1" t="s">
        <v>15</v>
      </c>
      <c r="S180" s="5">
        <v>0</v>
      </c>
      <c r="T180">
        <f>VLOOKUP(L180,'MIS COMPROBANTES'!E:Q,13,0)</f>
        <v>25470.03</v>
      </c>
    </row>
    <row r="181" spans="1:20" x14ac:dyDescent="0.3">
      <c r="A181" s="3">
        <v>45421</v>
      </c>
      <c r="B181" s="1" t="s">
        <v>82</v>
      </c>
      <c r="C181" s="1" t="s">
        <v>83</v>
      </c>
      <c r="D181" s="1" t="s">
        <v>18</v>
      </c>
      <c r="E181" s="1" t="s">
        <v>652</v>
      </c>
      <c r="F181" s="4">
        <v>11872</v>
      </c>
      <c r="G181" s="1" t="s">
        <v>19</v>
      </c>
      <c r="H181" s="1" t="s">
        <v>279</v>
      </c>
      <c r="I181" s="1" t="s">
        <v>757</v>
      </c>
      <c r="J181" s="1">
        <v>46</v>
      </c>
      <c r="K181" s="1">
        <v>400569</v>
      </c>
      <c r="L181" s="7" t="str">
        <f t="shared" si="2"/>
        <v>3053214979346400569</v>
      </c>
      <c r="M181" s="5">
        <v>21</v>
      </c>
      <c r="N181" s="5">
        <v>0</v>
      </c>
      <c r="O181" s="5">
        <v>490174.68</v>
      </c>
      <c r="P181" s="5">
        <v>102936.68</v>
      </c>
      <c r="Q181" s="5">
        <v>617620.09</v>
      </c>
      <c r="R181" s="1" t="s">
        <v>15</v>
      </c>
      <c r="S181" s="5">
        <v>9803.49</v>
      </c>
      <c r="T181">
        <f>VLOOKUP(L181,'MIS COMPROBANTES'!E:Q,13,0)</f>
        <v>617620.09</v>
      </c>
    </row>
    <row r="182" spans="1:20" x14ac:dyDescent="0.3">
      <c r="A182" s="3">
        <v>45421</v>
      </c>
      <c r="B182" s="1" t="s">
        <v>82</v>
      </c>
      <c r="C182" s="1" t="s">
        <v>83</v>
      </c>
      <c r="D182" s="1" t="s">
        <v>18</v>
      </c>
      <c r="E182" s="1" t="s">
        <v>652</v>
      </c>
      <c r="F182" s="4">
        <v>11872</v>
      </c>
      <c r="G182" s="1" t="s">
        <v>19</v>
      </c>
      <c r="H182" s="1" t="s">
        <v>279</v>
      </c>
      <c r="I182" s="1" t="s">
        <v>757</v>
      </c>
      <c r="J182" s="1">
        <v>46</v>
      </c>
      <c r="K182" s="1">
        <v>400569</v>
      </c>
      <c r="L182" s="7" t="str">
        <f t="shared" si="2"/>
        <v>3053214979346400569</v>
      </c>
      <c r="M182" s="5">
        <v>3</v>
      </c>
      <c r="N182" s="5">
        <v>0</v>
      </c>
      <c r="O182" s="5">
        <v>0</v>
      </c>
      <c r="P182" s="5">
        <v>14705.24</v>
      </c>
      <c r="Q182" s="5">
        <v>0</v>
      </c>
      <c r="R182" s="1" t="s">
        <v>15</v>
      </c>
      <c r="S182" s="5">
        <v>0</v>
      </c>
      <c r="T182">
        <f>VLOOKUP(L182,'MIS COMPROBANTES'!E:Q,13,0)</f>
        <v>617620.09</v>
      </c>
    </row>
    <row r="183" spans="1:20" x14ac:dyDescent="0.3">
      <c r="A183" s="3">
        <v>45421</v>
      </c>
      <c r="B183" s="1" t="s">
        <v>280</v>
      </c>
      <c r="C183" s="1" t="s">
        <v>281</v>
      </c>
      <c r="D183" s="1" t="s">
        <v>18</v>
      </c>
      <c r="E183" s="1" t="s">
        <v>701</v>
      </c>
      <c r="F183" s="4">
        <v>12074</v>
      </c>
      <c r="G183" s="1" t="s">
        <v>19</v>
      </c>
      <c r="H183" s="1" t="s">
        <v>282</v>
      </c>
      <c r="I183" s="1" t="s">
        <v>757</v>
      </c>
      <c r="J183" s="1">
        <v>60</v>
      </c>
      <c r="K183" s="1">
        <v>308546</v>
      </c>
      <c r="L183" s="7" t="str">
        <f t="shared" si="2"/>
        <v>3370725983960308546</v>
      </c>
      <c r="M183" s="5">
        <v>21</v>
      </c>
      <c r="N183" s="5">
        <v>0</v>
      </c>
      <c r="O183" s="5">
        <v>326397.65999999997</v>
      </c>
      <c r="P183" s="5">
        <v>68543.509999999995</v>
      </c>
      <c r="Q183" s="5">
        <v>411261.05</v>
      </c>
      <c r="R183" s="1" t="s">
        <v>15</v>
      </c>
      <c r="S183" s="5">
        <v>6527.95</v>
      </c>
      <c r="T183">
        <f>VLOOKUP(L183,'MIS COMPROBANTES'!E:Q,13,0)</f>
        <v>411261.05</v>
      </c>
    </row>
    <row r="184" spans="1:20" x14ac:dyDescent="0.3">
      <c r="A184" s="3">
        <v>45421</v>
      </c>
      <c r="B184" s="1" t="s">
        <v>280</v>
      </c>
      <c r="C184" s="1" t="s">
        <v>281</v>
      </c>
      <c r="D184" s="1" t="s">
        <v>18</v>
      </c>
      <c r="E184" s="1" t="s">
        <v>701</v>
      </c>
      <c r="F184" s="4">
        <v>12074</v>
      </c>
      <c r="G184" s="1" t="s">
        <v>19</v>
      </c>
      <c r="H184" s="1" t="s">
        <v>282</v>
      </c>
      <c r="I184" s="1" t="s">
        <v>757</v>
      </c>
      <c r="J184" s="1">
        <v>60</v>
      </c>
      <c r="K184" s="1">
        <v>308546</v>
      </c>
      <c r="L184" s="7" t="str">
        <f t="shared" si="2"/>
        <v>3370725983960308546</v>
      </c>
      <c r="M184" s="5">
        <v>3</v>
      </c>
      <c r="N184" s="5">
        <v>0</v>
      </c>
      <c r="O184" s="5">
        <v>0</v>
      </c>
      <c r="P184" s="5">
        <v>9791.93</v>
      </c>
      <c r="Q184" s="5">
        <v>0</v>
      </c>
      <c r="R184" s="1" t="s">
        <v>15</v>
      </c>
      <c r="S184" s="5">
        <v>0</v>
      </c>
      <c r="T184">
        <f>VLOOKUP(L184,'MIS COMPROBANTES'!E:Q,13,0)</f>
        <v>411261.05</v>
      </c>
    </row>
    <row r="185" spans="1:20" x14ac:dyDescent="0.3">
      <c r="A185" s="3">
        <v>45421</v>
      </c>
      <c r="B185" s="1" t="s">
        <v>85</v>
      </c>
      <c r="C185" s="1" t="s">
        <v>86</v>
      </c>
      <c r="D185" s="1" t="s">
        <v>18</v>
      </c>
      <c r="E185" s="1" t="s">
        <v>653</v>
      </c>
      <c r="F185" s="4">
        <v>11858</v>
      </c>
      <c r="G185" s="1" t="s">
        <v>19</v>
      </c>
      <c r="H185" s="1" t="s">
        <v>283</v>
      </c>
      <c r="I185" s="1" t="s">
        <v>757</v>
      </c>
      <c r="J185" s="1">
        <v>218</v>
      </c>
      <c r="K185" s="1">
        <v>161092</v>
      </c>
      <c r="L185" s="7" t="str">
        <f t="shared" si="2"/>
        <v>30501290323218161092</v>
      </c>
      <c r="M185" s="5">
        <v>21</v>
      </c>
      <c r="N185" s="5">
        <v>0</v>
      </c>
      <c r="O185" s="5">
        <v>4395523.2300000004</v>
      </c>
      <c r="P185" s="5">
        <v>923059.88</v>
      </c>
      <c r="Q185" s="5">
        <v>5670224.9699999997</v>
      </c>
      <c r="R185" s="1" t="s">
        <v>15</v>
      </c>
      <c r="S185" s="5">
        <v>219776.16</v>
      </c>
      <c r="T185">
        <f>VLOOKUP(L185,'MIS COMPROBANTES'!E:Q,13,0)</f>
        <v>5670224.9699999997</v>
      </c>
    </row>
    <row r="186" spans="1:20" x14ac:dyDescent="0.3">
      <c r="A186" s="3">
        <v>45421</v>
      </c>
      <c r="B186" s="1" t="s">
        <v>85</v>
      </c>
      <c r="C186" s="1" t="s">
        <v>86</v>
      </c>
      <c r="D186" s="1" t="s">
        <v>18</v>
      </c>
      <c r="E186" s="1" t="s">
        <v>653</v>
      </c>
      <c r="F186" s="4">
        <v>11858</v>
      </c>
      <c r="G186" s="1" t="s">
        <v>19</v>
      </c>
      <c r="H186" s="1" t="s">
        <v>283</v>
      </c>
      <c r="I186" s="1" t="s">
        <v>757</v>
      </c>
      <c r="J186" s="1">
        <v>218</v>
      </c>
      <c r="K186" s="1">
        <v>161092</v>
      </c>
      <c r="L186" s="7" t="str">
        <f t="shared" si="2"/>
        <v>30501290323218161092</v>
      </c>
      <c r="M186" s="5">
        <v>3</v>
      </c>
      <c r="N186" s="5">
        <v>0</v>
      </c>
      <c r="O186" s="5">
        <v>0</v>
      </c>
      <c r="P186" s="5">
        <v>131865.70000000001</v>
      </c>
      <c r="Q186" s="5">
        <v>0</v>
      </c>
      <c r="R186" s="1" t="s">
        <v>15</v>
      </c>
      <c r="S186" s="5">
        <v>0</v>
      </c>
      <c r="T186">
        <f>VLOOKUP(L186,'MIS COMPROBANTES'!E:Q,13,0)</f>
        <v>5670224.9699999997</v>
      </c>
    </row>
    <row r="187" spans="1:20" x14ac:dyDescent="0.3">
      <c r="A187" s="3">
        <v>45421</v>
      </c>
      <c r="B187" s="1" t="s">
        <v>236</v>
      </c>
      <c r="C187" s="1" t="s">
        <v>237</v>
      </c>
      <c r="D187" s="1" t="s">
        <v>18</v>
      </c>
      <c r="E187" s="1" t="s">
        <v>691</v>
      </c>
      <c r="F187" s="4">
        <v>11799</v>
      </c>
      <c r="G187" s="1" t="s">
        <v>27</v>
      </c>
      <c r="H187" s="1" t="s">
        <v>284</v>
      </c>
      <c r="I187" s="1" t="s">
        <v>757</v>
      </c>
      <c r="J187" s="1">
        <v>6010</v>
      </c>
      <c r="K187" s="1">
        <v>55260</v>
      </c>
      <c r="L187" s="7" t="str">
        <f t="shared" si="2"/>
        <v>30501116242601055260</v>
      </c>
      <c r="M187" s="5">
        <v>21</v>
      </c>
      <c r="N187" s="5">
        <v>0</v>
      </c>
      <c r="O187" s="5">
        <v>-232642.8</v>
      </c>
      <c r="P187" s="5">
        <v>-48854.99</v>
      </c>
      <c r="Q187" s="5">
        <v>-281497.78999999998</v>
      </c>
      <c r="R187" s="1" t="s">
        <v>15</v>
      </c>
      <c r="S187" s="5">
        <v>0</v>
      </c>
      <c r="T187">
        <f>VLOOKUP(L187,'MIS COMPROBANTES'!E:Q,13,0)</f>
        <v>281497.78999999998</v>
      </c>
    </row>
    <row r="188" spans="1:20" x14ac:dyDescent="0.3">
      <c r="A188" s="3">
        <v>45422</v>
      </c>
      <c r="B188" s="1" t="s">
        <v>44</v>
      </c>
      <c r="C188" s="1" t="s">
        <v>45</v>
      </c>
      <c r="D188" s="1" t="s">
        <v>18</v>
      </c>
      <c r="E188" s="1" t="s">
        <v>641</v>
      </c>
      <c r="F188" s="4">
        <v>11832</v>
      </c>
      <c r="G188" s="1" t="s">
        <v>19</v>
      </c>
      <c r="H188" s="1" t="s">
        <v>285</v>
      </c>
      <c r="I188" s="1">
        <v>0</v>
      </c>
      <c r="J188" s="1">
        <v>2024</v>
      </c>
      <c r="K188" s="1">
        <v>90013901</v>
      </c>
      <c r="L188" s="7" t="str">
        <f t="shared" si="2"/>
        <v>30500008454202490013901</v>
      </c>
      <c r="M188" s="5">
        <v>10.5</v>
      </c>
      <c r="N188" s="5">
        <v>621.97</v>
      </c>
      <c r="O188" s="5">
        <v>16259.26</v>
      </c>
      <c r="P188" s="5">
        <v>1707.23</v>
      </c>
      <c r="Q188" s="5">
        <v>19157.54</v>
      </c>
      <c r="R188" s="1" t="s">
        <v>15</v>
      </c>
      <c r="S188" s="5">
        <v>325.19</v>
      </c>
      <c r="T188" t="e">
        <f>VLOOKUP(L188,'MIS COMPROBANTES'!E:Q,13,0)</f>
        <v>#N/A</v>
      </c>
    </row>
    <row r="189" spans="1:20" x14ac:dyDescent="0.3">
      <c r="A189" s="3">
        <v>45422</v>
      </c>
      <c r="B189" s="1" t="s">
        <v>44</v>
      </c>
      <c r="C189" s="1" t="s">
        <v>45</v>
      </c>
      <c r="D189" s="1" t="s">
        <v>18</v>
      </c>
      <c r="E189" s="1" t="s">
        <v>641</v>
      </c>
      <c r="F189" s="4">
        <v>11832</v>
      </c>
      <c r="G189" s="1" t="s">
        <v>19</v>
      </c>
      <c r="H189" s="1" t="s">
        <v>285</v>
      </c>
      <c r="I189" s="1">
        <v>0</v>
      </c>
      <c r="J189" s="1">
        <v>2024</v>
      </c>
      <c r="K189" s="1">
        <v>90013901</v>
      </c>
      <c r="L189" s="7" t="str">
        <f t="shared" si="2"/>
        <v>30500008454202490013901</v>
      </c>
      <c r="M189" s="5">
        <v>1.5</v>
      </c>
      <c r="N189" s="5">
        <v>0</v>
      </c>
      <c r="O189" s="5">
        <v>0</v>
      </c>
      <c r="P189" s="5">
        <v>243.89</v>
      </c>
      <c r="Q189" s="5">
        <v>0</v>
      </c>
      <c r="R189" s="1" t="s">
        <v>15</v>
      </c>
      <c r="S189" s="5">
        <v>0</v>
      </c>
      <c r="T189" t="e">
        <f>VLOOKUP(L189,'MIS COMPROBANTES'!E:Q,13,0)</f>
        <v>#N/A</v>
      </c>
    </row>
    <row r="190" spans="1:20" x14ac:dyDescent="0.3">
      <c r="A190" s="3">
        <v>45422</v>
      </c>
      <c r="B190" s="1" t="s">
        <v>286</v>
      </c>
      <c r="C190" s="1" t="s">
        <v>287</v>
      </c>
      <c r="D190" s="1" t="s">
        <v>18</v>
      </c>
      <c r="E190" s="1" t="s">
        <v>702</v>
      </c>
      <c r="F190" s="4">
        <v>12123</v>
      </c>
      <c r="G190" s="1" t="s">
        <v>19</v>
      </c>
      <c r="H190" s="1" t="s">
        <v>288</v>
      </c>
      <c r="I190" s="1" t="s">
        <v>757</v>
      </c>
      <c r="J190" s="1">
        <v>1</v>
      </c>
      <c r="K190" s="1">
        <v>5529</v>
      </c>
      <c r="L190" s="7" t="str">
        <f t="shared" si="2"/>
        <v>3071642303015529</v>
      </c>
      <c r="M190" s="5">
        <v>21</v>
      </c>
      <c r="N190" s="5">
        <v>0</v>
      </c>
      <c r="O190" s="5">
        <v>291698.5</v>
      </c>
      <c r="P190" s="5">
        <v>61256.69</v>
      </c>
      <c r="Q190" s="5">
        <v>352955.19</v>
      </c>
      <c r="R190" s="1" t="s">
        <v>15</v>
      </c>
      <c r="S190" s="5">
        <v>0</v>
      </c>
      <c r="T190">
        <f>VLOOKUP(L190,'MIS COMPROBANTES'!E:Q,13,0)</f>
        <v>352955.19</v>
      </c>
    </row>
    <row r="191" spans="1:20" x14ac:dyDescent="0.3">
      <c r="A191" s="3">
        <v>45422</v>
      </c>
      <c r="B191" s="1" t="s">
        <v>286</v>
      </c>
      <c r="C191" s="1" t="s">
        <v>287</v>
      </c>
      <c r="D191" s="1" t="s">
        <v>18</v>
      </c>
      <c r="E191" s="1" t="s">
        <v>702</v>
      </c>
      <c r="F191" s="4">
        <v>12122</v>
      </c>
      <c r="G191" s="1" t="s">
        <v>19</v>
      </c>
      <c r="H191" s="1" t="s">
        <v>289</v>
      </c>
      <c r="I191" s="1" t="s">
        <v>757</v>
      </c>
      <c r="J191" s="1">
        <v>1</v>
      </c>
      <c r="K191" s="1">
        <v>5530</v>
      </c>
      <c r="L191" s="7" t="str">
        <f t="shared" si="2"/>
        <v>3071642303015530</v>
      </c>
      <c r="M191" s="5">
        <v>21</v>
      </c>
      <c r="N191" s="5">
        <v>0</v>
      </c>
      <c r="O191" s="5">
        <v>336898.38</v>
      </c>
      <c r="P191" s="5">
        <v>70748.66</v>
      </c>
      <c r="Q191" s="5">
        <v>407647.04</v>
      </c>
      <c r="R191" s="1" t="s">
        <v>15</v>
      </c>
      <c r="S191" s="5">
        <v>0</v>
      </c>
      <c r="T191">
        <f>VLOOKUP(L191,'MIS COMPROBANTES'!E:Q,13,0)</f>
        <v>407647.04</v>
      </c>
    </row>
    <row r="192" spans="1:20" x14ac:dyDescent="0.3">
      <c r="A192" s="3">
        <v>45422</v>
      </c>
      <c r="B192" s="1" t="s">
        <v>290</v>
      </c>
      <c r="C192" s="1" t="s">
        <v>291</v>
      </c>
      <c r="D192" s="1" t="s">
        <v>18</v>
      </c>
      <c r="E192" s="1" t="s">
        <v>703</v>
      </c>
      <c r="F192" s="4">
        <v>11918</v>
      </c>
      <c r="G192" s="1" t="s">
        <v>19</v>
      </c>
      <c r="H192" s="1" t="s">
        <v>292</v>
      </c>
      <c r="I192" s="1" t="s">
        <v>757</v>
      </c>
      <c r="J192" s="1">
        <v>21</v>
      </c>
      <c r="K192" s="1">
        <v>1117533</v>
      </c>
      <c r="L192" s="7" t="str">
        <f t="shared" si="2"/>
        <v>30550245309211117533</v>
      </c>
      <c r="M192" s="5">
        <v>21</v>
      </c>
      <c r="N192" s="5">
        <v>0</v>
      </c>
      <c r="O192" s="5">
        <v>2007028.75</v>
      </c>
      <c r="P192" s="5">
        <v>574.71</v>
      </c>
      <c r="Q192" s="5">
        <v>2318405.56</v>
      </c>
      <c r="R192" s="1" t="s">
        <v>15</v>
      </c>
      <c r="S192" s="5">
        <v>100351.44</v>
      </c>
      <c r="T192">
        <f>VLOOKUP(L192,'MIS COMPROBANTES'!E:Q,13,0)</f>
        <v>2318405.56</v>
      </c>
    </row>
    <row r="193" spans="1:20" x14ac:dyDescent="0.3">
      <c r="A193" s="3">
        <v>45422</v>
      </c>
      <c r="B193" s="1" t="s">
        <v>290</v>
      </c>
      <c r="C193" s="1" t="s">
        <v>291</v>
      </c>
      <c r="D193" s="1" t="s">
        <v>18</v>
      </c>
      <c r="E193" s="1" t="s">
        <v>703</v>
      </c>
      <c r="F193" s="4">
        <v>11918</v>
      </c>
      <c r="G193" s="1" t="s">
        <v>19</v>
      </c>
      <c r="H193" s="1" t="s">
        <v>292</v>
      </c>
      <c r="I193" s="1" t="s">
        <v>757</v>
      </c>
      <c r="J193" s="1">
        <v>21</v>
      </c>
      <c r="K193" s="1">
        <v>1117533</v>
      </c>
      <c r="L193" s="7" t="str">
        <f t="shared" si="2"/>
        <v>30550245309211117533</v>
      </c>
      <c r="M193" s="5">
        <v>10.5</v>
      </c>
      <c r="N193" s="5">
        <v>0</v>
      </c>
      <c r="O193" s="5">
        <v>0</v>
      </c>
      <c r="P193" s="5">
        <v>210450.66</v>
      </c>
      <c r="Q193" s="5">
        <v>0</v>
      </c>
      <c r="R193" s="1" t="s">
        <v>15</v>
      </c>
      <c r="S193" s="5">
        <v>0</v>
      </c>
      <c r="T193">
        <f>VLOOKUP(L193,'MIS COMPROBANTES'!E:Q,13,0)</f>
        <v>2318405.56</v>
      </c>
    </row>
    <row r="194" spans="1:20" x14ac:dyDescent="0.3">
      <c r="A194" s="3">
        <v>45422</v>
      </c>
      <c r="B194" s="1" t="s">
        <v>135</v>
      </c>
      <c r="C194" s="1" t="s">
        <v>136</v>
      </c>
      <c r="D194" s="1" t="s">
        <v>18</v>
      </c>
      <c r="E194" s="1" t="s">
        <v>666</v>
      </c>
      <c r="F194" s="4">
        <v>11873</v>
      </c>
      <c r="G194" s="1" t="s">
        <v>19</v>
      </c>
      <c r="H194" s="1" t="s">
        <v>293</v>
      </c>
      <c r="I194" s="1" t="s">
        <v>757</v>
      </c>
      <c r="J194" s="1">
        <v>63</v>
      </c>
      <c r="K194" s="1">
        <v>65758</v>
      </c>
      <c r="L194" s="7" t="str">
        <f t="shared" si="2"/>
        <v>305038616386365758</v>
      </c>
      <c r="M194" s="5">
        <v>21</v>
      </c>
      <c r="N194" s="5">
        <v>0</v>
      </c>
      <c r="O194" s="5">
        <v>576480.85</v>
      </c>
      <c r="P194" s="5">
        <v>121060.99</v>
      </c>
      <c r="Q194" s="5">
        <v>726365.87</v>
      </c>
      <c r="R194" s="1" t="s">
        <v>15</v>
      </c>
      <c r="S194" s="5">
        <v>11529.61</v>
      </c>
      <c r="T194">
        <f>VLOOKUP(L194,'MIS COMPROBANTES'!E:Q,13,0)</f>
        <v>726365.85</v>
      </c>
    </row>
    <row r="195" spans="1:20" x14ac:dyDescent="0.3">
      <c r="A195" s="3">
        <v>45422</v>
      </c>
      <c r="B195" s="1" t="s">
        <v>135</v>
      </c>
      <c r="C195" s="1" t="s">
        <v>136</v>
      </c>
      <c r="D195" s="1" t="s">
        <v>18</v>
      </c>
      <c r="E195" s="1" t="s">
        <v>666</v>
      </c>
      <c r="F195" s="4">
        <v>11873</v>
      </c>
      <c r="G195" s="1" t="s">
        <v>19</v>
      </c>
      <c r="H195" s="1" t="s">
        <v>293</v>
      </c>
      <c r="I195" s="1" t="s">
        <v>757</v>
      </c>
      <c r="J195" s="1">
        <v>63</v>
      </c>
      <c r="K195" s="1">
        <v>65758</v>
      </c>
      <c r="L195" s="7" t="str">
        <f t="shared" ref="L195:L258" si="3">CONCATENATE(E195,J195,K195)</f>
        <v>305038616386365758</v>
      </c>
      <c r="M195" s="5">
        <v>3</v>
      </c>
      <c r="N195" s="5">
        <v>0</v>
      </c>
      <c r="O195" s="5">
        <v>0</v>
      </c>
      <c r="P195" s="5">
        <v>17294.419999999998</v>
      </c>
      <c r="Q195" s="5">
        <v>0</v>
      </c>
      <c r="R195" s="1" t="s">
        <v>15</v>
      </c>
      <c r="S195" s="5">
        <v>0</v>
      </c>
      <c r="T195">
        <f>VLOOKUP(L195,'MIS COMPROBANTES'!E:Q,13,0)</f>
        <v>726365.85</v>
      </c>
    </row>
    <row r="196" spans="1:20" x14ac:dyDescent="0.3">
      <c r="A196" s="3">
        <v>45422</v>
      </c>
      <c r="B196" s="1" t="s">
        <v>35</v>
      </c>
      <c r="C196" s="1" t="s">
        <v>36</v>
      </c>
      <c r="D196" s="1" t="s">
        <v>18</v>
      </c>
      <c r="E196" s="1" t="s">
        <v>638</v>
      </c>
      <c r="F196" s="4">
        <v>11904</v>
      </c>
      <c r="G196" s="1" t="s">
        <v>19</v>
      </c>
      <c r="H196" s="1" t="s">
        <v>294</v>
      </c>
      <c r="I196" s="1" t="s">
        <v>757</v>
      </c>
      <c r="J196" s="1">
        <v>80</v>
      </c>
      <c r="K196" s="1">
        <v>116093</v>
      </c>
      <c r="L196" s="7" t="str">
        <f t="shared" si="3"/>
        <v>3370790140980116093</v>
      </c>
      <c r="M196" s="5">
        <v>21</v>
      </c>
      <c r="N196" s="5">
        <v>4103.87</v>
      </c>
      <c r="O196" s="5">
        <v>46195.28</v>
      </c>
      <c r="P196" s="5">
        <v>9701.01</v>
      </c>
      <c r="Q196" s="5">
        <v>60000.160000000003</v>
      </c>
      <c r="R196" s="1" t="s">
        <v>15</v>
      </c>
      <c r="S196" s="5">
        <v>0</v>
      </c>
      <c r="T196" t="e">
        <f>VLOOKUP(L196,'MIS COMPROBANTES'!E:Q,13,0)</f>
        <v>#N/A</v>
      </c>
    </row>
    <row r="197" spans="1:20" x14ac:dyDescent="0.3">
      <c r="A197" s="3">
        <v>45422</v>
      </c>
      <c r="B197" s="1" t="s">
        <v>138</v>
      </c>
      <c r="C197" s="1" t="s">
        <v>139</v>
      </c>
      <c r="D197" s="1" t="s">
        <v>18</v>
      </c>
      <c r="E197" s="1" t="s">
        <v>667</v>
      </c>
      <c r="F197" s="4">
        <v>11859</v>
      </c>
      <c r="G197" s="1" t="s">
        <v>19</v>
      </c>
      <c r="H197" s="1" t="s">
        <v>295</v>
      </c>
      <c r="I197" s="1" t="s">
        <v>757</v>
      </c>
      <c r="J197" s="1">
        <v>91</v>
      </c>
      <c r="K197" s="1">
        <v>243492</v>
      </c>
      <c r="L197" s="7" t="str">
        <f t="shared" si="3"/>
        <v>3070705980691243492</v>
      </c>
      <c r="M197" s="5">
        <v>21</v>
      </c>
      <c r="N197" s="5">
        <v>0</v>
      </c>
      <c r="O197" s="5">
        <v>4050000</v>
      </c>
      <c r="P197" s="5">
        <v>850500</v>
      </c>
      <c r="Q197" s="5">
        <v>5224500</v>
      </c>
      <c r="R197" s="1" t="s">
        <v>141</v>
      </c>
      <c r="S197" s="5">
        <v>202500</v>
      </c>
      <c r="T197">
        <f>VLOOKUP(L197,'MIS COMPROBANTES'!E:Q,13,0)</f>
        <v>5224500</v>
      </c>
    </row>
    <row r="198" spans="1:20" x14ac:dyDescent="0.3">
      <c r="A198" s="3">
        <v>45422</v>
      </c>
      <c r="B198" s="1" t="s">
        <v>138</v>
      </c>
      <c r="C198" s="1" t="s">
        <v>139</v>
      </c>
      <c r="D198" s="1" t="s">
        <v>18</v>
      </c>
      <c r="E198" s="1" t="s">
        <v>667</v>
      </c>
      <c r="F198" s="4">
        <v>11859</v>
      </c>
      <c r="G198" s="1" t="s">
        <v>19</v>
      </c>
      <c r="H198" s="1" t="s">
        <v>295</v>
      </c>
      <c r="I198" s="1" t="s">
        <v>757</v>
      </c>
      <c r="J198" s="1">
        <v>91</v>
      </c>
      <c r="K198" s="1">
        <v>243492</v>
      </c>
      <c r="L198" s="7" t="str">
        <f t="shared" si="3"/>
        <v>3070705980691243492</v>
      </c>
      <c r="M198" s="5">
        <v>3</v>
      </c>
      <c r="N198" s="5">
        <v>0</v>
      </c>
      <c r="O198" s="5">
        <v>0</v>
      </c>
      <c r="P198" s="5">
        <v>121500</v>
      </c>
      <c r="Q198" s="5">
        <v>0</v>
      </c>
      <c r="R198" s="1" t="s">
        <v>141</v>
      </c>
      <c r="S198" s="5">
        <v>0</v>
      </c>
      <c r="T198">
        <f>VLOOKUP(L198,'MIS COMPROBANTES'!E:Q,13,0)</f>
        <v>5224500</v>
      </c>
    </row>
    <row r="199" spans="1:20" x14ac:dyDescent="0.3">
      <c r="A199" s="3">
        <v>45422</v>
      </c>
      <c r="B199" s="1" t="s">
        <v>296</v>
      </c>
      <c r="C199" s="1" t="s">
        <v>297</v>
      </c>
      <c r="D199" s="1" t="s">
        <v>18</v>
      </c>
      <c r="E199" s="1" t="s">
        <v>704</v>
      </c>
      <c r="F199" s="4">
        <v>11990</v>
      </c>
      <c r="G199" s="1" t="s">
        <v>19</v>
      </c>
      <c r="H199" s="1" t="s">
        <v>298</v>
      </c>
      <c r="I199" s="1" t="s">
        <v>757</v>
      </c>
      <c r="J199" s="1">
        <v>135</v>
      </c>
      <c r="K199" s="1">
        <v>25953</v>
      </c>
      <c r="L199" s="7" t="str">
        <f t="shared" si="3"/>
        <v>3056610835213525953</v>
      </c>
      <c r="M199" s="5">
        <v>21</v>
      </c>
      <c r="N199" s="5">
        <v>0</v>
      </c>
      <c r="O199" s="5">
        <v>20001667.449999999</v>
      </c>
      <c r="P199" s="5">
        <v>4200350.16</v>
      </c>
      <c r="Q199" s="5">
        <v>25202100.98</v>
      </c>
      <c r="R199" s="1" t="s">
        <v>15</v>
      </c>
      <c r="S199" s="5">
        <v>1000083.37</v>
      </c>
      <c r="T199">
        <f>VLOOKUP(L199,'MIS COMPROBANTES'!E:Q,13,0)</f>
        <v>25202100.98</v>
      </c>
    </row>
    <row r="200" spans="1:20" x14ac:dyDescent="0.3">
      <c r="A200" s="3">
        <v>45422</v>
      </c>
      <c r="B200" s="1" t="s">
        <v>142</v>
      </c>
      <c r="C200" s="1" t="s">
        <v>143</v>
      </c>
      <c r="D200" s="1" t="s">
        <v>18</v>
      </c>
      <c r="E200" s="1" t="s">
        <v>668</v>
      </c>
      <c r="F200" s="4">
        <v>11888</v>
      </c>
      <c r="G200" s="1" t="s">
        <v>19</v>
      </c>
      <c r="H200" s="1" t="s">
        <v>299</v>
      </c>
      <c r="I200" s="1" t="s">
        <v>757</v>
      </c>
      <c r="J200" s="1">
        <v>539</v>
      </c>
      <c r="K200" s="1">
        <v>40564</v>
      </c>
      <c r="L200" s="7" t="str">
        <f t="shared" si="3"/>
        <v>3066319759953940564</v>
      </c>
      <c r="M200" s="5">
        <v>21</v>
      </c>
      <c r="N200" s="5">
        <v>0</v>
      </c>
      <c r="O200" s="5">
        <v>757721.91</v>
      </c>
      <c r="P200" s="5">
        <v>159121.59</v>
      </c>
      <c r="Q200" s="5">
        <v>931997.93</v>
      </c>
      <c r="R200" s="1" t="s">
        <v>15</v>
      </c>
      <c r="S200" s="5">
        <v>15154.43</v>
      </c>
      <c r="T200">
        <f>VLOOKUP(L200,'MIS COMPROBANTES'!E:Q,13,0)</f>
        <v>931997.94</v>
      </c>
    </row>
    <row r="201" spans="1:20" x14ac:dyDescent="0.3">
      <c r="A201" s="3">
        <v>45422</v>
      </c>
      <c r="B201" s="1" t="s">
        <v>64</v>
      </c>
      <c r="C201" s="1" t="s">
        <v>65</v>
      </c>
      <c r="D201" s="1" t="s">
        <v>18</v>
      </c>
      <c r="E201" s="1" t="s">
        <v>647</v>
      </c>
      <c r="F201" s="4">
        <v>12062</v>
      </c>
      <c r="G201" s="1" t="s">
        <v>19</v>
      </c>
      <c r="H201" s="1" t="s">
        <v>300</v>
      </c>
      <c r="I201" s="1" t="s">
        <v>757</v>
      </c>
      <c r="J201" s="1">
        <v>2002</v>
      </c>
      <c r="K201" s="1">
        <v>286552</v>
      </c>
      <c r="L201" s="7" t="str">
        <f t="shared" si="3"/>
        <v>305007682622002286552</v>
      </c>
      <c r="M201" s="5">
        <v>21</v>
      </c>
      <c r="N201" s="5">
        <v>0</v>
      </c>
      <c r="O201" s="5">
        <v>6019427.6299999999</v>
      </c>
      <c r="P201" s="5">
        <v>1264079.8</v>
      </c>
      <c r="Q201" s="5">
        <v>7765061.6399999997</v>
      </c>
      <c r="R201" s="1" t="s">
        <v>15</v>
      </c>
      <c r="S201" s="5">
        <v>300971.38</v>
      </c>
      <c r="T201">
        <f>VLOOKUP(L201,'MIS COMPROBANTES'!E:Q,13,0)</f>
        <v>7765061.6399999997</v>
      </c>
    </row>
    <row r="202" spans="1:20" x14ac:dyDescent="0.3">
      <c r="A202" s="3">
        <v>45422</v>
      </c>
      <c r="B202" s="1" t="s">
        <v>64</v>
      </c>
      <c r="C202" s="1" t="s">
        <v>65</v>
      </c>
      <c r="D202" s="1" t="s">
        <v>18</v>
      </c>
      <c r="E202" s="1" t="s">
        <v>647</v>
      </c>
      <c r="F202" s="4">
        <v>12062</v>
      </c>
      <c r="G202" s="1" t="s">
        <v>19</v>
      </c>
      <c r="H202" s="1" t="s">
        <v>300</v>
      </c>
      <c r="I202" s="1" t="s">
        <v>757</v>
      </c>
      <c r="J202" s="1">
        <v>2002</v>
      </c>
      <c r="K202" s="1">
        <v>286552</v>
      </c>
      <c r="L202" s="7" t="str">
        <f t="shared" si="3"/>
        <v>305007682622002286552</v>
      </c>
      <c r="M202" s="5">
        <v>3</v>
      </c>
      <c r="N202" s="5">
        <v>0</v>
      </c>
      <c r="O202" s="5">
        <v>0</v>
      </c>
      <c r="P202" s="5">
        <v>180582.83</v>
      </c>
      <c r="Q202" s="5">
        <v>0</v>
      </c>
      <c r="R202" s="1" t="s">
        <v>15</v>
      </c>
      <c r="S202" s="5">
        <v>0</v>
      </c>
      <c r="T202">
        <f>VLOOKUP(L202,'MIS COMPROBANTES'!E:Q,13,0)</f>
        <v>7765061.6399999997</v>
      </c>
    </row>
    <row r="203" spans="1:20" x14ac:dyDescent="0.3">
      <c r="A203" s="3">
        <v>45422</v>
      </c>
      <c r="B203" s="1" t="s">
        <v>22</v>
      </c>
      <c r="C203" s="1" t="s">
        <v>23</v>
      </c>
      <c r="D203" s="1" t="s">
        <v>18</v>
      </c>
      <c r="E203" s="1" t="s">
        <v>634</v>
      </c>
      <c r="F203" s="4">
        <v>11905</v>
      </c>
      <c r="G203" s="1" t="s">
        <v>19</v>
      </c>
      <c r="H203" s="1" t="s">
        <v>301</v>
      </c>
      <c r="I203" s="1" t="s">
        <v>757</v>
      </c>
      <c r="J203" s="1">
        <v>5126</v>
      </c>
      <c r="K203" s="1">
        <v>27780</v>
      </c>
      <c r="L203" s="7" t="str">
        <f t="shared" si="3"/>
        <v>30695542476512627780</v>
      </c>
      <c r="M203" s="5">
        <v>21</v>
      </c>
      <c r="N203" s="5">
        <v>5307.35</v>
      </c>
      <c r="O203" s="5">
        <v>63168.31</v>
      </c>
      <c r="P203" s="5">
        <v>13265.35</v>
      </c>
      <c r="Q203" s="5">
        <v>83636.06</v>
      </c>
      <c r="R203" s="1" t="s">
        <v>15</v>
      </c>
      <c r="S203" s="5">
        <v>0</v>
      </c>
      <c r="T203" t="e">
        <f>VLOOKUP(L203,'MIS COMPROBANTES'!E:Q,13,0)</f>
        <v>#N/A</v>
      </c>
    </row>
    <row r="204" spans="1:20" x14ac:dyDescent="0.3">
      <c r="A204" s="3">
        <v>45422</v>
      </c>
      <c r="B204" s="1" t="s">
        <v>22</v>
      </c>
      <c r="C204" s="1" t="s">
        <v>23</v>
      </c>
      <c r="D204" s="1" t="s">
        <v>18</v>
      </c>
      <c r="E204" s="1" t="s">
        <v>634</v>
      </c>
      <c r="F204" s="4">
        <v>11905</v>
      </c>
      <c r="G204" s="1" t="s">
        <v>19</v>
      </c>
      <c r="H204" s="1" t="s">
        <v>301</v>
      </c>
      <c r="I204" s="1" t="s">
        <v>757</v>
      </c>
      <c r="J204" s="1">
        <v>5126</v>
      </c>
      <c r="K204" s="1">
        <v>27780</v>
      </c>
      <c r="L204" s="7" t="str">
        <f t="shared" si="3"/>
        <v>30695542476512627780</v>
      </c>
      <c r="M204" s="5">
        <v>3</v>
      </c>
      <c r="N204" s="5">
        <v>0</v>
      </c>
      <c r="O204" s="5">
        <v>0</v>
      </c>
      <c r="P204" s="5">
        <v>1895.05</v>
      </c>
      <c r="Q204" s="5">
        <v>0</v>
      </c>
      <c r="R204" s="1" t="s">
        <v>15</v>
      </c>
      <c r="S204" s="5">
        <v>0</v>
      </c>
      <c r="T204" t="e">
        <f>VLOOKUP(L204,'MIS COMPROBANTES'!E:Q,13,0)</f>
        <v>#N/A</v>
      </c>
    </row>
    <row r="205" spans="1:20" x14ac:dyDescent="0.3">
      <c r="A205" s="3">
        <v>45422</v>
      </c>
      <c r="B205" s="1" t="s">
        <v>174</v>
      </c>
      <c r="C205" s="1" t="s">
        <v>175</v>
      </c>
      <c r="D205" s="1" t="s">
        <v>18</v>
      </c>
      <c r="E205" s="1" t="s">
        <v>676</v>
      </c>
      <c r="F205" s="4">
        <v>12224</v>
      </c>
      <c r="G205" s="1" t="s">
        <v>19</v>
      </c>
      <c r="H205" s="1" t="s">
        <v>302</v>
      </c>
      <c r="I205" s="1" t="s">
        <v>757</v>
      </c>
      <c r="J205" s="1">
        <v>8190</v>
      </c>
      <c r="K205" s="1">
        <v>21732</v>
      </c>
      <c r="L205" s="7" t="str">
        <f t="shared" si="3"/>
        <v>30678774495819021732</v>
      </c>
      <c r="M205" s="5">
        <v>21</v>
      </c>
      <c r="N205" s="5">
        <v>2281.86</v>
      </c>
      <c r="O205" s="5">
        <v>13816.61</v>
      </c>
      <c r="P205" s="5">
        <v>2901.49</v>
      </c>
      <c r="Q205" s="5">
        <v>19321.93</v>
      </c>
      <c r="R205" s="1" t="s">
        <v>15</v>
      </c>
      <c r="S205" s="5">
        <v>321.97000000000003</v>
      </c>
      <c r="T205">
        <f>VLOOKUP(L205,'MIS COMPROBANTES'!E:Q,13,0)</f>
        <v>19321.93</v>
      </c>
    </row>
    <row r="206" spans="1:20" x14ac:dyDescent="0.3">
      <c r="A206" s="3">
        <v>45422</v>
      </c>
      <c r="B206" s="1" t="s">
        <v>25</v>
      </c>
      <c r="C206" s="1" t="s">
        <v>26</v>
      </c>
      <c r="D206" s="1" t="s">
        <v>18</v>
      </c>
      <c r="E206" s="1" t="s">
        <v>635</v>
      </c>
      <c r="F206" s="4">
        <v>11976</v>
      </c>
      <c r="G206" s="1" t="s">
        <v>27</v>
      </c>
      <c r="H206" s="1" t="s">
        <v>303</v>
      </c>
      <c r="I206" s="1" t="s">
        <v>757</v>
      </c>
      <c r="J206" s="1">
        <v>5</v>
      </c>
      <c r="K206" s="1">
        <v>250</v>
      </c>
      <c r="L206" s="7" t="str">
        <f t="shared" si="3"/>
        <v>307095717175250</v>
      </c>
      <c r="M206" s="5">
        <v>21</v>
      </c>
      <c r="N206" s="5">
        <v>0</v>
      </c>
      <c r="O206" s="5">
        <v>-69600</v>
      </c>
      <c r="P206" s="5">
        <v>-14616</v>
      </c>
      <c r="Q206" s="5">
        <v>-84216</v>
      </c>
      <c r="R206" s="1" t="s">
        <v>15</v>
      </c>
      <c r="S206" s="5">
        <v>0</v>
      </c>
      <c r="T206">
        <f>VLOOKUP(L206,'MIS COMPROBANTES'!E:Q,13,0)</f>
        <v>84216</v>
      </c>
    </row>
    <row r="207" spans="1:20" x14ac:dyDescent="0.3">
      <c r="A207" s="3">
        <v>45423</v>
      </c>
      <c r="B207" s="1" t="s">
        <v>304</v>
      </c>
      <c r="C207" s="1" t="s">
        <v>305</v>
      </c>
      <c r="D207" s="1" t="s">
        <v>18</v>
      </c>
      <c r="E207" s="1" t="s">
        <v>705</v>
      </c>
      <c r="F207" s="4">
        <v>11869</v>
      </c>
      <c r="G207" s="1" t="s">
        <v>19</v>
      </c>
      <c r="H207" s="1" t="s">
        <v>306</v>
      </c>
      <c r="I207" s="1" t="s">
        <v>757</v>
      </c>
      <c r="J207" s="1">
        <v>100</v>
      </c>
      <c r="K207" s="1">
        <v>293969</v>
      </c>
      <c r="L207" s="7" t="str">
        <f t="shared" si="3"/>
        <v>30534040713100293969</v>
      </c>
      <c r="M207" s="5">
        <v>10.5</v>
      </c>
      <c r="N207" s="5">
        <v>0</v>
      </c>
      <c r="O207" s="5">
        <v>1617300.72</v>
      </c>
      <c r="P207" s="5">
        <v>169816.58</v>
      </c>
      <c r="Q207" s="5">
        <v>1892241.84</v>
      </c>
      <c r="R207" s="1" t="s">
        <v>15</v>
      </c>
      <c r="S207" s="5">
        <v>80865.03</v>
      </c>
      <c r="T207">
        <f>VLOOKUP(L207,'MIS COMPROBANTES'!E:Q,13,0)</f>
        <v>1892241.84</v>
      </c>
    </row>
    <row r="208" spans="1:20" x14ac:dyDescent="0.3">
      <c r="A208" s="3">
        <v>45423</v>
      </c>
      <c r="B208" s="1" t="s">
        <v>304</v>
      </c>
      <c r="C208" s="1" t="s">
        <v>305</v>
      </c>
      <c r="D208" s="1" t="s">
        <v>18</v>
      </c>
      <c r="E208" s="1" t="s">
        <v>705</v>
      </c>
      <c r="F208" s="4">
        <v>11869</v>
      </c>
      <c r="G208" s="1" t="s">
        <v>19</v>
      </c>
      <c r="H208" s="1" t="s">
        <v>306</v>
      </c>
      <c r="I208" s="1" t="s">
        <v>757</v>
      </c>
      <c r="J208" s="1">
        <v>100</v>
      </c>
      <c r="K208" s="1">
        <v>293969</v>
      </c>
      <c r="L208" s="7" t="str">
        <f t="shared" si="3"/>
        <v>30534040713100293969</v>
      </c>
      <c r="M208" s="5">
        <v>1.5</v>
      </c>
      <c r="N208" s="5">
        <v>0</v>
      </c>
      <c r="O208" s="5">
        <v>0</v>
      </c>
      <c r="P208" s="5">
        <v>24259.51</v>
      </c>
      <c r="Q208" s="5">
        <v>0</v>
      </c>
      <c r="R208" s="1" t="s">
        <v>15</v>
      </c>
      <c r="S208" s="5">
        <v>0</v>
      </c>
      <c r="T208">
        <f>VLOOKUP(L208,'MIS COMPROBANTES'!E:Q,13,0)</f>
        <v>1892241.84</v>
      </c>
    </row>
    <row r="209" spans="1:20" x14ac:dyDescent="0.3">
      <c r="A209" s="3">
        <v>45423</v>
      </c>
      <c r="B209" s="1" t="s">
        <v>304</v>
      </c>
      <c r="C209" s="1" t="s">
        <v>305</v>
      </c>
      <c r="D209" s="1" t="s">
        <v>18</v>
      </c>
      <c r="E209" s="1" t="s">
        <v>705</v>
      </c>
      <c r="F209" s="4">
        <v>11870</v>
      </c>
      <c r="G209" s="1" t="s">
        <v>19</v>
      </c>
      <c r="H209" s="1" t="s">
        <v>307</v>
      </c>
      <c r="I209" s="1" t="s">
        <v>757</v>
      </c>
      <c r="J209" s="1">
        <v>100</v>
      </c>
      <c r="K209" s="1">
        <v>293972</v>
      </c>
      <c r="L209" s="7" t="str">
        <f t="shared" si="3"/>
        <v>30534040713100293972</v>
      </c>
      <c r="M209" s="5">
        <v>10.5</v>
      </c>
      <c r="N209" s="5">
        <v>0</v>
      </c>
      <c r="O209" s="5">
        <v>782076.26</v>
      </c>
      <c r="P209" s="5">
        <v>82118.009999999995</v>
      </c>
      <c r="Q209" s="5">
        <v>915029.23</v>
      </c>
      <c r="R209" s="1" t="s">
        <v>15</v>
      </c>
      <c r="S209" s="5">
        <v>39103.82</v>
      </c>
      <c r="T209">
        <f>VLOOKUP(L209,'MIS COMPROBANTES'!E:Q,13,0)</f>
        <v>915029.23</v>
      </c>
    </row>
    <row r="210" spans="1:20" x14ac:dyDescent="0.3">
      <c r="A210" s="3">
        <v>45423</v>
      </c>
      <c r="B210" s="1" t="s">
        <v>304</v>
      </c>
      <c r="C210" s="1" t="s">
        <v>305</v>
      </c>
      <c r="D210" s="1" t="s">
        <v>18</v>
      </c>
      <c r="E210" s="1" t="s">
        <v>705</v>
      </c>
      <c r="F210" s="4">
        <v>11870</v>
      </c>
      <c r="G210" s="1" t="s">
        <v>19</v>
      </c>
      <c r="H210" s="1" t="s">
        <v>307</v>
      </c>
      <c r="I210" s="1" t="s">
        <v>757</v>
      </c>
      <c r="J210" s="1">
        <v>100</v>
      </c>
      <c r="K210" s="1">
        <v>293972</v>
      </c>
      <c r="L210" s="7" t="str">
        <f t="shared" si="3"/>
        <v>30534040713100293972</v>
      </c>
      <c r="M210" s="5">
        <v>1.5</v>
      </c>
      <c r="N210" s="5">
        <v>0</v>
      </c>
      <c r="O210" s="5">
        <v>0</v>
      </c>
      <c r="P210" s="5">
        <v>11731.14</v>
      </c>
      <c r="Q210" s="5">
        <v>0</v>
      </c>
      <c r="R210" s="1" t="s">
        <v>15</v>
      </c>
      <c r="S210" s="5">
        <v>0</v>
      </c>
      <c r="T210">
        <f>VLOOKUP(L210,'MIS COMPROBANTES'!E:Q,13,0)</f>
        <v>915029.23</v>
      </c>
    </row>
    <row r="211" spans="1:20" x14ac:dyDescent="0.3">
      <c r="A211" s="3">
        <v>45423</v>
      </c>
      <c r="B211" s="1" t="s">
        <v>168</v>
      </c>
      <c r="C211" s="1" t="s">
        <v>169</v>
      </c>
      <c r="D211" s="1" t="s">
        <v>18</v>
      </c>
      <c r="E211" s="1" t="s">
        <v>674</v>
      </c>
      <c r="F211" s="4">
        <v>12032</v>
      </c>
      <c r="G211" s="1" t="s">
        <v>19</v>
      </c>
      <c r="H211" s="1" t="s">
        <v>308</v>
      </c>
      <c r="I211" s="1" t="s">
        <v>757</v>
      </c>
      <c r="J211" s="1">
        <v>622</v>
      </c>
      <c r="K211" s="1">
        <v>277360</v>
      </c>
      <c r="L211" s="7" t="str">
        <f t="shared" si="3"/>
        <v>30682032630622277360</v>
      </c>
      <c r="M211" s="5">
        <v>21</v>
      </c>
      <c r="N211" s="5">
        <v>0</v>
      </c>
      <c r="O211" s="5">
        <v>1117382.8999999999</v>
      </c>
      <c r="P211" s="5">
        <v>234650.41</v>
      </c>
      <c r="Q211" s="5">
        <v>1441423.95</v>
      </c>
      <c r="R211" s="1" t="s">
        <v>15</v>
      </c>
      <c r="S211" s="5">
        <v>55869.15</v>
      </c>
      <c r="T211">
        <f>VLOOKUP(L211,'MIS COMPROBANTES'!E:Q,13,0)</f>
        <v>1441423.95</v>
      </c>
    </row>
    <row r="212" spans="1:20" x14ac:dyDescent="0.3">
      <c r="A212" s="3">
        <v>45423</v>
      </c>
      <c r="B212" s="1" t="s">
        <v>168</v>
      </c>
      <c r="C212" s="1" t="s">
        <v>169</v>
      </c>
      <c r="D212" s="1" t="s">
        <v>18</v>
      </c>
      <c r="E212" s="1" t="s">
        <v>674</v>
      </c>
      <c r="F212" s="4">
        <v>12032</v>
      </c>
      <c r="G212" s="1" t="s">
        <v>19</v>
      </c>
      <c r="H212" s="1" t="s">
        <v>308</v>
      </c>
      <c r="I212" s="1" t="s">
        <v>757</v>
      </c>
      <c r="J212" s="1">
        <v>622</v>
      </c>
      <c r="K212" s="1">
        <v>277360</v>
      </c>
      <c r="L212" s="7" t="str">
        <f t="shared" si="3"/>
        <v>30682032630622277360</v>
      </c>
      <c r="M212" s="5">
        <v>3</v>
      </c>
      <c r="N212" s="5">
        <v>0</v>
      </c>
      <c r="O212" s="5">
        <v>0</v>
      </c>
      <c r="P212" s="5">
        <v>33521.49</v>
      </c>
      <c r="Q212" s="5">
        <v>0</v>
      </c>
      <c r="R212" s="1" t="s">
        <v>15</v>
      </c>
      <c r="S212" s="5">
        <v>0</v>
      </c>
      <c r="T212">
        <f>VLOOKUP(L212,'MIS COMPROBANTES'!E:Q,13,0)</f>
        <v>1441423.95</v>
      </c>
    </row>
    <row r="213" spans="1:20" x14ac:dyDescent="0.3">
      <c r="A213" s="3">
        <v>45424</v>
      </c>
      <c r="B213" s="1" t="s">
        <v>22</v>
      </c>
      <c r="C213" s="1" t="s">
        <v>23</v>
      </c>
      <c r="D213" s="1" t="s">
        <v>18</v>
      </c>
      <c r="E213" s="1" t="s">
        <v>634</v>
      </c>
      <c r="F213" s="4">
        <v>11785</v>
      </c>
      <c r="G213" s="1" t="s">
        <v>19</v>
      </c>
      <c r="H213" s="1" t="s">
        <v>309</v>
      </c>
      <c r="I213" s="1" t="s">
        <v>757</v>
      </c>
      <c r="J213" s="1">
        <v>5063</v>
      </c>
      <c r="K213" s="1">
        <v>12550</v>
      </c>
      <c r="L213" s="7" t="str">
        <f t="shared" si="3"/>
        <v>30695542476506312550</v>
      </c>
      <c r="M213" s="5">
        <v>21</v>
      </c>
      <c r="N213" s="5">
        <v>6671.93</v>
      </c>
      <c r="O213" s="5">
        <v>48353.77</v>
      </c>
      <c r="P213" s="5">
        <v>10154.290000000001</v>
      </c>
      <c r="Q213" s="5">
        <v>66630.600000000006</v>
      </c>
      <c r="R213" s="1" t="s">
        <v>15</v>
      </c>
      <c r="S213" s="5">
        <v>0</v>
      </c>
      <c r="T213" t="e">
        <f>VLOOKUP(L213,'MIS COMPROBANTES'!E:Q,13,0)</f>
        <v>#N/A</v>
      </c>
    </row>
    <row r="214" spans="1:20" x14ac:dyDescent="0.3">
      <c r="A214" s="3">
        <v>45424</v>
      </c>
      <c r="B214" s="1" t="s">
        <v>22</v>
      </c>
      <c r="C214" s="1" t="s">
        <v>23</v>
      </c>
      <c r="D214" s="1" t="s">
        <v>18</v>
      </c>
      <c r="E214" s="1" t="s">
        <v>634</v>
      </c>
      <c r="F214" s="4">
        <v>11785</v>
      </c>
      <c r="G214" s="1" t="s">
        <v>19</v>
      </c>
      <c r="H214" s="1" t="s">
        <v>309</v>
      </c>
      <c r="I214" s="1" t="s">
        <v>757</v>
      </c>
      <c r="J214" s="1">
        <v>5063</v>
      </c>
      <c r="K214" s="1">
        <v>12550</v>
      </c>
      <c r="L214" s="7" t="str">
        <f t="shared" si="3"/>
        <v>30695542476506312550</v>
      </c>
      <c r="M214" s="5">
        <v>3</v>
      </c>
      <c r="N214" s="5">
        <v>0</v>
      </c>
      <c r="O214" s="5">
        <v>0</v>
      </c>
      <c r="P214" s="5">
        <v>1450.61</v>
      </c>
      <c r="Q214" s="5">
        <v>0</v>
      </c>
      <c r="R214" s="1" t="s">
        <v>15</v>
      </c>
      <c r="S214" s="5">
        <v>0</v>
      </c>
      <c r="T214" t="e">
        <f>VLOOKUP(L214,'MIS COMPROBANTES'!E:Q,13,0)</f>
        <v>#N/A</v>
      </c>
    </row>
    <row r="215" spans="1:20" x14ac:dyDescent="0.3">
      <c r="A215" s="3">
        <v>45425</v>
      </c>
      <c r="B215" s="1" t="s">
        <v>186</v>
      </c>
      <c r="C215" s="1" t="s">
        <v>187</v>
      </c>
      <c r="D215" s="1" t="s">
        <v>18</v>
      </c>
      <c r="E215" s="1" t="s">
        <v>679</v>
      </c>
      <c r="F215" s="4">
        <v>11861</v>
      </c>
      <c r="G215" s="1" t="s">
        <v>19</v>
      </c>
      <c r="H215" s="1" t="s">
        <v>310</v>
      </c>
      <c r="I215" s="1" t="s">
        <v>757</v>
      </c>
      <c r="J215" s="1">
        <v>1</v>
      </c>
      <c r="K215" s="1">
        <v>487</v>
      </c>
      <c r="L215" s="7" t="str">
        <f t="shared" si="3"/>
        <v>337177102291487</v>
      </c>
      <c r="M215" s="5">
        <v>21</v>
      </c>
      <c r="N215" s="5">
        <v>0</v>
      </c>
      <c r="O215" s="5">
        <v>4500000</v>
      </c>
      <c r="P215" s="5">
        <v>945000</v>
      </c>
      <c r="Q215" s="5">
        <v>5445000</v>
      </c>
      <c r="R215" s="1" t="s">
        <v>15</v>
      </c>
      <c r="S215" s="5">
        <v>0</v>
      </c>
      <c r="T215">
        <f>VLOOKUP(L215,'MIS COMPROBANTES'!E:Q,13,0)</f>
        <v>5445000</v>
      </c>
    </row>
    <row r="216" spans="1:20" x14ac:dyDescent="0.3">
      <c r="A216" s="3">
        <v>45425</v>
      </c>
      <c r="B216" s="1" t="s">
        <v>70</v>
      </c>
      <c r="C216" s="1" t="s">
        <v>71</v>
      </c>
      <c r="D216" s="1" t="s">
        <v>18</v>
      </c>
      <c r="E216" s="1" t="s">
        <v>649</v>
      </c>
      <c r="F216" s="4">
        <v>11805</v>
      </c>
      <c r="G216" s="1" t="s">
        <v>19</v>
      </c>
      <c r="H216" s="1" t="s">
        <v>311</v>
      </c>
      <c r="I216" s="1" t="s">
        <v>757</v>
      </c>
      <c r="J216" s="1">
        <v>3</v>
      </c>
      <c r="K216" s="1">
        <v>100479</v>
      </c>
      <c r="L216" s="7" t="str">
        <f t="shared" si="3"/>
        <v>307039574783100479</v>
      </c>
      <c r="M216" s="5">
        <v>21</v>
      </c>
      <c r="N216" s="5">
        <v>0</v>
      </c>
      <c r="O216" s="5">
        <v>815123.97</v>
      </c>
      <c r="P216" s="5">
        <v>171176.03</v>
      </c>
      <c r="Q216" s="5">
        <v>1002602.48</v>
      </c>
      <c r="R216" s="1" t="s">
        <v>15</v>
      </c>
      <c r="S216" s="5">
        <v>16302.48</v>
      </c>
      <c r="T216">
        <f>VLOOKUP(L216,'MIS COMPROBANTES'!E:Q,13,0)</f>
        <v>1002602.48</v>
      </c>
    </row>
    <row r="217" spans="1:20" x14ac:dyDescent="0.3">
      <c r="A217" s="3">
        <v>45425</v>
      </c>
      <c r="B217" s="1" t="s">
        <v>51</v>
      </c>
      <c r="C217" s="1" t="s">
        <v>52</v>
      </c>
      <c r="D217" s="1" t="s">
        <v>18</v>
      </c>
      <c r="E217" s="1" t="s">
        <v>643</v>
      </c>
      <c r="F217" s="4">
        <v>11860</v>
      </c>
      <c r="G217" s="1" t="s">
        <v>19</v>
      </c>
      <c r="H217" s="1" t="s">
        <v>312</v>
      </c>
      <c r="I217" s="1" t="s">
        <v>757</v>
      </c>
      <c r="J217" s="1">
        <v>10</v>
      </c>
      <c r="K217" s="1">
        <v>44587</v>
      </c>
      <c r="L217" s="7" t="str">
        <f t="shared" si="3"/>
        <v>305529105121044587</v>
      </c>
      <c r="M217" s="5">
        <v>21</v>
      </c>
      <c r="N217" s="5">
        <v>0</v>
      </c>
      <c r="O217" s="5">
        <v>22344000</v>
      </c>
      <c r="P217" s="5">
        <v>4692240</v>
      </c>
      <c r="Q217" s="5">
        <v>28153440</v>
      </c>
      <c r="R217" s="1" t="s">
        <v>15</v>
      </c>
      <c r="S217" s="5">
        <v>446880</v>
      </c>
      <c r="T217">
        <f>VLOOKUP(L217,'MIS COMPROBANTES'!E:Q,13,0)</f>
        <v>28153440</v>
      </c>
    </row>
    <row r="218" spans="1:20" x14ac:dyDescent="0.3">
      <c r="A218" s="3">
        <v>45425</v>
      </c>
      <c r="B218" s="1" t="s">
        <v>51</v>
      </c>
      <c r="C218" s="1" t="s">
        <v>52</v>
      </c>
      <c r="D218" s="1" t="s">
        <v>18</v>
      </c>
      <c r="E218" s="1" t="s">
        <v>643</v>
      </c>
      <c r="F218" s="4">
        <v>11860</v>
      </c>
      <c r="G218" s="1" t="s">
        <v>19</v>
      </c>
      <c r="H218" s="1" t="s">
        <v>312</v>
      </c>
      <c r="I218" s="1" t="s">
        <v>757</v>
      </c>
      <c r="J218" s="1">
        <v>10</v>
      </c>
      <c r="K218" s="1">
        <v>44587</v>
      </c>
      <c r="L218" s="7" t="str">
        <f t="shared" si="3"/>
        <v>305529105121044587</v>
      </c>
      <c r="M218" s="5">
        <v>3</v>
      </c>
      <c r="N218" s="5">
        <v>0</v>
      </c>
      <c r="O218" s="5">
        <v>0</v>
      </c>
      <c r="P218" s="5">
        <v>670320</v>
      </c>
      <c r="Q218" s="5">
        <v>0</v>
      </c>
      <c r="R218" s="1" t="s">
        <v>15</v>
      </c>
      <c r="S218" s="5">
        <v>0</v>
      </c>
      <c r="T218">
        <f>VLOOKUP(L218,'MIS COMPROBANTES'!E:Q,13,0)</f>
        <v>28153440</v>
      </c>
    </row>
    <row r="219" spans="1:20" x14ac:dyDescent="0.3">
      <c r="A219" s="3">
        <v>45425</v>
      </c>
      <c r="B219" s="1" t="s">
        <v>286</v>
      </c>
      <c r="C219" s="1" t="s">
        <v>287</v>
      </c>
      <c r="D219" s="1" t="s">
        <v>18</v>
      </c>
      <c r="E219" s="1" t="s">
        <v>702</v>
      </c>
      <c r="F219" s="4">
        <v>12124</v>
      </c>
      <c r="G219" s="1" t="s">
        <v>27</v>
      </c>
      <c r="H219" s="1" t="s">
        <v>313</v>
      </c>
      <c r="I219" s="1" t="s">
        <v>757</v>
      </c>
      <c r="J219" s="1">
        <v>1</v>
      </c>
      <c r="K219" s="1">
        <v>374</v>
      </c>
      <c r="L219" s="7" t="str">
        <f t="shared" si="3"/>
        <v>307164230301374</v>
      </c>
      <c r="M219" s="5">
        <v>21</v>
      </c>
      <c r="N219" s="5">
        <v>0</v>
      </c>
      <c r="O219" s="5">
        <v>-92399</v>
      </c>
      <c r="P219" s="5">
        <v>-19403.79</v>
      </c>
      <c r="Q219" s="5">
        <v>-111802.79</v>
      </c>
      <c r="R219" s="1" t="s">
        <v>15</v>
      </c>
      <c r="S219" s="5">
        <v>0</v>
      </c>
      <c r="T219">
        <f>VLOOKUP(L219,'MIS COMPROBANTES'!E:Q,13,0)</f>
        <v>111802.79</v>
      </c>
    </row>
    <row r="220" spans="1:20" x14ac:dyDescent="0.3">
      <c r="A220" s="3">
        <v>45425</v>
      </c>
      <c r="B220" s="1" t="s">
        <v>25</v>
      </c>
      <c r="C220" s="1" t="s">
        <v>26</v>
      </c>
      <c r="D220" s="1" t="s">
        <v>18</v>
      </c>
      <c r="E220" s="1" t="s">
        <v>635</v>
      </c>
      <c r="F220" s="4">
        <v>12065</v>
      </c>
      <c r="G220" s="1" t="s">
        <v>27</v>
      </c>
      <c r="H220" s="1" t="s">
        <v>314</v>
      </c>
      <c r="I220" s="1" t="s">
        <v>757</v>
      </c>
      <c r="J220" s="1">
        <v>5</v>
      </c>
      <c r="K220" s="1">
        <v>251</v>
      </c>
      <c r="L220" s="7" t="str">
        <f t="shared" si="3"/>
        <v>307095717175251</v>
      </c>
      <c r="M220" s="5">
        <v>21</v>
      </c>
      <c r="N220" s="5">
        <v>0</v>
      </c>
      <c r="O220" s="5">
        <v>-101152.01</v>
      </c>
      <c r="P220" s="5">
        <v>-21241.919999999998</v>
      </c>
      <c r="Q220" s="5">
        <v>-122393.93</v>
      </c>
      <c r="R220" s="1" t="s">
        <v>15</v>
      </c>
      <c r="S220" s="5">
        <v>0</v>
      </c>
      <c r="T220">
        <f>VLOOKUP(L220,'MIS COMPROBANTES'!E:Q,13,0)</f>
        <v>122393.93</v>
      </c>
    </row>
    <row r="221" spans="1:20" x14ac:dyDescent="0.3">
      <c r="A221" s="3">
        <v>45425</v>
      </c>
      <c r="B221" s="1" t="s">
        <v>240</v>
      </c>
      <c r="C221" s="1" t="s">
        <v>241</v>
      </c>
      <c r="D221" s="1" t="s">
        <v>18</v>
      </c>
      <c r="E221" s="1" t="s">
        <v>692</v>
      </c>
      <c r="F221" s="4">
        <v>12133</v>
      </c>
      <c r="G221" s="1" t="s">
        <v>27</v>
      </c>
      <c r="H221" s="1" t="s">
        <v>315</v>
      </c>
      <c r="I221" s="1" t="s">
        <v>757</v>
      </c>
      <c r="J221" s="1">
        <v>10</v>
      </c>
      <c r="K221" s="1">
        <v>52763</v>
      </c>
      <c r="L221" s="7" t="str">
        <f t="shared" si="3"/>
        <v>306422193551052763</v>
      </c>
      <c r="M221" s="5">
        <v>21</v>
      </c>
      <c r="N221" s="5">
        <v>0</v>
      </c>
      <c r="O221" s="5">
        <v>-851749.8</v>
      </c>
      <c r="P221" s="5">
        <v>-178867.46</v>
      </c>
      <c r="Q221" s="5">
        <v>-1030617.26</v>
      </c>
      <c r="R221" s="1" t="s">
        <v>15</v>
      </c>
      <c r="S221" s="5">
        <v>0</v>
      </c>
      <c r="T221">
        <f>VLOOKUP(L221,'MIS COMPROBANTES'!E:Q,13,0)</f>
        <v>1030617.26</v>
      </c>
    </row>
    <row r="222" spans="1:20" x14ac:dyDescent="0.3">
      <c r="A222" s="3">
        <v>45426</v>
      </c>
      <c r="B222" s="1" t="s">
        <v>316</v>
      </c>
      <c r="C222" s="1" t="s">
        <v>317</v>
      </c>
      <c r="D222" s="1" t="s">
        <v>18</v>
      </c>
      <c r="E222" s="1" t="s">
        <v>706</v>
      </c>
      <c r="F222" s="4">
        <v>12035</v>
      </c>
      <c r="G222" s="1" t="s">
        <v>19</v>
      </c>
      <c r="H222" s="1" t="s">
        <v>318</v>
      </c>
      <c r="I222" s="1" t="s">
        <v>757</v>
      </c>
      <c r="J222" s="1">
        <v>1</v>
      </c>
      <c r="K222" s="1">
        <v>863</v>
      </c>
      <c r="L222" s="7" t="str">
        <f t="shared" si="3"/>
        <v>272808246451863</v>
      </c>
      <c r="M222" s="5">
        <v>21</v>
      </c>
      <c r="N222" s="5">
        <v>0</v>
      </c>
      <c r="O222" s="5">
        <v>4416000</v>
      </c>
      <c r="P222" s="5">
        <v>927360</v>
      </c>
      <c r="Q222" s="5">
        <v>5343360</v>
      </c>
      <c r="R222" s="1" t="s">
        <v>15</v>
      </c>
      <c r="S222" s="5">
        <v>0</v>
      </c>
      <c r="T222">
        <f>VLOOKUP(L222,'MIS COMPROBANTES'!E:Q,13,0)</f>
        <v>5343360</v>
      </c>
    </row>
    <row r="223" spans="1:20" x14ac:dyDescent="0.3">
      <c r="A223" s="3">
        <v>45426</v>
      </c>
      <c r="B223" s="1" t="s">
        <v>319</v>
      </c>
      <c r="C223" s="1" t="s">
        <v>320</v>
      </c>
      <c r="D223" s="1" t="s">
        <v>18</v>
      </c>
      <c r="E223" s="1" t="s">
        <v>707</v>
      </c>
      <c r="F223" s="4">
        <v>11929</v>
      </c>
      <c r="G223" s="1" t="s">
        <v>19</v>
      </c>
      <c r="H223" s="1" t="s">
        <v>321</v>
      </c>
      <c r="I223" s="1" t="s">
        <v>757</v>
      </c>
      <c r="J223" s="1">
        <v>3</v>
      </c>
      <c r="K223" s="1">
        <v>629</v>
      </c>
      <c r="L223" s="7" t="str">
        <f t="shared" si="3"/>
        <v>201722776093629</v>
      </c>
      <c r="M223" s="5">
        <v>21</v>
      </c>
      <c r="N223" s="5">
        <v>0</v>
      </c>
      <c r="O223" s="5">
        <v>250000</v>
      </c>
      <c r="P223" s="5">
        <v>52500</v>
      </c>
      <c r="Q223" s="5">
        <v>302500</v>
      </c>
      <c r="R223" s="1" t="s">
        <v>15</v>
      </c>
      <c r="S223" s="5">
        <v>0</v>
      </c>
      <c r="T223">
        <f>VLOOKUP(L223,'MIS COMPROBANTES'!E:Q,13,0)</f>
        <v>302500</v>
      </c>
    </row>
    <row r="224" spans="1:20" x14ac:dyDescent="0.3">
      <c r="A224" s="3">
        <v>45426</v>
      </c>
      <c r="B224" s="1" t="s">
        <v>322</v>
      </c>
      <c r="C224" s="1" t="s">
        <v>323</v>
      </c>
      <c r="D224" s="1" t="s">
        <v>18</v>
      </c>
      <c r="E224" s="1" t="s">
        <v>708</v>
      </c>
      <c r="F224" s="4">
        <v>11928</v>
      </c>
      <c r="G224" s="1" t="s">
        <v>19</v>
      </c>
      <c r="H224" s="1" t="s">
        <v>324</v>
      </c>
      <c r="I224" s="1" t="s">
        <v>757</v>
      </c>
      <c r="J224" s="1">
        <v>4</v>
      </c>
      <c r="K224" s="1">
        <v>21233</v>
      </c>
      <c r="L224" s="7" t="str">
        <f t="shared" si="3"/>
        <v>30707225609421233</v>
      </c>
      <c r="M224" s="5">
        <v>21</v>
      </c>
      <c r="N224" s="5">
        <v>0</v>
      </c>
      <c r="O224" s="5">
        <v>725400</v>
      </c>
      <c r="P224" s="5">
        <v>152334</v>
      </c>
      <c r="Q224" s="5">
        <v>914004</v>
      </c>
      <c r="R224" s="1" t="s">
        <v>15</v>
      </c>
      <c r="S224" s="5">
        <v>36270</v>
      </c>
      <c r="T224">
        <f>VLOOKUP(L224,'MIS COMPROBANTES'!E:Q,13,0)</f>
        <v>914004</v>
      </c>
    </row>
    <row r="225" spans="1:20" x14ac:dyDescent="0.3">
      <c r="A225" s="3">
        <v>45426</v>
      </c>
      <c r="B225" s="1" t="s">
        <v>325</v>
      </c>
      <c r="C225" s="1" t="s">
        <v>326</v>
      </c>
      <c r="D225" s="1" t="s">
        <v>18</v>
      </c>
      <c r="E225" s="1" t="s">
        <v>709</v>
      </c>
      <c r="F225" s="4">
        <v>11915</v>
      </c>
      <c r="G225" s="1" t="s">
        <v>19</v>
      </c>
      <c r="H225" s="1" t="s">
        <v>327</v>
      </c>
      <c r="I225" s="1" t="s">
        <v>757</v>
      </c>
      <c r="J225" s="1">
        <v>14</v>
      </c>
      <c r="K225" s="1">
        <v>1938</v>
      </c>
      <c r="L225" s="7" t="str">
        <f t="shared" si="3"/>
        <v>20148190489141938</v>
      </c>
      <c r="M225" s="5">
        <v>21</v>
      </c>
      <c r="N225" s="5">
        <v>6034.02</v>
      </c>
      <c r="O225" s="5">
        <v>66672.67</v>
      </c>
      <c r="P225" s="5">
        <v>14001.26</v>
      </c>
      <c r="Q225" s="5">
        <v>86707.95</v>
      </c>
      <c r="R225" s="1" t="s">
        <v>15</v>
      </c>
      <c r="S225" s="5">
        <v>0</v>
      </c>
      <c r="T225" t="e">
        <f>VLOOKUP(L225,'MIS COMPROBANTES'!E:Q,13,0)</f>
        <v>#N/A</v>
      </c>
    </row>
    <row r="226" spans="1:20" x14ac:dyDescent="0.3">
      <c r="A226" s="3">
        <v>45426</v>
      </c>
      <c r="B226" s="1" t="s">
        <v>328</v>
      </c>
      <c r="C226" s="1" t="s">
        <v>329</v>
      </c>
      <c r="D226" s="1" t="s">
        <v>18</v>
      </c>
      <c r="E226" s="1" t="s">
        <v>710</v>
      </c>
      <c r="F226" s="4">
        <v>11914</v>
      </c>
      <c r="G226" s="1" t="s">
        <v>19</v>
      </c>
      <c r="H226" s="1" t="s">
        <v>330</v>
      </c>
      <c r="I226" s="1" t="s">
        <v>757</v>
      </c>
      <c r="J226" s="1">
        <v>21</v>
      </c>
      <c r="K226" s="1">
        <v>16577</v>
      </c>
      <c r="L226" s="7" t="str">
        <f t="shared" si="3"/>
        <v>337145293292116577</v>
      </c>
      <c r="M226" s="5">
        <v>21</v>
      </c>
      <c r="N226" s="5">
        <v>10035.219999999999</v>
      </c>
      <c r="O226" s="5">
        <v>120657.64</v>
      </c>
      <c r="P226" s="5">
        <v>25338.1</v>
      </c>
      <c r="Q226" s="5">
        <v>156030.96</v>
      </c>
      <c r="R226" s="1" t="s">
        <v>15</v>
      </c>
      <c r="S226" s="5">
        <v>0</v>
      </c>
      <c r="T226" t="e">
        <f>VLOOKUP(L226,'MIS COMPROBANTES'!E:Q,13,0)</f>
        <v>#N/A</v>
      </c>
    </row>
    <row r="227" spans="1:20" x14ac:dyDescent="0.3">
      <c r="A227" s="3">
        <v>45426</v>
      </c>
      <c r="B227" s="1" t="s">
        <v>138</v>
      </c>
      <c r="C227" s="1" t="s">
        <v>139</v>
      </c>
      <c r="D227" s="1" t="s">
        <v>18</v>
      </c>
      <c r="E227" s="1" t="s">
        <v>667</v>
      </c>
      <c r="F227" s="4">
        <v>11864</v>
      </c>
      <c r="G227" s="1" t="s">
        <v>19</v>
      </c>
      <c r="H227" s="1" t="s">
        <v>331</v>
      </c>
      <c r="I227" s="1" t="s">
        <v>757</v>
      </c>
      <c r="J227" s="1">
        <v>90</v>
      </c>
      <c r="K227" s="1">
        <v>438559</v>
      </c>
      <c r="L227" s="7" t="str">
        <f t="shared" si="3"/>
        <v>3070705980690438559</v>
      </c>
      <c r="M227" s="5">
        <v>21</v>
      </c>
      <c r="N227" s="5">
        <v>0</v>
      </c>
      <c r="O227" s="5">
        <v>609840</v>
      </c>
      <c r="P227" s="5">
        <v>128066.4</v>
      </c>
      <c r="Q227" s="5">
        <v>786693.6</v>
      </c>
      <c r="R227" s="1" t="s">
        <v>141</v>
      </c>
      <c r="S227" s="5">
        <v>30492</v>
      </c>
      <c r="T227">
        <f>VLOOKUP(L227,'MIS COMPROBANTES'!E:Q,13,0)</f>
        <v>786693.6</v>
      </c>
    </row>
    <row r="228" spans="1:20" x14ac:dyDescent="0.3">
      <c r="A228" s="3">
        <v>45426</v>
      </c>
      <c r="B228" s="1" t="s">
        <v>138</v>
      </c>
      <c r="C228" s="1" t="s">
        <v>139</v>
      </c>
      <c r="D228" s="1" t="s">
        <v>18</v>
      </c>
      <c r="E228" s="1" t="s">
        <v>667</v>
      </c>
      <c r="F228" s="4">
        <v>11864</v>
      </c>
      <c r="G228" s="1" t="s">
        <v>19</v>
      </c>
      <c r="H228" s="1" t="s">
        <v>331</v>
      </c>
      <c r="I228" s="1" t="s">
        <v>757</v>
      </c>
      <c r="J228" s="1">
        <v>90</v>
      </c>
      <c r="K228" s="1">
        <v>438559</v>
      </c>
      <c r="L228" s="7" t="str">
        <f t="shared" si="3"/>
        <v>3070705980690438559</v>
      </c>
      <c r="M228" s="5">
        <v>3</v>
      </c>
      <c r="N228" s="5">
        <v>0</v>
      </c>
      <c r="O228" s="5">
        <v>0</v>
      </c>
      <c r="P228" s="5">
        <v>18295.2</v>
      </c>
      <c r="Q228" s="5">
        <v>0</v>
      </c>
      <c r="R228" s="1" t="s">
        <v>141</v>
      </c>
      <c r="S228" s="5">
        <v>0</v>
      </c>
      <c r="T228">
        <f>VLOOKUP(L228,'MIS COMPROBANTES'!E:Q,13,0)</f>
        <v>786693.6</v>
      </c>
    </row>
    <row r="229" spans="1:20" x14ac:dyDescent="0.3">
      <c r="A229" s="3">
        <v>45426</v>
      </c>
      <c r="B229" s="1" t="s">
        <v>64</v>
      </c>
      <c r="C229" s="1" t="s">
        <v>65</v>
      </c>
      <c r="D229" s="1" t="s">
        <v>18</v>
      </c>
      <c r="E229" s="1" t="s">
        <v>647</v>
      </c>
      <c r="F229" s="4">
        <v>12011</v>
      </c>
      <c r="G229" s="1" t="s">
        <v>19</v>
      </c>
      <c r="H229" s="1" t="s">
        <v>332</v>
      </c>
      <c r="I229" s="1" t="s">
        <v>757</v>
      </c>
      <c r="J229" s="1">
        <v>2002</v>
      </c>
      <c r="K229" s="1">
        <v>286991</v>
      </c>
      <c r="L229" s="7" t="str">
        <f t="shared" si="3"/>
        <v>305007682622002286991</v>
      </c>
      <c r="M229" s="5">
        <v>21</v>
      </c>
      <c r="N229" s="5">
        <v>0</v>
      </c>
      <c r="O229" s="5">
        <v>375571.4</v>
      </c>
      <c r="P229" s="5">
        <v>78869.990000000005</v>
      </c>
      <c r="Q229" s="5">
        <v>484487.1</v>
      </c>
      <c r="R229" s="1" t="s">
        <v>15</v>
      </c>
      <c r="S229" s="5">
        <v>18778.57</v>
      </c>
      <c r="T229">
        <f>VLOOKUP(L229,'MIS COMPROBANTES'!E:Q,13,0)</f>
        <v>484487.1</v>
      </c>
    </row>
    <row r="230" spans="1:20" x14ac:dyDescent="0.3">
      <c r="A230" s="3">
        <v>45426</v>
      </c>
      <c r="B230" s="1" t="s">
        <v>64</v>
      </c>
      <c r="C230" s="1" t="s">
        <v>65</v>
      </c>
      <c r="D230" s="1" t="s">
        <v>18</v>
      </c>
      <c r="E230" s="1" t="s">
        <v>647</v>
      </c>
      <c r="F230" s="4">
        <v>12011</v>
      </c>
      <c r="G230" s="1" t="s">
        <v>19</v>
      </c>
      <c r="H230" s="1" t="s">
        <v>332</v>
      </c>
      <c r="I230" s="1" t="s">
        <v>757</v>
      </c>
      <c r="J230" s="1">
        <v>2002</v>
      </c>
      <c r="K230" s="1">
        <v>286991</v>
      </c>
      <c r="L230" s="7" t="str">
        <f t="shared" si="3"/>
        <v>305007682622002286991</v>
      </c>
      <c r="M230" s="5">
        <v>3</v>
      </c>
      <c r="N230" s="5">
        <v>0</v>
      </c>
      <c r="O230" s="5">
        <v>0</v>
      </c>
      <c r="P230" s="5">
        <v>11267.14</v>
      </c>
      <c r="Q230" s="5">
        <v>0</v>
      </c>
      <c r="R230" s="1" t="s">
        <v>15</v>
      </c>
      <c r="S230" s="5">
        <v>0</v>
      </c>
      <c r="T230">
        <f>VLOOKUP(L230,'MIS COMPROBANTES'!E:Q,13,0)</f>
        <v>484487.1</v>
      </c>
    </row>
    <row r="231" spans="1:20" x14ac:dyDescent="0.3">
      <c r="A231" s="3">
        <v>45426</v>
      </c>
      <c r="B231" s="1" t="s">
        <v>236</v>
      </c>
      <c r="C231" s="1" t="s">
        <v>237</v>
      </c>
      <c r="D231" s="1" t="s">
        <v>18</v>
      </c>
      <c r="E231" s="1" t="s">
        <v>691</v>
      </c>
      <c r="F231" s="4">
        <v>11874</v>
      </c>
      <c r="G231" s="1" t="s">
        <v>19</v>
      </c>
      <c r="H231" s="1" t="s">
        <v>333</v>
      </c>
      <c r="I231" s="1" t="s">
        <v>757</v>
      </c>
      <c r="J231" s="1">
        <v>6004</v>
      </c>
      <c r="K231" s="1">
        <v>3619869</v>
      </c>
      <c r="L231" s="7" t="str">
        <f t="shared" si="3"/>
        <v>3050111624260043619869</v>
      </c>
      <c r="M231" s="5">
        <v>21</v>
      </c>
      <c r="N231" s="5">
        <v>0</v>
      </c>
      <c r="O231" s="5">
        <v>1436969.82</v>
      </c>
      <c r="P231" s="5">
        <v>301763.65999999997</v>
      </c>
      <c r="Q231" s="5">
        <v>1810581.97</v>
      </c>
      <c r="R231" s="1" t="s">
        <v>15</v>
      </c>
      <c r="S231" s="5">
        <v>28739.4</v>
      </c>
      <c r="T231">
        <f>VLOOKUP(L231,'MIS COMPROBANTES'!E:Q,13,0)</f>
        <v>1810581.97</v>
      </c>
    </row>
    <row r="232" spans="1:20" x14ac:dyDescent="0.3">
      <c r="A232" s="3">
        <v>45426</v>
      </c>
      <c r="B232" s="1" t="s">
        <v>236</v>
      </c>
      <c r="C232" s="1" t="s">
        <v>237</v>
      </c>
      <c r="D232" s="1" t="s">
        <v>18</v>
      </c>
      <c r="E232" s="1" t="s">
        <v>691</v>
      </c>
      <c r="F232" s="4">
        <v>11874</v>
      </c>
      <c r="G232" s="1" t="s">
        <v>19</v>
      </c>
      <c r="H232" s="1" t="s">
        <v>333</v>
      </c>
      <c r="I232" s="1" t="s">
        <v>757</v>
      </c>
      <c r="J232" s="1">
        <v>6004</v>
      </c>
      <c r="K232" s="1">
        <v>3619869</v>
      </c>
      <c r="L232" s="7" t="str">
        <f t="shared" si="3"/>
        <v>3050111624260043619869</v>
      </c>
      <c r="M232" s="5">
        <v>3</v>
      </c>
      <c r="N232" s="5">
        <v>0</v>
      </c>
      <c r="O232" s="5">
        <v>0</v>
      </c>
      <c r="P232" s="5">
        <v>43109.09</v>
      </c>
      <c r="Q232" s="5">
        <v>0</v>
      </c>
      <c r="R232" s="1" t="s">
        <v>15</v>
      </c>
      <c r="S232" s="5">
        <v>0</v>
      </c>
      <c r="T232">
        <f>VLOOKUP(L232,'MIS COMPROBANTES'!E:Q,13,0)</f>
        <v>1810581.97</v>
      </c>
    </row>
    <row r="233" spans="1:20" x14ac:dyDescent="0.3">
      <c r="A233" s="3">
        <v>45426</v>
      </c>
      <c r="B233" s="1" t="s">
        <v>41</v>
      </c>
      <c r="C233" s="1" t="s">
        <v>42</v>
      </c>
      <c r="D233" s="1" t="s">
        <v>18</v>
      </c>
      <c r="E233" s="1" t="s">
        <v>640</v>
      </c>
      <c r="F233" s="4">
        <v>12041</v>
      </c>
      <c r="G233" s="1" t="s">
        <v>19</v>
      </c>
      <c r="H233" s="1" t="s">
        <v>334</v>
      </c>
      <c r="I233" s="1" t="s">
        <v>757</v>
      </c>
      <c r="J233" s="1">
        <v>6156</v>
      </c>
      <c r="K233" s="1">
        <v>6759515</v>
      </c>
      <c r="L233" s="7" t="str">
        <f t="shared" si="3"/>
        <v>3054724233161566759515</v>
      </c>
      <c r="M233" s="5">
        <v>21</v>
      </c>
      <c r="N233" s="5">
        <v>0</v>
      </c>
      <c r="O233" s="5">
        <v>1283570.5900000001</v>
      </c>
      <c r="P233" s="5">
        <v>269549.82</v>
      </c>
      <c r="Q233" s="5">
        <v>1616527.15</v>
      </c>
      <c r="R233" s="1" t="s">
        <v>15</v>
      </c>
      <c r="S233" s="5">
        <v>25671.41</v>
      </c>
      <c r="T233">
        <f>VLOOKUP(L233,'MIS COMPROBANTES'!E:Q,13,0)</f>
        <v>1616527.15</v>
      </c>
    </row>
    <row r="234" spans="1:20" x14ac:dyDescent="0.3">
      <c r="A234" s="3">
        <v>45426</v>
      </c>
      <c r="B234" s="1" t="s">
        <v>41</v>
      </c>
      <c r="C234" s="1" t="s">
        <v>42</v>
      </c>
      <c r="D234" s="1" t="s">
        <v>18</v>
      </c>
      <c r="E234" s="1" t="s">
        <v>640</v>
      </c>
      <c r="F234" s="4">
        <v>12041</v>
      </c>
      <c r="G234" s="1" t="s">
        <v>19</v>
      </c>
      <c r="H234" s="1" t="s">
        <v>334</v>
      </c>
      <c r="I234" s="1" t="s">
        <v>757</v>
      </c>
      <c r="J234" s="1">
        <v>6156</v>
      </c>
      <c r="K234" s="1">
        <v>6759515</v>
      </c>
      <c r="L234" s="7" t="str">
        <f t="shared" si="3"/>
        <v>3054724233161566759515</v>
      </c>
      <c r="M234" s="5">
        <v>3</v>
      </c>
      <c r="N234" s="5">
        <v>0</v>
      </c>
      <c r="O234" s="5">
        <v>0</v>
      </c>
      <c r="P234" s="5">
        <v>37735.33</v>
      </c>
      <c r="Q234" s="5">
        <v>0</v>
      </c>
      <c r="R234" s="1" t="s">
        <v>15</v>
      </c>
      <c r="S234" s="5">
        <v>0</v>
      </c>
      <c r="T234">
        <f>VLOOKUP(L234,'MIS COMPROBANTES'!E:Q,13,0)</f>
        <v>1616527.15</v>
      </c>
    </row>
    <row r="235" spans="1:20" x14ac:dyDescent="0.3">
      <c r="A235" s="3">
        <v>45427</v>
      </c>
      <c r="B235" s="1" t="s">
        <v>335</v>
      </c>
      <c r="C235" s="1" t="s">
        <v>336</v>
      </c>
      <c r="D235" s="1" t="s">
        <v>18</v>
      </c>
      <c r="E235" s="1" t="s">
        <v>711</v>
      </c>
      <c r="F235" s="4">
        <v>12170</v>
      </c>
      <c r="G235" s="1" t="s">
        <v>19</v>
      </c>
      <c r="H235" s="1" t="s">
        <v>337</v>
      </c>
      <c r="I235" s="1">
        <v>0</v>
      </c>
      <c r="J235" s="1">
        <v>2024</v>
      </c>
      <c r="K235" s="1">
        <v>10746315</v>
      </c>
      <c r="L235" s="7" t="str">
        <f t="shared" si="3"/>
        <v>30592717340202410746315</v>
      </c>
      <c r="M235" s="5">
        <v>21</v>
      </c>
      <c r="N235" s="5">
        <v>5018.95</v>
      </c>
      <c r="O235" s="5">
        <v>75258.97</v>
      </c>
      <c r="P235" s="5">
        <v>15804.38</v>
      </c>
      <c r="Q235" s="5">
        <v>99845.24</v>
      </c>
      <c r="R235" s="1" t="s">
        <v>15</v>
      </c>
      <c r="S235" s="5">
        <v>3762.94</v>
      </c>
      <c r="T235" t="e">
        <f>VLOOKUP(L235,'MIS COMPROBANTES'!E:Q,13,0)</f>
        <v>#N/A</v>
      </c>
    </row>
    <row r="236" spans="1:20" x14ac:dyDescent="0.3">
      <c r="A236" s="3">
        <v>45427</v>
      </c>
      <c r="B236" s="1" t="s">
        <v>335</v>
      </c>
      <c r="C236" s="1" t="s">
        <v>336</v>
      </c>
      <c r="D236" s="1" t="s">
        <v>18</v>
      </c>
      <c r="E236" s="1" t="s">
        <v>711</v>
      </c>
      <c r="F236" s="4">
        <v>12168</v>
      </c>
      <c r="G236" s="1" t="s">
        <v>19</v>
      </c>
      <c r="H236" s="1" t="s">
        <v>338</v>
      </c>
      <c r="I236" s="1">
        <v>0</v>
      </c>
      <c r="J236" s="1">
        <v>2024</v>
      </c>
      <c r="K236" s="1">
        <v>10746414</v>
      </c>
      <c r="L236" s="7" t="str">
        <f t="shared" si="3"/>
        <v>30592717340202410746414</v>
      </c>
      <c r="M236" s="5">
        <v>21</v>
      </c>
      <c r="N236" s="5">
        <v>5018.95</v>
      </c>
      <c r="O236" s="5">
        <v>75258.97</v>
      </c>
      <c r="P236" s="5">
        <v>15804.38</v>
      </c>
      <c r="Q236" s="5">
        <v>99845.24</v>
      </c>
      <c r="R236" s="1" t="s">
        <v>15</v>
      </c>
      <c r="S236" s="5">
        <v>3762.94</v>
      </c>
      <c r="T236" t="e">
        <f>VLOOKUP(L236,'MIS COMPROBANTES'!E:Q,13,0)</f>
        <v>#N/A</v>
      </c>
    </row>
    <row r="237" spans="1:20" x14ac:dyDescent="0.3">
      <c r="A237" s="3">
        <v>45427</v>
      </c>
      <c r="B237" s="1" t="s">
        <v>335</v>
      </c>
      <c r="C237" s="1" t="s">
        <v>336</v>
      </c>
      <c r="D237" s="1" t="s">
        <v>18</v>
      </c>
      <c r="E237" s="1" t="s">
        <v>711</v>
      </c>
      <c r="F237" s="4">
        <v>12169</v>
      </c>
      <c r="G237" s="1" t="s">
        <v>19</v>
      </c>
      <c r="H237" s="1" t="s">
        <v>339</v>
      </c>
      <c r="I237" s="1">
        <v>0</v>
      </c>
      <c r="J237" s="1">
        <v>2024</v>
      </c>
      <c r="K237" s="1">
        <v>10746514</v>
      </c>
      <c r="L237" s="7" t="str">
        <f t="shared" si="3"/>
        <v>30592717340202410746514</v>
      </c>
      <c r="M237" s="5">
        <v>21</v>
      </c>
      <c r="N237" s="5">
        <v>5018.95</v>
      </c>
      <c r="O237" s="5">
        <v>75258.97</v>
      </c>
      <c r="P237" s="5">
        <v>15804.38</v>
      </c>
      <c r="Q237" s="5">
        <v>99845.24</v>
      </c>
      <c r="R237" s="1" t="s">
        <v>15</v>
      </c>
      <c r="S237" s="5">
        <v>3762.94</v>
      </c>
      <c r="T237" t="e">
        <f>VLOOKUP(L237,'MIS COMPROBANTES'!E:Q,13,0)</f>
        <v>#N/A</v>
      </c>
    </row>
    <row r="238" spans="1:20" x14ac:dyDescent="0.3">
      <c r="A238" s="3">
        <v>45427</v>
      </c>
      <c r="B238" s="1" t="s">
        <v>335</v>
      </c>
      <c r="C238" s="1" t="s">
        <v>336</v>
      </c>
      <c r="D238" s="1" t="s">
        <v>18</v>
      </c>
      <c r="E238" s="1" t="s">
        <v>711</v>
      </c>
      <c r="F238" s="4">
        <v>12167</v>
      </c>
      <c r="G238" s="1" t="s">
        <v>19</v>
      </c>
      <c r="H238" s="1" t="s">
        <v>340</v>
      </c>
      <c r="I238" s="1">
        <v>0</v>
      </c>
      <c r="J238" s="1">
        <v>2024</v>
      </c>
      <c r="K238" s="1">
        <v>60044312</v>
      </c>
      <c r="L238" s="7" t="str">
        <f t="shared" si="3"/>
        <v>30592717340202460044312</v>
      </c>
      <c r="M238" s="5">
        <v>21</v>
      </c>
      <c r="N238" s="5">
        <v>4488.8100000000004</v>
      </c>
      <c r="O238" s="5">
        <v>56089.94</v>
      </c>
      <c r="P238" s="5">
        <v>11778.89</v>
      </c>
      <c r="Q238" s="5">
        <v>75162.14</v>
      </c>
      <c r="R238" s="1" t="s">
        <v>15</v>
      </c>
      <c r="S238" s="5">
        <v>2804.5</v>
      </c>
      <c r="T238" t="e">
        <f>VLOOKUP(L238,'MIS COMPROBANTES'!E:Q,13,0)</f>
        <v>#N/A</v>
      </c>
    </row>
    <row r="239" spans="1:20" x14ac:dyDescent="0.3">
      <c r="A239" s="3">
        <v>45427</v>
      </c>
      <c r="B239" s="1" t="s">
        <v>192</v>
      </c>
      <c r="C239" s="1" t="s">
        <v>193</v>
      </c>
      <c r="D239" s="1" t="s">
        <v>18</v>
      </c>
      <c r="E239" s="1" t="s">
        <v>681</v>
      </c>
      <c r="F239" s="4">
        <v>11926</v>
      </c>
      <c r="G239" s="1" t="s">
        <v>19</v>
      </c>
      <c r="H239" s="1" t="s">
        <v>341</v>
      </c>
      <c r="I239" s="1" t="s">
        <v>757</v>
      </c>
      <c r="J239" s="1">
        <v>3</v>
      </c>
      <c r="K239" s="1">
        <v>1393</v>
      </c>
      <c r="L239" s="7" t="str">
        <f t="shared" si="3"/>
        <v>3071474643631393</v>
      </c>
      <c r="M239" s="5">
        <v>21</v>
      </c>
      <c r="N239" s="5">
        <v>0</v>
      </c>
      <c r="O239" s="5">
        <v>22340591.210000001</v>
      </c>
      <c r="P239" s="5">
        <v>4691524.1500000004</v>
      </c>
      <c r="Q239" s="5">
        <v>27032115.359999999</v>
      </c>
      <c r="R239" s="1" t="s">
        <v>15</v>
      </c>
      <c r="S239" s="5">
        <v>0</v>
      </c>
      <c r="T239">
        <f>VLOOKUP(L239,'MIS COMPROBANTES'!E:Q,13,0)</f>
        <v>27032115.359999999</v>
      </c>
    </row>
    <row r="240" spans="1:20" x14ac:dyDescent="0.3">
      <c r="A240" s="3">
        <v>45427</v>
      </c>
      <c r="B240" s="1" t="s">
        <v>70</v>
      </c>
      <c r="C240" s="1" t="s">
        <v>71</v>
      </c>
      <c r="D240" s="1" t="s">
        <v>18</v>
      </c>
      <c r="E240" s="1" t="s">
        <v>649</v>
      </c>
      <c r="F240" s="4">
        <v>11950</v>
      </c>
      <c r="G240" s="1" t="s">
        <v>19</v>
      </c>
      <c r="H240" s="1" t="s">
        <v>342</v>
      </c>
      <c r="I240" s="1" t="s">
        <v>757</v>
      </c>
      <c r="J240" s="1">
        <v>3</v>
      </c>
      <c r="K240" s="1">
        <v>100586</v>
      </c>
      <c r="L240" s="7" t="str">
        <f t="shared" si="3"/>
        <v>307039574783100586</v>
      </c>
      <c r="M240" s="5">
        <v>21</v>
      </c>
      <c r="N240" s="5">
        <v>0</v>
      </c>
      <c r="O240" s="5">
        <v>1220908.26</v>
      </c>
      <c r="P240" s="5">
        <v>256390.74</v>
      </c>
      <c r="Q240" s="5">
        <v>1501717.17</v>
      </c>
      <c r="R240" s="1" t="s">
        <v>15</v>
      </c>
      <c r="S240" s="5">
        <v>24418.17</v>
      </c>
      <c r="T240">
        <f>VLOOKUP(L240,'MIS COMPROBANTES'!E:Q,13,0)</f>
        <v>1501717.17</v>
      </c>
    </row>
    <row r="241" spans="1:20" x14ac:dyDescent="0.3">
      <c r="A241" s="3">
        <v>45427</v>
      </c>
      <c r="B241" s="1" t="s">
        <v>125</v>
      </c>
      <c r="C241" s="1" t="s">
        <v>126</v>
      </c>
      <c r="D241" s="1" t="s">
        <v>18</v>
      </c>
      <c r="E241" s="1" t="s">
        <v>663</v>
      </c>
      <c r="F241" s="4">
        <v>11969</v>
      </c>
      <c r="G241" s="1" t="s">
        <v>19</v>
      </c>
      <c r="H241" s="1" t="s">
        <v>343</v>
      </c>
      <c r="I241" s="1" t="s">
        <v>757</v>
      </c>
      <c r="J241" s="1">
        <v>4</v>
      </c>
      <c r="K241" s="1">
        <v>1446</v>
      </c>
      <c r="L241" s="7" t="str">
        <f t="shared" si="3"/>
        <v>2024334867741446</v>
      </c>
      <c r="M241" s="5">
        <v>21</v>
      </c>
      <c r="N241" s="5">
        <v>0</v>
      </c>
      <c r="O241" s="5">
        <v>7688500</v>
      </c>
      <c r="P241" s="5">
        <v>477960</v>
      </c>
      <c r="Q241" s="5">
        <v>8734772.5</v>
      </c>
      <c r="R241" s="1" t="s">
        <v>15</v>
      </c>
      <c r="S241" s="5">
        <v>0</v>
      </c>
      <c r="T241">
        <f>VLOOKUP(L241,'MIS COMPROBANTES'!E:Q,13,0)</f>
        <v>8734772.5</v>
      </c>
    </row>
    <row r="242" spans="1:20" x14ac:dyDescent="0.3">
      <c r="A242" s="3">
        <v>45427</v>
      </c>
      <c r="B242" s="1" t="s">
        <v>125</v>
      </c>
      <c r="C242" s="1" t="s">
        <v>126</v>
      </c>
      <c r="D242" s="1" t="s">
        <v>18</v>
      </c>
      <c r="E242" s="1" t="s">
        <v>663</v>
      </c>
      <c r="F242" s="4">
        <v>11969</v>
      </c>
      <c r="G242" s="1" t="s">
        <v>19</v>
      </c>
      <c r="H242" s="1" t="s">
        <v>343</v>
      </c>
      <c r="I242" s="1" t="s">
        <v>757</v>
      </c>
      <c r="J242" s="1">
        <v>4</v>
      </c>
      <c r="K242" s="1">
        <v>1446</v>
      </c>
      <c r="L242" s="7" t="str">
        <f t="shared" si="3"/>
        <v>2024334867741446</v>
      </c>
      <c r="M242" s="5">
        <v>10.5</v>
      </c>
      <c r="N242" s="5">
        <v>0</v>
      </c>
      <c r="O242" s="5">
        <v>0</v>
      </c>
      <c r="P242" s="5">
        <v>568312.5</v>
      </c>
      <c r="Q242" s="5">
        <v>0</v>
      </c>
      <c r="R242" s="1" t="s">
        <v>15</v>
      </c>
      <c r="S242" s="5">
        <v>0</v>
      </c>
      <c r="T242">
        <f>VLOOKUP(L242,'MIS COMPROBANTES'!E:Q,13,0)</f>
        <v>8734772.5</v>
      </c>
    </row>
    <row r="243" spans="1:20" x14ac:dyDescent="0.3">
      <c r="A243" s="3">
        <v>45427</v>
      </c>
      <c r="B243" s="1" t="s">
        <v>196</v>
      </c>
      <c r="C243" s="1" t="s">
        <v>197</v>
      </c>
      <c r="D243" s="1" t="s">
        <v>18</v>
      </c>
      <c r="E243" s="1" t="s">
        <v>682</v>
      </c>
      <c r="F243" s="4">
        <v>12010</v>
      </c>
      <c r="G243" s="1" t="s">
        <v>19</v>
      </c>
      <c r="H243" s="1" t="s">
        <v>344</v>
      </c>
      <c r="I243" s="1" t="s">
        <v>757</v>
      </c>
      <c r="J243" s="1">
        <v>115</v>
      </c>
      <c r="K243" s="1">
        <v>142601</v>
      </c>
      <c r="L243" s="7" t="str">
        <f t="shared" si="3"/>
        <v>30629646708115142601</v>
      </c>
      <c r="M243" s="5">
        <v>10.5</v>
      </c>
      <c r="N243" s="5">
        <v>0</v>
      </c>
      <c r="O243" s="5">
        <v>545908.18999999994</v>
      </c>
      <c r="P243" s="5">
        <v>57320.36</v>
      </c>
      <c r="Q243" s="5">
        <v>638712.57999999996</v>
      </c>
      <c r="R243" s="1" t="s">
        <v>15</v>
      </c>
      <c r="S243" s="5">
        <v>27295.41</v>
      </c>
      <c r="T243">
        <f>VLOOKUP(L243,'MIS COMPROBANTES'!E:Q,13,0)</f>
        <v>638712.57999999996</v>
      </c>
    </row>
    <row r="244" spans="1:20" x14ac:dyDescent="0.3">
      <c r="A244" s="3">
        <v>45427</v>
      </c>
      <c r="B244" s="1" t="s">
        <v>196</v>
      </c>
      <c r="C244" s="1" t="s">
        <v>197</v>
      </c>
      <c r="D244" s="1" t="s">
        <v>18</v>
      </c>
      <c r="E244" s="1" t="s">
        <v>682</v>
      </c>
      <c r="F244" s="4">
        <v>12010</v>
      </c>
      <c r="G244" s="1" t="s">
        <v>19</v>
      </c>
      <c r="H244" s="1" t="s">
        <v>344</v>
      </c>
      <c r="I244" s="1" t="s">
        <v>757</v>
      </c>
      <c r="J244" s="1">
        <v>115</v>
      </c>
      <c r="K244" s="1">
        <v>142601</v>
      </c>
      <c r="L244" s="7" t="str">
        <f t="shared" si="3"/>
        <v>30629646708115142601</v>
      </c>
      <c r="M244" s="5">
        <v>1.5</v>
      </c>
      <c r="N244" s="5">
        <v>0</v>
      </c>
      <c r="O244" s="5">
        <v>0</v>
      </c>
      <c r="P244" s="5">
        <v>8188.62</v>
      </c>
      <c r="Q244" s="5">
        <v>0</v>
      </c>
      <c r="R244" s="1" t="s">
        <v>15</v>
      </c>
      <c r="S244" s="5">
        <v>0</v>
      </c>
      <c r="T244">
        <f>VLOOKUP(L244,'MIS COMPROBANTES'!E:Q,13,0)</f>
        <v>638712.57999999996</v>
      </c>
    </row>
    <row r="245" spans="1:20" x14ac:dyDescent="0.3">
      <c r="A245" s="3">
        <v>45427</v>
      </c>
      <c r="B245" s="1" t="s">
        <v>196</v>
      </c>
      <c r="C245" s="1" t="s">
        <v>197</v>
      </c>
      <c r="D245" s="1" t="s">
        <v>18</v>
      </c>
      <c r="E245" s="1" t="s">
        <v>682</v>
      </c>
      <c r="F245" s="4">
        <v>12146</v>
      </c>
      <c r="G245" s="1" t="s">
        <v>19</v>
      </c>
      <c r="H245" s="1" t="s">
        <v>345</v>
      </c>
      <c r="I245" s="1" t="s">
        <v>757</v>
      </c>
      <c r="J245" s="1">
        <v>115</v>
      </c>
      <c r="K245" s="1">
        <v>142611</v>
      </c>
      <c r="L245" s="7" t="str">
        <f t="shared" si="3"/>
        <v>30629646708115142611</v>
      </c>
      <c r="M245" s="5">
        <v>21</v>
      </c>
      <c r="N245" s="5">
        <v>0.01</v>
      </c>
      <c r="O245" s="5">
        <v>6075441.5199999996</v>
      </c>
      <c r="P245" s="5">
        <v>1275842.72</v>
      </c>
      <c r="Q245" s="5">
        <v>7837319.5800000001</v>
      </c>
      <c r="R245" s="1" t="s">
        <v>15</v>
      </c>
      <c r="S245" s="5">
        <v>303772.08</v>
      </c>
      <c r="T245">
        <f>VLOOKUP(L245,'MIS COMPROBANTES'!E:Q,13,0)</f>
        <v>7837319.5800000001</v>
      </c>
    </row>
    <row r="246" spans="1:20" x14ac:dyDescent="0.3">
      <c r="A246" s="3">
        <v>45427</v>
      </c>
      <c r="B246" s="1" t="s">
        <v>196</v>
      </c>
      <c r="C246" s="1" t="s">
        <v>197</v>
      </c>
      <c r="D246" s="1" t="s">
        <v>18</v>
      </c>
      <c r="E246" s="1" t="s">
        <v>682</v>
      </c>
      <c r="F246" s="4">
        <v>12146</v>
      </c>
      <c r="G246" s="1" t="s">
        <v>19</v>
      </c>
      <c r="H246" s="1" t="s">
        <v>345</v>
      </c>
      <c r="I246" s="1" t="s">
        <v>757</v>
      </c>
      <c r="J246" s="1">
        <v>115</v>
      </c>
      <c r="K246" s="1">
        <v>142611</v>
      </c>
      <c r="L246" s="7" t="str">
        <f t="shared" si="3"/>
        <v>30629646708115142611</v>
      </c>
      <c r="M246" s="5">
        <v>3</v>
      </c>
      <c r="N246" s="5">
        <v>0</v>
      </c>
      <c r="O246" s="5">
        <v>0</v>
      </c>
      <c r="P246" s="5">
        <v>182263.25</v>
      </c>
      <c r="Q246" s="5">
        <v>0</v>
      </c>
      <c r="R246" s="1" t="s">
        <v>15</v>
      </c>
      <c r="S246" s="5">
        <v>0</v>
      </c>
      <c r="T246">
        <f>VLOOKUP(L246,'MIS COMPROBANTES'!E:Q,13,0)</f>
        <v>7837319.5800000001</v>
      </c>
    </row>
    <row r="247" spans="1:20" x14ac:dyDescent="0.3">
      <c r="A247" s="3">
        <v>45427</v>
      </c>
      <c r="B247" s="1" t="s">
        <v>196</v>
      </c>
      <c r="C247" s="1" t="s">
        <v>197</v>
      </c>
      <c r="D247" s="1" t="s">
        <v>18</v>
      </c>
      <c r="E247" s="1" t="s">
        <v>682</v>
      </c>
      <c r="F247" s="4">
        <v>12117</v>
      </c>
      <c r="G247" s="1" t="s">
        <v>19</v>
      </c>
      <c r="H247" s="1" t="s">
        <v>346</v>
      </c>
      <c r="I247" s="1" t="s">
        <v>757</v>
      </c>
      <c r="J247" s="1">
        <v>115</v>
      </c>
      <c r="K247" s="1">
        <v>142612</v>
      </c>
      <c r="L247" s="7" t="str">
        <f t="shared" si="3"/>
        <v>30629646708115142612</v>
      </c>
      <c r="M247" s="5">
        <v>21</v>
      </c>
      <c r="N247" s="5">
        <v>0</v>
      </c>
      <c r="O247" s="5">
        <v>929358.36</v>
      </c>
      <c r="P247" s="5">
        <v>195165.26</v>
      </c>
      <c r="Q247" s="5">
        <v>1198872.29</v>
      </c>
      <c r="R247" s="1" t="s">
        <v>15</v>
      </c>
      <c r="S247" s="5">
        <v>46467.92</v>
      </c>
      <c r="T247">
        <f>VLOOKUP(L247,'MIS COMPROBANTES'!E:Q,13,0)</f>
        <v>1198872.29</v>
      </c>
    </row>
    <row r="248" spans="1:20" x14ac:dyDescent="0.3">
      <c r="A248" s="3">
        <v>45427</v>
      </c>
      <c r="B248" s="1" t="s">
        <v>196</v>
      </c>
      <c r="C248" s="1" t="s">
        <v>197</v>
      </c>
      <c r="D248" s="1" t="s">
        <v>18</v>
      </c>
      <c r="E248" s="1" t="s">
        <v>682</v>
      </c>
      <c r="F248" s="4">
        <v>12117</v>
      </c>
      <c r="G248" s="1" t="s">
        <v>19</v>
      </c>
      <c r="H248" s="1" t="s">
        <v>346</v>
      </c>
      <c r="I248" s="1" t="s">
        <v>757</v>
      </c>
      <c r="J248" s="1">
        <v>115</v>
      </c>
      <c r="K248" s="1">
        <v>142612</v>
      </c>
      <c r="L248" s="7" t="str">
        <f t="shared" si="3"/>
        <v>30629646708115142612</v>
      </c>
      <c r="M248" s="5">
        <v>3</v>
      </c>
      <c r="N248" s="5">
        <v>0</v>
      </c>
      <c r="O248" s="5">
        <v>0</v>
      </c>
      <c r="P248" s="5">
        <v>27880.75</v>
      </c>
      <c r="Q248" s="5">
        <v>0</v>
      </c>
      <c r="R248" s="1" t="s">
        <v>15</v>
      </c>
      <c r="S248" s="5">
        <v>0</v>
      </c>
      <c r="T248">
        <f>VLOOKUP(L248,'MIS COMPROBANTES'!E:Q,13,0)</f>
        <v>1198872.29</v>
      </c>
    </row>
    <row r="249" spans="1:20" x14ac:dyDescent="0.3">
      <c r="A249" s="3">
        <v>45427</v>
      </c>
      <c r="B249" s="1" t="s">
        <v>258</v>
      </c>
      <c r="C249" s="1" t="s">
        <v>259</v>
      </c>
      <c r="D249" s="1" t="s">
        <v>18</v>
      </c>
      <c r="E249" s="1" t="s">
        <v>697</v>
      </c>
      <c r="F249" s="4">
        <v>12336</v>
      </c>
      <c r="G249" s="1" t="s">
        <v>19</v>
      </c>
      <c r="H249" s="1" t="s">
        <v>347</v>
      </c>
      <c r="I249" s="1" t="s">
        <v>757</v>
      </c>
      <c r="J249" s="1">
        <v>601</v>
      </c>
      <c r="K249" s="1">
        <v>262963</v>
      </c>
      <c r="L249" s="7" t="str">
        <f t="shared" si="3"/>
        <v>30525390086601262963</v>
      </c>
      <c r="M249" s="5">
        <v>21</v>
      </c>
      <c r="N249" s="5">
        <v>75091.64</v>
      </c>
      <c r="O249" s="5">
        <v>1288013.67</v>
      </c>
      <c r="P249" s="5">
        <v>270482.88</v>
      </c>
      <c r="Q249" s="5">
        <v>1699490.71</v>
      </c>
      <c r="R249" s="1" t="s">
        <v>15</v>
      </c>
      <c r="S249" s="5">
        <v>27262.11</v>
      </c>
      <c r="T249">
        <f>VLOOKUP(L249,'MIS COMPROBANTES'!E:Q,13,0)</f>
        <v>1699490.71</v>
      </c>
    </row>
    <row r="250" spans="1:20" x14ac:dyDescent="0.3">
      <c r="A250" s="3">
        <v>45427</v>
      </c>
      <c r="B250" s="1" t="s">
        <v>258</v>
      </c>
      <c r="C250" s="1" t="s">
        <v>259</v>
      </c>
      <c r="D250" s="1" t="s">
        <v>18</v>
      </c>
      <c r="E250" s="1" t="s">
        <v>697</v>
      </c>
      <c r="F250" s="4">
        <v>12336</v>
      </c>
      <c r="G250" s="1" t="s">
        <v>19</v>
      </c>
      <c r="H250" s="1" t="s">
        <v>347</v>
      </c>
      <c r="I250" s="1" t="s">
        <v>757</v>
      </c>
      <c r="J250" s="1">
        <v>601</v>
      </c>
      <c r="K250" s="1">
        <v>262963</v>
      </c>
      <c r="L250" s="7" t="str">
        <f t="shared" si="3"/>
        <v>30525390086601262963</v>
      </c>
      <c r="M250" s="5">
        <v>3</v>
      </c>
      <c r="N250" s="5">
        <v>0</v>
      </c>
      <c r="O250" s="5">
        <v>0</v>
      </c>
      <c r="P250" s="5">
        <v>38640.410000000003</v>
      </c>
      <c r="Q250" s="5">
        <v>0</v>
      </c>
      <c r="R250" s="1" t="s">
        <v>15</v>
      </c>
      <c r="S250" s="5">
        <v>0</v>
      </c>
      <c r="T250">
        <f>VLOOKUP(L250,'MIS COMPROBANTES'!E:Q,13,0)</f>
        <v>1699490.71</v>
      </c>
    </row>
    <row r="251" spans="1:20" x14ac:dyDescent="0.3">
      <c r="A251" s="3">
        <v>45427</v>
      </c>
      <c r="B251" s="1" t="s">
        <v>91</v>
      </c>
      <c r="C251" s="1" t="s">
        <v>92</v>
      </c>
      <c r="D251" s="1" t="s">
        <v>18</v>
      </c>
      <c r="E251" s="1" t="s">
        <v>654</v>
      </c>
      <c r="F251" s="4">
        <v>11970</v>
      </c>
      <c r="G251" s="1" t="s">
        <v>19</v>
      </c>
      <c r="H251" s="1" t="s">
        <v>348</v>
      </c>
      <c r="I251" s="1" t="s">
        <v>757</v>
      </c>
      <c r="J251" s="1">
        <v>1001</v>
      </c>
      <c r="K251" s="1">
        <v>235954</v>
      </c>
      <c r="L251" s="7" t="str">
        <f t="shared" si="3"/>
        <v>305866115221001235954</v>
      </c>
      <c r="M251" s="5">
        <v>21</v>
      </c>
      <c r="N251" s="5">
        <v>0</v>
      </c>
      <c r="O251" s="5">
        <v>11512278</v>
      </c>
      <c r="P251" s="5">
        <v>2417578.38</v>
      </c>
      <c r="Q251" s="5">
        <v>14850838.619999999</v>
      </c>
      <c r="R251" s="1" t="s">
        <v>15</v>
      </c>
      <c r="S251" s="5">
        <v>575613.9</v>
      </c>
      <c r="T251">
        <f>VLOOKUP(L251,'MIS COMPROBANTES'!E:Q,13,0)</f>
        <v>14850838.619999999</v>
      </c>
    </row>
    <row r="252" spans="1:20" x14ac:dyDescent="0.3">
      <c r="A252" s="3">
        <v>45427</v>
      </c>
      <c r="B252" s="1" t="s">
        <v>91</v>
      </c>
      <c r="C252" s="1" t="s">
        <v>92</v>
      </c>
      <c r="D252" s="1" t="s">
        <v>18</v>
      </c>
      <c r="E252" s="1" t="s">
        <v>654</v>
      </c>
      <c r="F252" s="4">
        <v>11970</v>
      </c>
      <c r="G252" s="1" t="s">
        <v>19</v>
      </c>
      <c r="H252" s="1" t="s">
        <v>348</v>
      </c>
      <c r="I252" s="1" t="s">
        <v>757</v>
      </c>
      <c r="J252" s="1">
        <v>1001</v>
      </c>
      <c r="K252" s="1">
        <v>235954</v>
      </c>
      <c r="L252" s="7" t="str">
        <f t="shared" si="3"/>
        <v>305866115221001235954</v>
      </c>
      <c r="M252" s="5">
        <v>3</v>
      </c>
      <c r="N252" s="5">
        <v>0</v>
      </c>
      <c r="O252" s="5">
        <v>0</v>
      </c>
      <c r="P252" s="5">
        <v>345368.34</v>
      </c>
      <c r="Q252" s="5">
        <v>0</v>
      </c>
      <c r="R252" s="1" t="s">
        <v>15</v>
      </c>
      <c r="S252" s="5">
        <v>0</v>
      </c>
      <c r="T252">
        <f>VLOOKUP(L252,'MIS COMPROBANTES'!E:Q,13,0)</f>
        <v>14850838.619999999</v>
      </c>
    </row>
    <row r="253" spans="1:20" x14ac:dyDescent="0.3">
      <c r="A253" s="3">
        <v>45427</v>
      </c>
      <c r="B253" s="1" t="s">
        <v>349</v>
      </c>
      <c r="C253" s="1" t="s">
        <v>350</v>
      </c>
      <c r="D253" s="1" t="s">
        <v>18</v>
      </c>
      <c r="E253" s="1" t="s">
        <v>712</v>
      </c>
      <c r="F253" s="4">
        <v>11977</v>
      </c>
      <c r="G253" s="1" t="s">
        <v>27</v>
      </c>
      <c r="H253" s="1" t="s">
        <v>351</v>
      </c>
      <c r="I253" s="1" t="s">
        <v>757</v>
      </c>
      <c r="J253" s="1">
        <v>34</v>
      </c>
      <c r="K253" s="1">
        <v>26574</v>
      </c>
      <c r="L253" s="7" t="str">
        <f t="shared" si="3"/>
        <v>306871474363426574</v>
      </c>
      <c r="M253" s="5">
        <v>21</v>
      </c>
      <c r="N253" s="5">
        <v>0</v>
      </c>
      <c r="O253" s="5">
        <v>-41400.36</v>
      </c>
      <c r="P253" s="5">
        <v>-8694.08</v>
      </c>
      <c r="Q253" s="5">
        <v>-50094.44</v>
      </c>
      <c r="R253" s="1" t="s">
        <v>15</v>
      </c>
      <c r="S253" s="5">
        <v>0</v>
      </c>
      <c r="T253">
        <f>VLOOKUP(L253,'MIS COMPROBANTES'!E:Q,13,0)</f>
        <v>50094.44</v>
      </c>
    </row>
    <row r="254" spans="1:20" x14ac:dyDescent="0.3">
      <c r="A254" s="3">
        <v>45427</v>
      </c>
      <c r="B254" s="1" t="s">
        <v>41</v>
      </c>
      <c r="C254" s="1" t="s">
        <v>42</v>
      </c>
      <c r="D254" s="1" t="s">
        <v>18</v>
      </c>
      <c r="E254" s="1" t="s">
        <v>640</v>
      </c>
      <c r="F254" s="4">
        <v>12042</v>
      </c>
      <c r="G254" s="1" t="s">
        <v>27</v>
      </c>
      <c r="H254" s="1" t="s">
        <v>352</v>
      </c>
      <c r="I254" s="1" t="s">
        <v>757</v>
      </c>
      <c r="J254" s="1">
        <v>6156</v>
      </c>
      <c r="K254" s="1">
        <v>2548155</v>
      </c>
      <c r="L254" s="7" t="str">
        <f t="shared" si="3"/>
        <v>3054724233161562548155</v>
      </c>
      <c r="M254" s="5">
        <v>21</v>
      </c>
      <c r="N254" s="5">
        <v>0</v>
      </c>
      <c r="O254" s="5">
        <v>-733286.52</v>
      </c>
      <c r="P254" s="5">
        <v>-153990.17000000001</v>
      </c>
      <c r="Q254" s="5">
        <v>-909275.29</v>
      </c>
      <c r="R254" s="1" t="s">
        <v>15</v>
      </c>
      <c r="S254" s="5">
        <v>0</v>
      </c>
      <c r="T254">
        <f>VLOOKUP(L254,'MIS COMPROBANTES'!E:Q,13,0)</f>
        <v>909275.29</v>
      </c>
    </row>
    <row r="255" spans="1:20" x14ac:dyDescent="0.3">
      <c r="A255" s="3">
        <v>45427</v>
      </c>
      <c r="B255" s="1" t="s">
        <v>41</v>
      </c>
      <c r="C255" s="1" t="s">
        <v>42</v>
      </c>
      <c r="D255" s="1" t="s">
        <v>18</v>
      </c>
      <c r="E255" s="1" t="s">
        <v>640</v>
      </c>
      <c r="F255" s="4">
        <v>12042</v>
      </c>
      <c r="G255" s="1" t="s">
        <v>27</v>
      </c>
      <c r="H255" s="1" t="s">
        <v>352</v>
      </c>
      <c r="I255" s="1" t="s">
        <v>757</v>
      </c>
      <c r="J255" s="1">
        <v>6156</v>
      </c>
      <c r="K255" s="1">
        <v>2548155</v>
      </c>
      <c r="L255" s="7" t="str">
        <f t="shared" si="3"/>
        <v>3054724233161562548155</v>
      </c>
      <c r="M255" s="5">
        <v>3</v>
      </c>
      <c r="N255" s="5">
        <v>0</v>
      </c>
      <c r="O255" s="5">
        <v>0</v>
      </c>
      <c r="P255" s="5">
        <v>-21998.6</v>
      </c>
      <c r="Q255" s="5">
        <v>0</v>
      </c>
      <c r="R255" s="1" t="s">
        <v>15</v>
      </c>
      <c r="S255" s="5">
        <v>0</v>
      </c>
      <c r="T255">
        <f>VLOOKUP(L255,'MIS COMPROBANTES'!E:Q,13,0)</f>
        <v>909275.29</v>
      </c>
    </row>
    <row r="256" spans="1:20" x14ac:dyDescent="0.3">
      <c r="A256" s="3">
        <v>45428</v>
      </c>
      <c r="B256" s="1" t="s">
        <v>246</v>
      </c>
      <c r="C256" s="1" t="s">
        <v>247</v>
      </c>
      <c r="D256" s="1" t="s">
        <v>18</v>
      </c>
      <c r="E256" s="1" t="s">
        <v>693</v>
      </c>
      <c r="F256" s="4">
        <v>12000</v>
      </c>
      <c r="G256" s="1" t="s">
        <v>19</v>
      </c>
      <c r="H256" s="1" t="s">
        <v>353</v>
      </c>
      <c r="I256" s="1" t="s">
        <v>757</v>
      </c>
      <c r="J256" s="1">
        <v>1</v>
      </c>
      <c r="K256" s="1">
        <v>98</v>
      </c>
      <c r="L256" s="7" t="str">
        <f t="shared" si="3"/>
        <v>20301971479198</v>
      </c>
      <c r="M256" s="5">
        <v>21</v>
      </c>
      <c r="N256" s="5">
        <v>0</v>
      </c>
      <c r="O256" s="5">
        <v>380000</v>
      </c>
      <c r="P256" s="5">
        <v>79800</v>
      </c>
      <c r="Q256" s="5">
        <v>459800</v>
      </c>
      <c r="R256" s="1" t="s">
        <v>15</v>
      </c>
      <c r="S256" s="5">
        <v>0</v>
      </c>
      <c r="T256">
        <f>VLOOKUP(L256,'MIS COMPROBANTES'!E:Q,13,0)</f>
        <v>459800</v>
      </c>
    </row>
    <row r="257" spans="1:20" x14ac:dyDescent="0.3">
      <c r="A257" s="3">
        <v>45428</v>
      </c>
      <c r="B257" s="1" t="s">
        <v>189</v>
      </c>
      <c r="C257" s="1" t="s">
        <v>190</v>
      </c>
      <c r="D257" s="1" t="s">
        <v>18</v>
      </c>
      <c r="E257" s="1" t="s">
        <v>680</v>
      </c>
      <c r="F257" s="4">
        <v>11949</v>
      </c>
      <c r="G257" s="1" t="s">
        <v>19</v>
      </c>
      <c r="H257" s="1" t="s">
        <v>354</v>
      </c>
      <c r="I257" s="1" t="s">
        <v>757</v>
      </c>
      <c r="J257" s="1">
        <v>1</v>
      </c>
      <c r="K257" s="1">
        <v>793</v>
      </c>
      <c r="L257" s="7" t="str">
        <f t="shared" si="3"/>
        <v>307150480661793</v>
      </c>
      <c r="M257" s="5">
        <v>21</v>
      </c>
      <c r="N257" s="5">
        <v>0</v>
      </c>
      <c r="O257" s="5">
        <v>5700002</v>
      </c>
      <c r="P257" s="5">
        <v>1197000.42</v>
      </c>
      <c r="Q257" s="5">
        <v>6897002.4199999999</v>
      </c>
      <c r="R257" s="1" t="s">
        <v>15</v>
      </c>
      <c r="S257" s="5">
        <v>0</v>
      </c>
      <c r="T257">
        <f>VLOOKUP(L257,'MIS COMPROBANTES'!E:Q,13,0)</f>
        <v>6897002.4199999999</v>
      </c>
    </row>
    <row r="258" spans="1:20" x14ac:dyDescent="0.3">
      <c r="A258" s="3">
        <v>45428</v>
      </c>
      <c r="B258" s="1" t="s">
        <v>355</v>
      </c>
      <c r="C258" s="1" t="s">
        <v>356</v>
      </c>
      <c r="D258" s="1" t="s">
        <v>18</v>
      </c>
      <c r="E258" s="1" t="s">
        <v>713</v>
      </c>
      <c r="F258" s="4">
        <v>11972</v>
      </c>
      <c r="G258" s="1" t="s">
        <v>19</v>
      </c>
      <c r="H258" s="1" t="s">
        <v>357</v>
      </c>
      <c r="I258" s="1" t="s">
        <v>757</v>
      </c>
      <c r="J258" s="1">
        <v>2</v>
      </c>
      <c r="K258" s="1">
        <v>16657</v>
      </c>
      <c r="L258" s="7" t="str">
        <f t="shared" si="3"/>
        <v>30708904534216657</v>
      </c>
      <c r="M258" s="5">
        <v>21</v>
      </c>
      <c r="N258" s="5">
        <v>0</v>
      </c>
      <c r="O258" s="5">
        <v>1074240</v>
      </c>
      <c r="P258" s="5">
        <v>225590.39999999999</v>
      </c>
      <c r="Q258" s="5">
        <v>1299830.3999999999</v>
      </c>
      <c r="R258" s="1" t="s">
        <v>15</v>
      </c>
      <c r="S258" s="5">
        <v>0</v>
      </c>
      <c r="T258">
        <f>VLOOKUP(L258,'MIS COMPROBANTES'!E:Q,13,0)</f>
        <v>1299830.3999999999</v>
      </c>
    </row>
    <row r="259" spans="1:20" x14ac:dyDescent="0.3">
      <c r="A259" s="3">
        <v>45428</v>
      </c>
      <c r="B259" s="1" t="s">
        <v>358</v>
      </c>
      <c r="C259" s="1" t="s">
        <v>359</v>
      </c>
      <c r="D259" s="1" t="s">
        <v>18</v>
      </c>
      <c r="E259" s="1" t="s">
        <v>714</v>
      </c>
      <c r="F259" s="4">
        <v>11988</v>
      </c>
      <c r="G259" s="1" t="s">
        <v>19</v>
      </c>
      <c r="H259" s="1" t="s">
        <v>360</v>
      </c>
      <c r="I259" s="1" t="s">
        <v>757</v>
      </c>
      <c r="J259" s="1">
        <v>10</v>
      </c>
      <c r="K259" s="1">
        <v>5758</v>
      </c>
      <c r="L259" s="7" t="str">
        <f t="shared" ref="L259:L322" si="4">CONCATENATE(E259,J259,K259)</f>
        <v>30708784687105758</v>
      </c>
      <c r="M259" s="5">
        <v>21</v>
      </c>
      <c r="N259" s="5">
        <v>0</v>
      </c>
      <c r="O259" s="5">
        <v>1939940</v>
      </c>
      <c r="P259" s="5">
        <v>407387.4</v>
      </c>
      <c r="Q259" s="5">
        <v>2347327.4</v>
      </c>
      <c r="R259" s="1" t="s">
        <v>15</v>
      </c>
      <c r="S259" s="5">
        <v>0</v>
      </c>
      <c r="T259">
        <f>VLOOKUP(L259,'MIS COMPROBANTES'!E:Q,13,0)</f>
        <v>2347327.4</v>
      </c>
    </row>
    <row r="260" spans="1:20" x14ac:dyDescent="0.3">
      <c r="A260" s="3">
        <v>45428</v>
      </c>
      <c r="B260" s="1" t="s">
        <v>79</v>
      </c>
      <c r="C260" s="1" t="s">
        <v>80</v>
      </c>
      <c r="D260" s="1" t="s">
        <v>18</v>
      </c>
      <c r="E260" s="1" t="s">
        <v>651</v>
      </c>
      <c r="F260" s="4">
        <v>12037</v>
      </c>
      <c r="G260" s="1" t="s">
        <v>19</v>
      </c>
      <c r="H260" s="1" t="s">
        <v>361</v>
      </c>
      <c r="I260" s="1" t="s">
        <v>757</v>
      </c>
      <c r="J260" s="1">
        <v>20</v>
      </c>
      <c r="K260" s="1">
        <v>153760</v>
      </c>
      <c r="L260" s="7" t="str">
        <f t="shared" si="4"/>
        <v>3064661852120153760</v>
      </c>
      <c r="M260" s="5">
        <v>21</v>
      </c>
      <c r="N260" s="5">
        <v>0</v>
      </c>
      <c r="O260" s="5">
        <v>4889335.68</v>
      </c>
      <c r="P260" s="5">
        <v>1026760.49</v>
      </c>
      <c r="Q260" s="5">
        <v>6062776.2400000002</v>
      </c>
      <c r="R260" s="1" t="s">
        <v>15</v>
      </c>
      <c r="S260" s="5">
        <v>0</v>
      </c>
      <c r="T260">
        <f>VLOOKUP(L260,'MIS COMPROBANTES'!E:Q,13,0)</f>
        <v>6062776.2400000002</v>
      </c>
    </row>
    <row r="261" spans="1:20" x14ac:dyDescent="0.3">
      <c r="A261" s="3">
        <v>45428</v>
      </c>
      <c r="B261" s="1" t="s">
        <v>79</v>
      </c>
      <c r="C261" s="1" t="s">
        <v>80</v>
      </c>
      <c r="D261" s="1" t="s">
        <v>18</v>
      </c>
      <c r="E261" s="1" t="s">
        <v>651</v>
      </c>
      <c r="F261" s="4">
        <v>12037</v>
      </c>
      <c r="G261" s="1" t="s">
        <v>19</v>
      </c>
      <c r="H261" s="1" t="s">
        <v>361</v>
      </c>
      <c r="I261" s="1" t="s">
        <v>757</v>
      </c>
      <c r="J261" s="1">
        <v>20</v>
      </c>
      <c r="K261" s="1">
        <v>153760</v>
      </c>
      <c r="L261" s="7" t="str">
        <f t="shared" si="4"/>
        <v>3064661852120153760</v>
      </c>
      <c r="M261" s="5">
        <v>3</v>
      </c>
      <c r="N261" s="5">
        <v>0</v>
      </c>
      <c r="O261" s="5">
        <v>0</v>
      </c>
      <c r="P261" s="5">
        <v>146680.07</v>
      </c>
      <c r="Q261" s="5">
        <v>0</v>
      </c>
      <c r="R261" s="1" t="s">
        <v>15</v>
      </c>
      <c r="S261" s="5">
        <v>0</v>
      </c>
      <c r="T261">
        <f>VLOOKUP(L261,'MIS COMPROBANTES'!E:Q,13,0)</f>
        <v>6062776.2400000002</v>
      </c>
    </row>
    <row r="262" spans="1:20" x14ac:dyDescent="0.3">
      <c r="A262" s="3">
        <v>45428</v>
      </c>
      <c r="B262" s="1" t="s">
        <v>82</v>
      </c>
      <c r="C262" s="1" t="s">
        <v>83</v>
      </c>
      <c r="D262" s="1" t="s">
        <v>18</v>
      </c>
      <c r="E262" s="1" t="s">
        <v>652</v>
      </c>
      <c r="F262" s="4">
        <v>11984</v>
      </c>
      <c r="G262" s="1" t="s">
        <v>19</v>
      </c>
      <c r="H262" s="1" t="s">
        <v>362</v>
      </c>
      <c r="I262" s="1" t="s">
        <v>757</v>
      </c>
      <c r="J262" s="1">
        <v>46</v>
      </c>
      <c r="K262" s="1">
        <v>401016</v>
      </c>
      <c r="L262" s="7" t="str">
        <f t="shared" si="4"/>
        <v>3053214979346401016</v>
      </c>
      <c r="M262" s="5">
        <v>21</v>
      </c>
      <c r="N262" s="5">
        <v>0</v>
      </c>
      <c r="O262" s="5">
        <v>409978.4</v>
      </c>
      <c r="P262" s="5">
        <v>86095.46</v>
      </c>
      <c r="Q262" s="5">
        <v>516572.78</v>
      </c>
      <c r="R262" s="1" t="s">
        <v>15</v>
      </c>
      <c r="S262" s="5">
        <v>8199.57</v>
      </c>
      <c r="T262">
        <f>VLOOKUP(L262,'MIS COMPROBANTES'!E:Q,13,0)</f>
        <v>516572.78</v>
      </c>
    </row>
    <row r="263" spans="1:20" x14ac:dyDescent="0.3">
      <c r="A263" s="3">
        <v>45428</v>
      </c>
      <c r="B263" s="1" t="s">
        <v>82</v>
      </c>
      <c r="C263" s="1" t="s">
        <v>83</v>
      </c>
      <c r="D263" s="1" t="s">
        <v>18</v>
      </c>
      <c r="E263" s="1" t="s">
        <v>652</v>
      </c>
      <c r="F263" s="4">
        <v>11984</v>
      </c>
      <c r="G263" s="1" t="s">
        <v>19</v>
      </c>
      <c r="H263" s="1" t="s">
        <v>362</v>
      </c>
      <c r="I263" s="1" t="s">
        <v>757</v>
      </c>
      <c r="J263" s="1">
        <v>46</v>
      </c>
      <c r="K263" s="1">
        <v>401016</v>
      </c>
      <c r="L263" s="7" t="str">
        <f t="shared" si="4"/>
        <v>3053214979346401016</v>
      </c>
      <c r="M263" s="5">
        <v>3</v>
      </c>
      <c r="N263" s="5">
        <v>0</v>
      </c>
      <c r="O263" s="5">
        <v>0</v>
      </c>
      <c r="P263" s="5">
        <v>12299.35</v>
      </c>
      <c r="Q263" s="5">
        <v>0</v>
      </c>
      <c r="R263" s="1" t="s">
        <v>15</v>
      </c>
      <c r="S263" s="5">
        <v>0</v>
      </c>
      <c r="T263">
        <f>VLOOKUP(L263,'MIS COMPROBANTES'!E:Q,13,0)</f>
        <v>516572.78</v>
      </c>
    </row>
    <row r="264" spans="1:20" x14ac:dyDescent="0.3">
      <c r="A264" s="3">
        <v>45428</v>
      </c>
      <c r="B264" s="1" t="s">
        <v>168</v>
      </c>
      <c r="C264" s="1" t="s">
        <v>169</v>
      </c>
      <c r="D264" s="1" t="s">
        <v>18</v>
      </c>
      <c r="E264" s="1" t="s">
        <v>674</v>
      </c>
      <c r="F264" s="4">
        <v>11971</v>
      </c>
      <c r="G264" s="1" t="s">
        <v>19</v>
      </c>
      <c r="H264" s="1" t="s">
        <v>363</v>
      </c>
      <c r="I264" s="1" t="s">
        <v>757</v>
      </c>
      <c r="J264" s="1">
        <v>622</v>
      </c>
      <c r="K264" s="1">
        <v>278945</v>
      </c>
      <c r="L264" s="7" t="str">
        <f t="shared" si="4"/>
        <v>30682032630622278945</v>
      </c>
      <c r="M264" s="5">
        <v>21</v>
      </c>
      <c r="N264" s="5">
        <v>0</v>
      </c>
      <c r="O264" s="5">
        <v>198702.36</v>
      </c>
      <c r="P264" s="5">
        <v>41727.5</v>
      </c>
      <c r="Q264" s="5">
        <v>256326.05</v>
      </c>
      <c r="R264" s="1" t="s">
        <v>15</v>
      </c>
      <c r="S264" s="5">
        <v>9935.1200000000008</v>
      </c>
      <c r="T264">
        <f>VLOOKUP(L264,'MIS COMPROBANTES'!E:Q,13,0)</f>
        <v>256326.05</v>
      </c>
    </row>
    <row r="265" spans="1:20" x14ac:dyDescent="0.3">
      <c r="A265" s="3">
        <v>45428</v>
      </c>
      <c r="B265" s="1" t="s">
        <v>168</v>
      </c>
      <c r="C265" s="1" t="s">
        <v>169</v>
      </c>
      <c r="D265" s="1" t="s">
        <v>18</v>
      </c>
      <c r="E265" s="1" t="s">
        <v>674</v>
      </c>
      <c r="F265" s="4">
        <v>11971</v>
      </c>
      <c r="G265" s="1" t="s">
        <v>19</v>
      </c>
      <c r="H265" s="1" t="s">
        <v>363</v>
      </c>
      <c r="I265" s="1" t="s">
        <v>757</v>
      </c>
      <c r="J265" s="1">
        <v>622</v>
      </c>
      <c r="K265" s="1">
        <v>278945</v>
      </c>
      <c r="L265" s="7" t="str">
        <f t="shared" si="4"/>
        <v>30682032630622278945</v>
      </c>
      <c r="M265" s="5">
        <v>3</v>
      </c>
      <c r="N265" s="5">
        <v>0</v>
      </c>
      <c r="O265" s="5">
        <v>0</v>
      </c>
      <c r="P265" s="5">
        <v>5961.07</v>
      </c>
      <c r="Q265" s="5">
        <v>0</v>
      </c>
      <c r="R265" s="1" t="s">
        <v>15</v>
      </c>
      <c r="S265" s="5">
        <v>0</v>
      </c>
      <c r="T265">
        <f>VLOOKUP(L265,'MIS COMPROBANTES'!E:Q,13,0)</f>
        <v>256326.05</v>
      </c>
    </row>
    <row r="266" spans="1:20" x14ac:dyDescent="0.3">
      <c r="A266" s="3">
        <v>45428</v>
      </c>
      <c r="B266" s="1" t="s">
        <v>41</v>
      </c>
      <c r="C266" s="1" t="s">
        <v>42</v>
      </c>
      <c r="D266" s="1" t="s">
        <v>18</v>
      </c>
      <c r="E266" s="1" t="s">
        <v>640</v>
      </c>
      <c r="F266" s="4">
        <v>11975</v>
      </c>
      <c r="G266" s="1" t="s">
        <v>19</v>
      </c>
      <c r="H266" s="1" t="s">
        <v>364</v>
      </c>
      <c r="I266" s="1" t="s">
        <v>757</v>
      </c>
      <c r="J266" s="1">
        <v>6156</v>
      </c>
      <c r="K266" s="1">
        <v>6764437</v>
      </c>
      <c r="L266" s="7" t="str">
        <f t="shared" si="4"/>
        <v>3054724233161566764437</v>
      </c>
      <c r="M266" s="5">
        <v>21</v>
      </c>
      <c r="N266" s="5">
        <v>0</v>
      </c>
      <c r="O266" s="5">
        <v>812618.97</v>
      </c>
      <c r="P266" s="5">
        <v>170649.98</v>
      </c>
      <c r="Q266" s="5">
        <v>1023899.9</v>
      </c>
      <c r="R266" s="1" t="s">
        <v>15</v>
      </c>
      <c r="S266" s="5">
        <v>16252.38</v>
      </c>
      <c r="T266">
        <f>VLOOKUP(L266,'MIS COMPROBANTES'!E:Q,13,0)</f>
        <v>1023899.9</v>
      </c>
    </row>
    <row r="267" spans="1:20" x14ac:dyDescent="0.3">
      <c r="A267" s="3">
        <v>45428</v>
      </c>
      <c r="B267" s="1" t="s">
        <v>41</v>
      </c>
      <c r="C267" s="1" t="s">
        <v>42</v>
      </c>
      <c r="D267" s="1" t="s">
        <v>18</v>
      </c>
      <c r="E267" s="1" t="s">
        <v>640</v>
      </c>
      <c r="F267" s="4">
        <v>11975</v>
      </c>
      <c r="G267" s="1" t="s">
        <v>19</v>
      </c>
      <c r="H267" s="1" t="s">
        <v>364</v>
      </c>
      <c r="I267" s="1" t="s">
        <v>757</v>
      </c>
      <c r="J267" s="1">
        <v>6156</v>
      </c>
      <c r="K267" s="1">
        <v>6764437</v>
      </c>
      <c r="L267" s="7" t="str">
        <f t="shared" si="4"/>
        <v>3054724233161566764437</v>
      </c>
      <c r="M267" s="5">
        <v>3</v>
      </c>
      <c r="N267" s="5">
        <v>0</v>
      </c>
      <c r="O267" s="5">
        <v>0</v>
      </c>
      <c r="P267" s="5">
        <v>24378.57</v>
      </c>
      <c r="Q267" s="5">
        <v>0</v>
      </c>
      <c r="R267" s="1" t="s">
        <v>15</v>
      </c>
      <c r="S267" s="5">
        <v>0</v>
      </c>
      <c r="T267">
        <f>VLOOKUP(L267,'MIS COMPROBANTES'!E:Q,13,0)</f>
        <v>1023899.9</v>
      </c>
    </row>
    <row r="268" spans="1:20" x14ac:dyDescent="0.3">
      <c r="A268" s="3">
        <v>45428</v>
      </c>
      <c r="B268" s="1" t="s">
        <v>161</v>
      </c>
      <c r="C268" s="1" t="s">
        <v>162</v>
      </c>
      <c r="D268" s="1" t="s">
        <v>102</v>
      </c>
      <c r="E268" s="1" t="s">
        <v>672</v>
      </c>
      <c r="F268" s="4">
        <v>11882</v>
      </c>
      <c r="G268" s="1" t="s">
        <v>19</v>
      </c>
      <c r="H268" s="1" t="s">
        <v>365</v>
      </c>
      <c r="I268" s="1" t="s">
        <v>758</v>
      </c>
      <c r="J268" s="1">
        <v>3</v>
      </c>
      <c r="K268" s="1">
        <v>5341</v>
      </c>
      <c r="L268" s="7" t="str">
        <f t="shared" si="4"/>
        <v>2018056301735341</v>
      </c>
      <c r="M268" s="5">
        <v>0</v>
      </c>
      <c r="N268" s="5">
        <v>200000</v>
      </c>
      <c r="O268" s="5">
        <v>0</v>
      </c>
      <c r="P268" s="5">
        <v>0</v>
      </c>
      <c r="Q268" s="5">
        <v>200000</v>
      </c>
      <c r="R268" s="1" t="s">
        <v>15</v>
      </c>
      <c r="S268" s="5">
        <v>0</v>
      </c>
      <c r="T268">
        <f>VLOOKUP(L268,'MIS COMPROBANTES'!E:Q,13,0)</f>
        <v>200000</v>
      </c>
    </row>
    <row r="269" spans="1:20" x14ac:dyDescent="0.3">
      <c r="A269" s="3">
        <v>45428</v>
      </c>
      <c r="B269" s="1" t="s">
        <v>296</v>
      </c>
      <c r="C269" s="1" t="s">
        <v>297</v>
      </c>
      <c r="D269" s="1" t="s">
        <v>18</v>
      </c>
      <c r="E269" s="1" t="s">
        <v>704</v>
      </c>
      <c r="F269" s="4">
        <v>11991</v>
      </c>
      <c r="G269" s="1" t="s">
        <v>27</v>
      </c>
      <c r="H269" s="1" t="s">
        <v>366</v>
      </c>
      <c r="I269" s="1" t="s">
        <v>757</v>
      </c>
      <c r="J269" s="1">
        <v>135</v>
      </c>
      <c r="K269" s="1">
        <v>223030</v>
      </c>
      <c r="L269" s="7" t="str">
        <f t="shared" si="4"/>
        <v>30566108352135223030</v>
      </c>
      <c r="M269" s="5">
        <v>21</v>
      </c>
      <c r="N269" s="5">
        <v>0</v>
      </c>
      <c r="O269" s="5">
        <v>-3622587.15</v>
      </c>
      <c r="P269" s="5">
        <v>-760743.3</v>
      </c>
      <c r="Q269" s="5">
        <v>-4383330.45</v>
      </c>
      <c r="R269" s="1" t="s">
        <v>15</v>
      </c>
      <c r="S269" s="5">
        <v>0</v>
      </c>
      <c r="T269">
        <f>VLOOKUP(L269,'MIS COMPROBANTES'!E:Q,13,0)</f>
        <v>4383330.45</v>
      </c>
    </row>
    <row r="270" spans="1:20" x14ac:dyDescent="0.3">
      <c r="A270" s="3">
        <v>45429</v>
      </c>
      <c r="B270" s="1" t="s">
        <v>125</v>
      </c>
      <c r="C270" s="1" t="s">
        <v>126</v>
      </c>
      <c r="D270" s="1" t="s">
        <v>18</v>
      </c>
      <c r="E270" s="1" t="s">
        <v>663</v>
      </c>
      <c r="F270" s="4">
        <v>11985</v>
      </c>
      <c r="G270" s="1" t="s">
        <v>19</v>
      </c>
      <c r="H270" s="1" t="s">
        <v>367</v>
      </c>
      <c r="I270" s="1" t="s">
        <v>757</v>
      </c>
      <c r="J270" s="1">
        <v>4</v>
      </c>
      <c r="K270" s="1">
        <v>1449</v>
      </c>
      <c r="L270" s="7" t="str">
        <f t="shared" si="4"/>
        <v>2024334867741449</v>
      </c>
      <c r="M270" s="5">
        <v>21</v>
      </c>
      <c r="N270" s="5">
        <v>0</v>
      </c>
      <c r="O270" s="5">
        <v>1431200</v>
      </c>
      <c r="P270" s="5">
        <v>49560</v>
      </c>
      <c r="Q270" s="5">
        <v>1606256</v>
      </c>
      <c r="R270" s="1" t="s">
        <v>15</v>
      </c>
      <c r="S270" s="5">
        <v>0</v>
      </c>
      <c r="T270">
        <f>VLOOKUP(L270,'MIS COMPROBANTES'!E:Q,13,0)</f>
        <v>1606256</v>
      </c>
    </row>
    <row r="271" spans="1:20" x14ac:dyDescent="0.3">
      <c r="A271" s="3">
        <v>45429</v>
      </c>
      <c r="B271" s="1" t="s">
        <v>125</v>
      </c>
      <c r="C271" s="1" t="s">
        <v>126</v>
      </c>
      <c r="D271" s="1" t="s">
        <v>18</v>
      </c>
      <c r="E271" s="1" t="s">
        <v>663</v>
      </c>
      <c r="F271" s="4">
        <v>11985</v>
      </c>
      <c r="G271" s="1" t="s">
        <v>19</v>
      </c>
      <c r="H271" s="1" t="s">
        <v>367</v>
      </c>
      <c r="I271" s="1" t="s">
        <v>757</v>
      </c>
      <c r="J271" s="1">
        <v>4</v>
      </c>
      <c r="K271" s="1">
        <v>1449</v>
      </c>
      <c r="L271" s="7" t="str">
        <f t="shared" si="4"/>
        <v>2024334867741449</v>
      </c>
      <c r="M271" s="5">
        <v>10.5</v>
      </c>
      <c r="N271" s="5">
        <v>0</v>
      </c>
      <c r="O271" s="5">
        <v>0</v>
      </c>
      <c r="P271" s="5">
        <v>125496</v>
      </c>
      <c r="Q271" s="5">
        <v>0</v>
      </c>
      <c r="R271" s="1" t="s">
        <v>15</v>
      </c>
      <c r="S271" s="5">
        <v>0</v>
      </c>
      <c r="T271">
        <f>VLOOKUP(L271,'MIS COMPROBANTES'!E:Q,13,0)</f>
        <v>1606256</v>
      </c>
    </row>
    <row r="272" spans="1:20" x14ac:dyDescent="0.3">
      <c r="A272" s="3">
        <v>45429</v>
      </c>
      <c r="B272" s="1" t="s">
        <v>125</v>
      </c>
      <c r="C272" s="1" t="s">
        <v>126</v>
      </c>
      <c r="D272" s="1" t="s">
        <v>18</v>
      </c>
      <c r="E272" s="1" t="s">
        <v>663</v>
      </c>
      <c r="F272" s="4">
        <v>11986</v>
      </c>
      <c r="G272" s="1" t="s">
        <v>19</v>
      </c>
      <c r="H272" s="1" t="s">
        <v>368</v>
      </c>
      <c r="I272" s="1" t="s">
        <v>757</v>
      </c>
      <c r="J272" s="1">
        <v>4</v>
      </c>
      <c r="K272" s="1">
        <v>1450</v>
      </c>
      <c r="L272" s="7" t="str">
        <f t="shared" si="4"/>
        <v>2024334867741450</v>
      </c>
      <c r="M272" s="5">
        <v>21</v>
      </c>
      <c r="N272" s="5">
        <v>0</v>
      </c>
      <c r="O272" s="5">
        <v>814200</v>
      </c>
      <c r="P272" s="5">
        <v>20790</v>
      </c>
      <c r="Q272" s="5">
        <v>910086</v>
      </c>
      <c r="R272" s="1" t="s">
        <v>15</v>
      </c>
      <c r="S272" s="5">
        <v>0</v>
      </c>
      <c r="T272">
        <f>VLOOKUP(L272,'MIS COMPROBANTES'!E:Q,13,0)</f>
        <v>910086</v>
      </c>
    </row>
    <row r="273" spans="1:20" x14ac:dyDescent="0.3">
      <c r="A273" s="3">
        <v>45429</v>
      </c>
      <c r="B273" s="1" t="s">
        <v>125</v>
      </c>
      <c r="C273" s="1" t="s">
        <v>126</v>
      </c>
      <c r="D273" s="1" t="s">
        <v>18</v>
      </c>
      <c r="E273" s="1" t="s">
        <v>663</v>
      </c>
      <c r="F273" s="4">
        <v>11986</v>
      </c>
      <c r="G273" s="1" t="s">
        <v>19</v>
      </c>
      <c r="H273" s="1" t="s">
        <v>368</v>
      </c>
      <c r="I273" s="1" t="s">
        <v>757</v>
      </c>
      <c r="J273" s="1">
        <v>4</v>
      </c>
      <c r="K273" s="1">
        <v>1450</v>
      </c>
      <c r="L273" s="7" t="str">
        <f t="shared" si="4"/>
        <v>2024334867741450</v>
      </c>
      <c r="M273" s="5">
        <v>10.5</v>
      </c>
      <c r="N273" s="5">
        <v>0</v>
      </c>
      <c r="O273" s="5">
        <v>0</v>
      </c>
      <c r="P273" s="5">
        <v>75096</v>
      </c>
      <c r="Q273" s="5">
        <v>0</v>
      </c>
      <c r="R273" s="1" t="s">
        <v>15</v>
      </c>
      <c r="S273" s="5">
        <v>0</v>
      </c>
      <c r="T273">
        <f>VLOOKUP(L273,'MIS COMPROBANTES'!E:Q,13,0)</f>
        <v>910086</v>
      </c>
    </row>
    <row r="274" spans="1:20" x14ac:dyDescent="0.3">
      <c r="A274" s="3">
        <v>45429</v>
      </c>
      <c r="B274" s="1" t="s">
        <v>358</v>
      </c>
      <c r="C274" s="1" t="s">
        <v>359</v>
      </c>
      <c r="D274" s="1" t="s">
        <v>18</v>
      </c>
      <c r="E274" s="1" t="s">
        <v>714</v>
      </c>
      <c r="F274" s="4">
        <v>11987</v>
      </c>
      <c r="G274" s="1" t="s">
        <v>19</v>
      </c>
      <c r="H274" s="1" t="s">
        <v>369</v>
      </c>
      <c r="I274" s="1" t="s">
        <v>757</v>
      </c>
      <c r="J274" s="1">
        <v>10</v>
      </c>
      <c r="K274" s="1">
        <v>5759</v>
      </c>
      <c r="L274" s="7" t="str">
        <f t="shared" si="4"/>
        <v>30708784687105759</v>
      </c>
      <c r="M274" s="5">
        <v>21</v>
      </c>
      <c r="N274" s="5">
        <v>0</v>
      </c>
      <c r="O274" s="5">
        <v>487350</v>
      </c>
      <c r="P274" s="5">
        <v>102343.5</v>
      </c>
      <c r="Q274" s="5">
        <v>589693.5</v>
      </c>
      <c r="R274" s="1" t="s">
        <v>15</v>
      </c>
      <c r="S274" s="5">
        <v>0</v>
      </c>
      <c r="T274">
        <f>VLOOKUP(L274,'MIS COMPROBANTES'!E:Q,13,0)</f>
        <v>589693.5</v>
      </c>
    </row>
    <row r="275" spans="1:20" x14ac:dyDescent="0.3">
      <c r="A275" s="3">
        <v>45429</v>
      </c>
      <c r="B275" s="1" t="s">
        <v>370</v>
      </c>
      <c r="C275" s="1" t="s">
        <v>371</v>
      </c>
      <c r="D275" s="1" t="s">
        <v>18</v>
      </c>
      <c r="E275" s="1" t="s">
        <v>715</v>
      </c>
      <c r="F275" s="4">
        <v>12226</v>
      </c>
      <c r="G275" s="1" t="s">
        <v>19</v>
      </c>
      <c r="H275" s="1" t="s">
        <v>372</v>
      </c>
      <c r="I275" s="1" t="s">
        <v>757</v>
      </c>
      <c r="J275" s="1">
        <v>13</v>
      </c>
      <c r="K275" s="1">
        <v>12538</v>
      </c>
      <c r="L275" s="7" t="str">
        <f t="shared" si="4"/>
        <v>337106312691312538</v>
      </c>
      <c r="M275" s="5">
        <v>21</v>
      </c>
      <c r="N275" s="5">
        <v>9601.85</v>
      </c>
      <c r="O275" s="5">
        <v>114794.37</v>
      </c>
      <c r="P275" s="5">
        <v>24106.82</v>
      </c>
      <c r="Q275" s="5">
        <v>150798.93</v>
      </c>
      <c r="R275" s="1" t="s">
        <v>15</v>
      </c>
      <c r="S275" s="5">
        <v>2295.89</v>
      </c>
      <c r="T275" t="e">
        <f>VLOOKUP(L275,'MIS COMPROBANTES'!E:Q,13,0)</f>
        <v>#N/A</v>
      </c>
    </row>
    <row r="276" spans="1:20" x14ac:dyDescent="0.3">
      <c r="A276" s="3">
        <v>45429</v>
      </c>
      <c r="B276" s="1" t="s">
        <v>142</v>
      </c>
      <c r="C276" s="1" t="s">
        <v>143</v>
      </c>
      <c r="D276" s="1" t="s">
        <v>18</v>
      </c>
      <c r="E276" s="1" t="s">
        <v>668</v>
      </c>
      <c r="F276" s="4">
        <v>12013</v>
      </c>
      <c r="G276" s="1" t="s">
        <v>19</v>
      </c>
      <c r="H276" s="1" t="s">
        <v>373</v>
      </c>
      <c r="I276" s="1" t="s">
        <v>757</v>
      </c>
      <c r="J276" s="1">
        <v>539</v>
      </c>
      <c r="K276" s="1">
        <v>40730</v>
      </c>
      <c r="L276" s="7" t="str">
        <f t="shared" si="4"/>
        <v>3066319759953940730</v>
      </c>
      <c r="M276" s="5">
        <v>21</v>
      </c>
      <c r="N276" s="5">
        <v>0</v>
      </c>
      <c r="O276" s="5">
        <v>951634.95</v>
      </c>
      <c r="P276" s="5">
        <v>199843.34</v>
      </c>
      <c r="Q276" s="5">
        <v>1170510.99</v>
      </c>
      <c r="R276" s="1" t="s">
        <v>15</v>
      </c>
      <c r="S276" s="5">
        <v>19032.7</v>
      </c>
      <c r="T276">
        <f>VLOOKUP(L276,'MIS COMPROBANTES'!E:Q,13,0)</f>
        <v>1170510.98</v>
      </c>
    </row>
    <row r="277" spans="1:20" x14ac:dyDescent="0.3">
      <c r="A277" s="3">
        <v>45429</v>
      </c>
      <c r="B277" s="1" t="s">
        <v>149</v>
      </c>
      <c r="C277" s="1" t="s">
        <v>150</v>
      </c>
      <c r="D277" s="1" t="s">
        <v>18</v>
      </c>
      <c r="E277" s="1" t="s">
        <v>670</v>
      </c>
      <c r="F277" s="4">
        <v>12304</v>
      </c>
      <c r="G277" s="1" t="s">
        <v>19</v>
      </c>
      <c r="H277" s="1" t="s">
        <v>374</v>
      </c>
      <c r="I277" s="1" t="s">
        <v>757</v>
      </c>
      <c r="J277" s="1">
        <v>711</v>
      </c>
      <c r="K277" s="1">
        <v>5718133</v>
      </c>
      <c r="L277" s="7" t="str">
        <f t="shared" si="4"/>
        <v>306772371197115718133</v>
      </c>
      <c r="M277" s="5">
        <v>21</v>
      </c>
      <c r="N277" s="5">
        <v>0</v>
      </c>
      <c r="O277" s="5">
        <v>5619.76</v>
      </c>
      <c r="P277" s="5">
        <v>1180.24</v>
      </c>
      <c r="Q277" s="5">
        <v>7249.58</v>
      </c>
      <c r="R277" s="1" t="s">
        <v>15</v>
      </c>
      <c r="S277" s="5">
        <v>280.99</v>
      </c>
      <c r="T277">
        <f>VLOOKUP(L277,'MIS COMPROBANTES'!E:Q,13,0)</f>
        <v>7249.58</v>
      </c>
    </row>
    <row r="278" spans="1:20" x14ac:dyDescent="0.3">
      <c r="A278" s="3">
        <v>45429</v>
      </c>
      <c r="B278" s="1" t="s">
        <v>149</v>
      </c>
      <c r="C278" s="1" t="s">
        <v>150</v>
      </c>
      <c r="D278" s="1" t="s">
        <v>18</v>
      </c>
      <c r="E278" s="1" t="s">
        <v>670</v>
      </c>
      <c r="F278" s="4">
        <v>12304</v>
      </c>
      <c r="G278" s="1" t="s">
        <v>19</v>
      </c>
      <c r="H278" s="1" t="s">
        <v>374</v>
      </c>
      <c r="I278" s="1" t="s">
        <v>757</v>
      </c>
      <c r="J278" s="1">
        <v>711</v>
      </c>
      <c r="K278" s="1">
        <v>5718133</v>
      </c>
      <c r="L278" s="7" t="str">
        <f t="shared" si="4"/>
        <v>306772371197115718133</v>
      </c>
      <c r="M278" s="5">
        <v>3</v>
      </c>
      <c r="N278" s="5">
        <v>0</v>
      </c>
      <c r="O278" s="5">
        <v>0</v>
      </c>
      <c r="P278" s="5">
        <v>168.59</v>
      </c>
      <c r="Q278" s="5">
        <v>0</v>
      </c>
      <c r="R278" s="1" t="s">
        <v>15</v>
      </c>
      <c r="S278" s="5">
        <v>0</v>
      </c>
      <c r="T278">
        <f>VLOOKUP(L278,'MIS COMPROBANTES'!E:Q,13,0)</f>
        <v>7249.58</v>
      </c>
    </row>
    <row r="279" spans="1:20" x14ac:dyDescent="0.3">
      <c r="A279" s="3">
        <v>45429</v>
      </c>
      <c r="B279" s="1" t="s">
        <v>149</v>
      </c>
      <c r="C279" s="1" t="s">
        <v>150</v>
      </c>
      <c r="D279" s="1" t="s">
        <v>18</v>
      </c>
      <c r="E279" s="1" t="s">
        <v>670</v>
      </c>
      <c r="F279" s="4">
        <v>12303</v>
      </c>
      <c r="G279" s="1" t="s">
        <v>19</v>
      </c>
      <c r="H279" s="1" t="s">
        <v>375</v>
      </c>
      <c r="I279" s="1" t="s">
        <v>757</v>
      </c>
      <c r="J279" s="1">
        <v>711</v>
      </c>
      <c r="K279" s="1">
        <v>5720986</v>
      </c>
      <c r="L279" s="7" t="str">
        <f t="shared" si="4"/>
        <v>306772371197115720986</v>
      </c>
      <c r="M279" s="5">
        <v>21</v>
      </c>
      <c r="N279" s="5">
        <v>0</v>
      </c>
      <c r="O279" s="5">
        <v>21322.32</v>
      </c>
      <c r="P279" s="5">
        <v>4477.68</v>
      </c>
      <c r="Q279" s="5">
        <v>27505.79</v>
      </c>
      <c r="R279" s="1" t="s">
        <v>15</v>
      </c>
      <c r="S279" s="5">
        <v>1066.1199999999999</v>
      </c>
      <c r="T279">
        <f>VLOOKUP(L279,'MIS COMPROBANTES'!E:Q,13,0)</f>
        <v>27505.79</v>
      </c>
    </row>
    <row r="280" spans="1:20" x14ac:dyDescent="0.3">
      <c r="A280" s="3">
        <v>45429</v>
      </c>
      <c r="B280" s="1" t="s">
        <v>149</v>
      </c>
      <c r="C280" s="1" t="s">
        <v>150</v>
      </c>
      <c r="D280" s="1" t="s">
        <v>18</v>
      </c>
      <c r="E280" s="1" t="s">
        <v>670</v>
      </c>
      <c r="F280" s="4">
        <v>12303</v>
      </c>
      <c r="G280" s="1" t="s">
        <v>19</v>
      </c>
      <c r="H280" s="1" t="s">
        <v>375</v>
      </c>
      <c r="I280" s="1" t="s">
        <v>757</v>
      </c>
      <c r="J280" s="1">
        <v>711</v>
      </c>
      <c r="K280" s="1">
        <v>5720986</v>
      </c>
      <c r="L280" s="7" t="str">
        <f t="shared" si="4"/>
        <v>306772371197115720986</v>
      </c>
      <c r="M280" s="5">
        <v>3</v>
      </c>
      <c r="N280" s="5">
        <v>0</v>
      </c>
      <c r="O280" s="5">
        <v>0</v>
      </c>
      <c r="P280" s="5">
        <v>639.66999999999996</v>
      </c>
      <c r="Q280" s="5">
        <v>0</v>
      </c>
      <c r="R280" s="1" t="s">
        <v>15</v>
      </c>
      <c r="S280" s="5">
        <v>0</v>
      </c>
      <c r="T280">
        <f>VLOOKUP(L280,'MIS COMPROBANTES'!E:Q,13,0)</f>
        <v>27505.79</v>
      </c>
    </row>
    <row r="281" spans="1:20" x14ac:dyDescent="0.3">
      <c r="A281" s="3">
        <v>45429</v>
      </c>
      <c r="B281" s="1" t="s">
        <v>149</v>
      </c>
      <c r="C281" s="1" t="s">
        <v>150</v>
      </c>
      <c r="D281" s="1" t="s">
        <v>18</v>
      </c>
      <c r="E281" s="1" t="s">
        <v>670</v>
      </c>
      <c r="F281" s="4">
        <v>12302</v>
      </c>
      <c r="G281" s="1" t="s">
        <v>19</v>
      </c>
      <c r="H281" s="1" t="s">
        <v>376</v>
      </c>
      <c r="I281" s="1" t="s">
        <v>757</v>
      </c>
      <c r="J281" s="1">
        <v>711</v>
      </c>
      <c r="K281" s="1">
        <v>5722790</v>
      </c>
      <c r="L281" s="7" t="str">
        <f t="shared" si="4"/>
        <v>306772371197115722790</v>
      </c>
      <c r="M281" s="5">
        <v>21</v>
      </c>
      <c r="N281" s="5">
        <v>0</v>
      </c>
      <c r="O281" s="5">
        <v>24958.58</v>
      </c>
      <c r="P281" s="5">
        <v>5241.42</v>
      </c>
      <c r="Q281" s="5">
        <v>32196.69</v>
      </c>
      <c r="R281" s="1" t="s">
        <v>15</v>
      </c>
      <c r="S281" s="5">
        <v>1247.93</v>
      </c>
      <c r="T281">
        <f>VLOOKUP(L281,'MIS COMPROBANTES'!E:Q,13,0)</f>
        <v>32196.69</v>
      </c>
    </row>
    <row r="282" spans="1:20" x14ac:dyDescent="0.3">
      <c r="A282" s="3">
        <v>45429</v>
      </c>
      <c r="B282" s="1" t="s">
        <v>149</v>
      </c>
      <c r="C282" s="1" t="s">
        <v>150</v>
      </c>
      <c r="D282" s="1" t="s">
        <v>18</v>
      </c>
      <c r="E282" s="1" t="s">
        <v>670</v>
      </c>
      <c r="F282" s="4">
        <v>12302</v>
      </c>
      <c r="G282" s="1" t="s">
        <v>19</v>
      </c>
      <c r="H282" s="1" t="s">
        <v>376</v>
      </c>
      <c r="I282" s="1" t="s">
        <v>757</v>
      </c>
      <c r="J282" s="1">
        <v>711</v>
      </c>
      <c r="K282" s="1">
        <v>5722790</v>
      </c>
      <c r="L282" s="7" t="str">
        <f t="shared" si="4"/>
        <v>306772371197115722790</v>
      </c>
      <c r="M282" s="5">
        <v>3</v>
      </c>
      <c r="N282" s="5">
        <v>0</v>
      </c>
      <c r="O282" s="5">
        <v>0</v>
      </c>
      <c r="P282" s="5">
        <v>748.76</v>
      </c>
      <c r="Q282" s="5">
        <v>0</v>
      </c>
      <c r="R282" s="1" t="s">
        <v>15</v>
      </c>
      <c r="S282" s="5">
        <v>0</v>
      </c>
      <c r="T282">
        <f>VLOOKUP(L282,'MIS COMPROBANTES'!E:Q,13,0)</f>
        <v>32196.69</v>
      </c>
    </row>
    <row r="283" spans="1:20" x14ac:dyDescent="0.3">
      <c r="A283" s="3">
        <v>45429</v>
      </c>
      <c r="B283" s="1" t="s">
        <v>64</v>
      </c>
      <c r="C283" s="1" t="s">
        <v>65</v>
      </c>
      <c r="D283" s="1" t="s">
        <v>18</v>
      </c>
      <c r="E283" s="1" t="s">
        <v>647</v>
      </c>
      <c r="F283" s="4">
        <v>12033</v>
      </c>
      <c r="G283" s="1" t="s">
        <v>19</v>
      </c>
      <c r="H283" s="1" t="s">
        <v>377</v>
      </c>
      <c r="I283" s="1" t="s">
        <v>757</v>
      </c>
      <c r="J283" s="1">
        <v>2002</v>
      </c>
      <c r="K283" s="1">
        <v>287512</v>
      </c>
      <c r="L283" s="7" t="str">
        <f t="shared" si="4"/>
        <v>305007682622002287512</v>
      </c>
      <c r="M283" s="5">
        <v>21</v>
      </c>
      <c r="N283" s="5">
        <v>0</v>
      </c>
      <c r="O283" s="5">
        <v>4166284.15</v>
      </c>
      <c r="P283" s="5">
        <v>874919.67</v>
      </c>
      <c r="Q283" s="5">
        <v>5374506.54</v>
      </c>
      <c r="R283" s="1" t="s">
        <v>15</v>
      </c>
      <c r="S283" s="5">
        <v>208314.2</v>
      </c>
      <c r="T283">
        <f>VLOOKUP(L283,'MIS COMPROBANTES'!E:Q,13,0)</f>
        <v>5374506.54</v>
      </c>
    </row>
    <row r="284" spans="1:20" x14ac:dyDescent="0.3">
      <c r="A284" s="3">
        <v>45429</v>
      </c>
      <c r="B284" s="1" t="s">
        <v>64</v>
      </c>
      <c r="C284" s="1" t="s">
        <v>65</v>
      </c>
      <c r="D284" s="1" t="s">
        <v>18</v>
      </c>
      <c r="E284" s="1" t="s">
        <v>647</v>
      </c>
      <c r="F284" s="4">
        <v>12033</v>
      </c>
      <c r="G284" s="1" t="s">
        <v>19</v>
      </c>
      <c r="H284" s="1" t="s">
        <v>377</v>
      </c>
      <c r="I284" s="1" t="s">
        <v>757</v>
      </c>
      <c r="J284" s="1">
        <v>2002</v>
      </c>
      <c r="K284" s="1">
        <v>287512</v>
      </c>
      <c r="L284" s="7" t="str">
        <f t="shared" si="4"/>
        <v>305007682622002287512</v>
      </c>
      <c r="M284" s="5">
        <v>3</v>
      </c>
      <c r="N284" s="5">
        <v>0</v>
      </c>
      <c r="O284" s="5">
        <v>0</v>
      </c>
      <c r="P284" s="5">
        <v>124988.52</v>
      </c>
      <c r="Q284" s="5">
        <v>0</v>
      </c>
      <c r="R284" s="1" t="s">
        <v>15</v>
      </c>
      <c r="S284" s="5">
        <v>0</v>
      </c>
      <c r="T284">
        <f>VLOOKUP(L284,'MIS COMPROBANTES'!E:Q,13,0)</f>
        <v>5374506.54</v>
      </c>
    </row>
    <row r="285" spans="1:20" x14ac:dyDescent="0.3">
      <c r="A285" s="3">
        <v>45429</v>
      </c>
      <c r="B285" s="1" t="s">
        <v>95</v>
      </c>
      <c r="C285" s="1" t="s">
        <v>96</v>
      </c>
      <c r="D285" s="1" t="s">
        <v>18</v>
      </c>
      <c r="E285" s="1" t="s">
        <v>655</v>
      </c>
      <c r="F285" s="4">
        <v>12309</v>
      </c>
      <c r="G285" s="1" t="s">
        <v>19</v>
      </c>
      <c r="H285" s="1" t="s">
        <v>378</v>
      </c>
      <c r="I285" s="1" t="s">
        <v>757</v>
      </c>
      <c r="J285" s="1">
        <v>5011</v>
      </c>
      <c r="K285" s="1">
        <v>621559</v>
      </c>
      <c r="L285" s="7" t="str">
        <f t="shared" si="4"/>
        <v>305748764745011621559</v>
      </c>
      <c r="M285" s="5">
        <v>21</v>
      </c>
      <c r="N285" s="5">
        <v>1510.09</v>
      </c>
      <c r="O285" s="5">
        <v>15099.91</v>
      </c>
      <c r="P285" s="5">
        <v>3170.98</v>
      </c>
      <c r="Q285" s="5">
        <v>20233.98</v>
      </c>
      <c r="R285" s="1" t="s">
        <v>15</v>
      </c>
      <c r="S285" s="5">
        <v>453</v>
      </c>
      <c r="T285">
        <f>VLOOKUP(L285,'MIS COMPROBANTES'!E:Q,13,0)</f>
        <v>20233.98</v>
      </c>
    </row>
    <row r="286" spans="1:20" x14ac:dyDescent="0.3">
      <c r="A286" s="3">
        <v>45429</v>
      </c>
      <c r="B286" s="1" t="s">
        <v>95</v>
      </c>
      <c r="C286" s="1" t="s">
        <v>96</v>
      </c>
      <c r="D286" s="1" t="s">
        <v>18</v>
      </c>
      <c r="E286" s="1" t="s">
        <v>655</v>
      </c>
      <c r="F286" s="4">
        <v>12310</v>
      </c>
      <c r="G286" s="1" t="s">
        <v>19</v>
      </c>
      <c r="H286" s="1" t="s">
        <v>379</v>
      </c>
      <c r="I286" s="1" t="s">
        <v>757</v>
      </c>
      <c r="J286" s="1">
        <v>5014</v>
      </c>
      <c r="K286" s="1">
        <v>613411</v>
      </c>
      <c r="L286" s="7" t="str">
        <f t="shared" si="4"/>
        <v>305748764745014613411</v>
      </c>
      <c r="M286" s="5">
        <v>21</v>
      </c>
      <c r="N286" s="5">
        <v>2294.2399999999998</v>
      </c>
      <c r="O286" s="5">
        <v>22941.22</v>
      </c>
      <c r="P286" s="5">
        <v>4817.68</v>
      </c>
      <c r="Q286" s="5">
        <v>30741.38</v>
      </c>
      <c r="R286" s="1" t="s">
        <v>15</v>
      </c>
      <c r="S286" s="5">
        <v>688.24</v>
      </c>
      <c r="T286">
        <f>VLOOKUP(L286,'MIS COMPROBANTES'!E:Q,13,0)</f>
        <v>30741.360000000001</v>
      </c>
    </row>
    <row r="287" spans="1:20" x14ac:dyDescent="0.3">
      <c r="A287" s="3">
        <v>45429</v>
      </c>
      <c r="B287" s="1" t="s">
        <v>380</v>
      </c>
      <c r="C287" s="1" t="s">
        <v>381</v>
      </c>
      <c r="D287" s="1" t="s">
        <v>18</v>
      </c>
      <c r="E287" s="1" t="s">
        <v>716</v>
      </c>
      <c r="F287" s="4">
        <v>11993</v>
      </c>
      <c r="G287" s="1" t="s">
        <v>19</v>
      </c>
      <c r="H287" s="1" t="s">
        <v>382</v>
      </c>
      <c r="I287" s="1" t="s">
        <v>757</v>
      </c>
      <c r="J287" s="1">
        <v>5127</v>
      </c>
      <c r="K287" s="1">
        <v>22750</v>
      </c>
      <c r="L287" s="7" t="str">
        <f t="shared" si="4"/>
        <v>30714813583512722750</v>
      </c>
      <c r="M287" s="5">
        <v>21</v>
      </c>
      <c r="N287" s="5">
        <v>5510.05</v>
      </c>
      <c r="O287" s="5">
        <v>65580.929999999993</v>
      </c>
      <c r="P287" s="5">
        <v>13772</v>
      </c>
      <c r="Q287" s="5">
        <v>86830.41</v>
      </c>
      <c r="R287" s="1" t="s">
        <v>15</v>
      </c>
      <c r="S287" s="5">
        <v>0</v>
      </c>
      <c r="T287" t="e">
        <f>VLOOKUP(L287,'MIS COMPROBANTES'!E:Q,13,0)</f>
        <v>#N/A</v>
      </c>
    </row>
    <row r="288" spans="1:20" x14ac:dyDescent="0.3">
      <c r="A288" s="3">
        <v>45429</v>
      </c>
      <c r="B288" s="1" t="s">
        <v>380</v>
      </c>
      <c r="C288" s="1" t="s">
        <v>381</v>
      </c>
      <c r="D288" s="1" t="s">
        <v>18</v>
      </c>
      <c r="E288" s="1" t="s">
        <v>716</v>
      </c>
      <c r="F288" s="4">
        <v>11993</v>
      </c>
      <c r="G288" s="1" t="s">
        <v>19</v>
      </c>
      <c r="H288" s="1" t="s">
        <v>382</v>
      </c>
      <c r="I288" s="1" t="s">
        <v>757</v>
      </c>
      <c r="J288" s="1">
        <v>5127</v>
      </c>
      <c r="K288" s="1">
        <v>22750</v>
      </c>
      <c r="L288" s="7" t="str">
        <f t="shared" si="4"/>
        <v>30714813583512722750</v>
      </c>
      <c r="M288" s="5">
        <v>3</v>
      </c>
      <c r="N288" s="5">
        <v>0</v>
      </c>
      <c r="O288" s="5">
        <v>0</v>
      </c>
      <c r="P288" s="5">
        <v>1967.43</v>
      </c>
      <c r="Q288" s="5">
        <v>0</v>
      </c>
      <c r="R288" s="1" t="s">
        <v>15</v>
      </c>
      <c r="S288" s="5">
        <v>0</v>
      </c>
      <c r="T288" t="e">
        <f>VLOOKUP(L288,'MIS COMPROBANTES'!E:Q,13,0)</f>
        <v>#N/A</v>
      </c>
    </row>
    <row r="289" spans="1:20" x14ac:dyDescent="0.3">
      <c r="A289" s="3">
        <v>45429</v>
      </c>
      <c r="B289" s="1" t="s">
        <v>236</v>
      </c>
      <c r="C289" s="1" t="s">
        <v>237</v>
      </c>
      <c r="D289" s="1" t="s">
        <v>18</v>
      </c>
      <c r="E289" s="1" t="s">
        <v>691</v>
      </c>
      <c r="F289" s="4">
        <v>11973</v>
      </c>
      <c r="G289" s="1" t="s">
        <v>19</v>
      </c>
      <c r="H289" s="1" t="s">
        <v>383</v>
      </c>
      <c r="I289" s="1" t="s">
        <v>757</v>
      </c>
      <c r="J289" s="1">
        <v>6004</v>
      </c>
      <c r="K289" s="1">
        <v>3624033</v>
      </c>
      <c r="L289" s="7" t="str">
        <f t="shared" si="4"/>
        <v>3050111624260043624033</v>
      </c>
      <c r="M289" s="5">
        <v>21</v>
      </c>
      <c r="N289" s="5">
        <v>0</v>
      </c>
      <c r="O289" s="5">
        <v>277477.17</v>
      </c>
      <c r="P289" s="5">
        <v>58270.21</v>
      </c>
      <c r="Q289" s="5">
        <v>349621.24</v>
      </c>
      <c r="R289" s="1" t="s">
        <v>15</v>
      </c>
      <c r="S289" s="5">
        <v>5549.54</v>
      </c>
      <c r="T289">
        <f>VLOOKUP(L289,'MIS COMPROBANTES'!E:Q,13,0)</f>
        <v>349621.24</v>
      </c>
    </row>
    <row r="290" spans="1:20" x14ac:dyDescent="0.3">
      <c r="A290" s="3">
        <v>45429</v>
      </c>
      <c r="B290" s="1" t="s">
        <v>236</v>
      </c>
      <c r="C290" s="1" t="s">
        <v>237</v>
      </c>
      <c r="D290" s="1" t="s">
        <v>18</v>
      </c>
      <c r="E290" s="1" t="s">
        <v>691</v>
      </c>
      <c r="F290" s="4">
        <v>11973</v>
      </c>
      <c r="G290" s="1" t="s">
        <v>19</v>
      </c>
      <c r="H290" s="1" t="s">
        <v>383</v>
      </c>
      <c r="I290" s="1" t="s">
        <v>757</v>
      </c>
      <c r="J290" s="1">
        <v>6004</v>
      </c>
      <c r="K290" s="1">
        <v>3624033</v>
      </c>
      <c r="L290" s="7" t="str">
        <f t="shared" si="4"/>
        <v>3050111624260043624033</v>
      </c>
      <c r="M290" s="5">
        <v>3</v>
      </c>
      <c r="N290" s="5">
        <v>0</v>
      </c>
      <c r="O290" s="5">
        <v>0</v>
      </c>
      <c r="P290" s="5">
        <v>8324.32</v>
      </c>
      <c r="Q290" s="5">
        <v>0</v>
      </c>
      <c r="R290" s="1" t="s">
        <v>15</v>
      </c>
      <c r="S290" s="5">
        <v>0</v>
      </c>
      <c r="T290">
        <f>VLOOKUP(L290,'MIS COMPROBANTES'!E:Q,13,0)</f>
        <v>349621.24</v>
      </c>
    </row>
    <row r="291" spans="1:20" x14ac:dyDescent="0.3">
      <c r="A291" s="3">
        <v>45429</v>
      </c>
      <c r="B291" s="1" t="s">
        <v>41</v>
      </c>
      <c r="C291" s="1" t="s">
        <v>42</v>
      </c>
      <c r="D291" s="1" t="s">
        <v>18</v>
      </c>
      <c r="E291" s="1" t="s">
        <v>640</v>
      </c>
      <c r="F291" s="4">
        <v>11974</v>
      </c>
      <c r="G291" s="1" t="s">
        <v>19</v>
      </c>
      <c r="H291" s="1" t="s">
        <v>384</v>
      </c>
      <c r="I291" s="1" t="s">
        <v>757</v>
      </c>
      <c r="J291" s="1">
        <v>6156</v>
      </c>
      <c r="K291" s="1">
        <v>6766677</v>
      </c>
      <c r="L291" s="7" t="str">
        <f t="shared" si="4"/>
        <v>3054724233161566766677</v>
      </c>
      <c r="M291" s="5">
        <v>21</v>
      </c>
      <c r="N291" s="5">
        <v>0</v>
      </c>
      <c r="O291" s="5">
        <v>12863.16</v>
      </c>
      <c r="P291" s="5">
        <v>2701.26</v>
      </c>
      <c r="Q291" s="5">
        <v>15821.68</v>
      </c>
      <c r="R291" s="1" t="s">
        <v>15</v>
      </c>
      <c r="S291" s="5">
        <v>257.26</v>
      </c>
      <c r="T291">
        <f>VLOOKUP(L291,'MIS COMPROBANTES'!E:Q,13,0)</f>
        <v>15821.68</v>
      </c>
    </row>
    <row r="292" spans="1:20" x14ac:dyDescent="0.3">
      <c r="A292" s="3">
        <v>45429</v>
      </c>
      <c r="B292" s="1" t="s">
        <v>174</v>
      </c>
      <c r="C292" s="1" t="s">
        <v>175</v>
      </c>
      <c r="D292" s="1" t="s">
        <v>18</v>
      </c>
      <c r="E292" s="1" t="s">
        <v>676</v>
      </c>
      <c r="F292" s="4">
        <v>12296</v>
      </c>
      <c r="G292" s="1" t="s">
        <v>19</v>
      </c>
      <c r="H292" s="1" t="s">
        <v>385</v>
      </c>
      <c r="I292" s="1" t="s">
        <v>757</v>
      </c>
      <c r="J292" s="1">
        <v>7158</v>
      </c>
      <c r="K292" s="1">
        <v>28623</v>
      </c>
      <c r="L292" s="7" t="str">
        <f t="shared" si="4"/>
        <v>30678774495715828623</v>
      </c>
      <c r="M292" s="5">
        <v>21</v>
      </c>
      <c r="N292" s="5">
        <v>5139.66</v>
      </c>
      <c r="O292" s="5">
        <v>61868.13</v>
      </c>
      <c r="P292" s="5">
        <v>12992.31</v>
      </c>
      <c r="Q292" s="5">
        <v>81340.25</v>
      </c>
      <c r="R292" s="1" t="s">
        <v>15</v>
      </c>
      <c r="S292" s="5">
        <v>1340.15</v>
      </c>
      <c r="T292">
        <f>VLOOKUP(L292,'MIS COMPROBANTES'!E:Q,13,0)</f>
        <v>81340.19</v>
      </c>
    </row>
    <row r="293" spans="1:20" x14ac:dyDescent="0.3">
      <c r="A293" s="3">
        <v>45430</v>
      </c>
      <c r="B293" s="1" t="s">
        <v>386</v>
      </c>
      <c r="C293" s="1" t="s">
        <v>387</v>
      </c>
      <c r="D293" s="1" t="s">
        <v>18</v>
      </c>
      <c r="E293" s="1" t="s">
        <v>717</v>
      </c>
      <c r="F293" s="4">
        <v>12312</v>
      </c>
      <c r="G293" s="1" t="s">
        <v>19</v>
      </c>
      <c r="H293" s="1" t="s">
        <v>388</v>
      </c>
      <c r="I293" s="1" t="s">
        <v>757</v>
      </c>
      <c r="J293" s="1">
        <v>113</v>
      </c>
      <c r="K293" s="1">
        <v>3600722</v>
      </c>
      <c r="L293" s="7" t="str">
        <f t="shared" si="4"/>
        <v>305772071901133600722</v>
      </c>
      <c r="M293" s="5">
        <v>21</v>
      </c>
      <c r="N293" s="5">
        <v>0</v>
      </c>
      <c r="O293" s="5">
        <v>826.45</v>
      </c>
      <c r="P293" s="5">
        <v>173.55</v>
      </c>
      <c r="Q293" s="5">
        <v>1000</v>
      </c>
      <c r="R293" s="1" t="s">
        <v>15</v>
      </c>
      <c r="S293" s="5">
        <v>0</v>
      </c>
      <c r="T293">
        <f>VLOOKUP(L293,'MIS COMPROBANTES'!E:Q,13,0)</f>
        <v>1000</v>
      </c>
    </row>
    <row r="294" spans="1:20" x14ac:dyDescent="0.3">
      <c r="A294" s="3">
        <v>45430</v>
      </c>
      <c r="B294" s="1" t="s">
        <v>386</v>
      </c>
      <c r="C294" s="1" t="s">
        <v>387</v>
      </c>
      <c r="D294" s="1" t="s">
        <v>18</v>
      </c>
      <c r="E294" s="1" t="s">
        <v>717</v>
      </c>
      <c r="F294" s="4">
        <v>12313</v>
      </c>
      <c r="G294" s="1" t="s">
        <v>19</v>
      </c>
      <c r="H294" s="1" t="s">
        <v>389</v>
      </c>
      <c r="I294" s="1" t="s">
        <v>757</v>
      </c>
      <c r="J294" s="1">
        <v>113</v>
      </c>
      <c r="K294" s="1">
        <v>3601978</v>
      </c>
      <c r="L294" s="7" t="str">
        <f t="shared" si="4"/>
        <v>305772071901133601978</v>
      </c>
      <c r="M294" s="5">
        <v>21</v>
      </c>
      <c r="N294" s="5">
        <v>0</v>
      </c>
      <c r="O294" s="5">
        <v>19348.759999999998</v>
      </c>
      <c r="P294" s="5">
        <v>4063.24</v>
      </c>
      <c r="Q294" s="5">
        <v>24379.439999999999</v>
      </c>
      <c r="R294" s="1" t="s">
        <v>15</v>
      </c>
      <c r="S294" s="5">
        <v>386.98</v>
      </c>
      <c r="T294">
        <f>VLOOKUP(L294,'MIS COMPROBANTES'!E:Q,13,0)</f>
        <v>24379.439999999999</v>
      </c>
    </row>
    <row r="295" spans="1:20" x14ac:dyDescent="0.3">
      <c r="A295" s="3">
        <v>45430</v>
      </c>
      <c r="B295" s="1" t="s">
        <v>386</v>
      </c>
      <c r="C295" s="1" t="s">
        <v>387</v>
      </c>
      <c r="D295" s="1" t="s">
        <v>18</v>
      </c>
      <c r="E295" s="1" t="s">
        <v>717</v>
      </c>
      <c r="F295" s="4">
        <v>12313</v>
      </c>
      <c r="G295" s="1" t="s">
        <v>19</v>
      </c>
      <c r="H295" s="1" t="s">
        <v>389</v>
      </c>
      <c r="I295" s="1" t="s">
        <v>757</v>
      </c>
      <c r="J295" s="1">
        <v>113</v>
      </c>
      <c r="K295" s="1">
        <v>3601978</v>
      </c>
      <c r="L295" s="7" t="str">
        <f t="shared" si="4"/>
        <v>305772071901133601978</v>
      </c>
      <c r="M295" s="5">
        <v>3</v>
      </c>
      <c r="N295" s="5">
        <v>0</v>
      </c>
      <c r="O295" s="5">
        <v>0</v>
      </c>
      <c r="P295" s="5">
        <v>580.46</v>
      </c>
      <c r="Q295" s="5">
        <v>0</v>
      </c>
      <c r="R295" s="1" t="s">
        <v>15</v>
      </c>
      <c r="S295" s="5">
        <v>0</v>
      </c>
      <c r="T295">
        <f>VLOOKUP(L295,'MIS COMPROBANTES'!E:Q,13,0)</f>
        <v>24379.439999999999</v>
      </c>
    </row>
    <row r="296" spans="1:20" x14ac:dyDescent="0.3">
      <c r="A296" s="3">
        <v>45430</v>
      </c>
      <c r="B296" s="1" t="s">
        <v>386</v>
      </c>
      <c r="C296" s="1" t="s">
        <v>387</v>
      </c>
      <c r="D296" s="1" t="s">
        <v>18</v>
      </c>
      <c r="E296" s="1" t="s">
        <v>717</v>
      </c>
      <c r="F296" s="4">
        <v>12311</v>
      </c>
      <c r="G296" s="1" t="s">
        <v>19</v>
      </c>
      <c r="H296" s="1" t="s">
        <v>390</v>
      </c>
      <c r="I296" s="1" t="s">
        <v>757</v>
      </c>
      <c r="J296" s="1">
        <v>113</v>
      </c>
      <c r="K296" s="1">
        <v>3603022</v>
      </c>
      <c r="L296" s="7" t="str">
        <f t="shared" si="4"/>
        <v>305772071901133603022</v>
      </c>
      <c r="M296" s="5">
        <v>21</v>
      </c>
      <c r="N296" s="5">
        <v>0</v>
      </c>
      <c r="O296" s="5">
        <v>4297.5200000000004</v>
      </c>
      <c r="P296" s="5">
        <v>902.48</v>
      </c>
      <c r="Q296" s="5">
        <v>5414.88</v>
      </c>
      <c r="R296" s="1" t="s">
        <v>15</v>
      </c>
      <c r="S296" s="5">
        <v>85.95</v>
      </c>
      <c r="T296">
        <f>VLOOKUP(L296,'MIS COMPROBANTES'!E:Q,13,0)</f>
        <v>5414.88</v>
      </c>
    </row>
    <row r="297" spans="1:20" x14ac:dyDescent="0.3">
      <c r="A297" s="3">
        <v>45430</v>
      </c>
      <c r="B297" s="1" t="s">
        <v>386</v>
      </c>
      <c r="C297" s="1" t="s">
        <v>387</v>
      </c>
      <c r="D297" s="1" t="s">
        <v>18</v>
      </c>
      <c r="E297" s="1" t="s">
        <v>717</v>
      </c>
      <c r="F297" s="4">
        <v>12311</v>
      </c>
      <c r="G297" s="1" t="s">
        <v>19</v>
      </c>
      <c r="H297" s="1" t="s">
        <v>390</v>
      </c>
      <c r="I297" s="1" t="s">
        <v>757</v>
      </c>
      <c r="J297" s="1">
        <v>113</v>
      </c>
      <c r="K297" s="1">
        <v>3603022</v>
      </c>
      <c r="L297" s="7" t="str">
        <f t="shared" si="4"/>
        <v>305772071901133603022</v>
      </c>
      <c r="M297" s="5">
        <v>3</v>
      </c>
      <c r="N297" s="5">
        <v>0</v>
      </c>
      <c r="O297" s="5">
        <v>0</v>
      </c>
      <c r="P297" s="5">
        <v>128.93</v>
      </c>
      <c r="Q297" s="5">
        <v>0</v>
      </c>
      <c r="R297" s="1" t="s">
        <v>15</v>
      </c>
      <c r="S297" s="5">
        <v>0</v>
      </c>
      <c r="T297">
        <f>VLOOKUP(L297,'MIS COMPROBANTES'!E:Q,13,0)</f>
        <v>5414.88</v>
      </c>
    </row>
    <row r="298" spans="1:20" x14ac:dyDescent="0.3">
      <c r="A298" s="3">
        <v>45430</v>
      </c>
      <c r="B298" s="1" t="s">
        <v>168</v>
      </c>
      <c r="C298" s="1" t="s">
        <v>169</v>
      </c>
      <c r="D298" s="1" t="s">
        <v>18</v>
      </c>
      <c r="E298" s="1" t="s">
        <v>674</v>
      </c>
      <c r="F298" s="4">
        <v>11989</v>
      </c>
      <c r="G298" s="1" t="s">
        <v>19</v>
      </c>
      <c r="H298" s="1" t="s">
        <v>391</v>
      </c>
      <c r="I298" s="1" t="s">
        <v>757</v>
      </c>
      <c r="J298" s="1">
        <v>622</v>
      </c>
      <c r="K298" s="1">
        <v>279869</v>
      </c>
      <c r="L298" s="7" t="str">
        <f t="shared" si="4"/>
        <v>30682032630622279869</v>
      </c>
      <c r="M298" s="5">
        <v>21</v>
      </c>
      <c r="N298" s="5">
        <v>0</v>
      </c>
      <c r="O298" s="5">
        <v>707252.85</v>
      </c>
      <c r="P298" s="5">
        <v>148523.1</v>
      </c>
      <c r="Q298" s="5">
        <v>912356.19</v>
      </c>
      <c r="R298" s="1" t="s">
        <v>15</v>
      </c>
      <c r="S298" s="5">
        <v>35362.65</v>
      </c>
      <c r="T298">
        <f>VLOOKUP(L298,'MIS COMPROBANTES'!E:Q,13,0)</f>
        <v>912356.19</v>
      </c>
    </row>
    <row r="299" spans="1:20" x14ac:dyDescent="0.3">
      <c r="A299" s="3">
        <v>45430</v>
      </c>
      <c r="B299" s="1" t="s">
        <v>168</v>
      </c>
      <c r="C299" s="1" t="s">
        <v>169</v>
      </c>
      <c r="D299" s="1" t="s">
        <v>18</v>
      </c>
      <c r="E299" s="1" t="s">
        <v>674</v>
      </c>
      <c r="F299" s="4">
        <v>11989</v>
      </c>
      <c r="G299" s="1" t="s">
        <v>19</v>
      </c>
      <c r="H299" s="1" t="s">
        <v>391</v>
      </c>
      <c r="I299" s="1" t="s">
        <v>757</v>
      </c>
      <c r="J299" s="1">
        <v>622</v>
      </c>
      <c r="K299" s="1">
        <v>279869</v>
      </c>
      <c r="L299" s="7" t="str">
        <f t="shared" si="4"/>
        <v>30682032630622279869</v>
      </c>
      <c r="M299" s="5">
        <v>3</v>
      </c>
      <c r="N299" s="5">
        <v>0</v>
      </c>
      <c r="O299" s="5">
        <v>0</v>
      </c>
      <c r="P299" s="5">
        <v>21217.59</v>
      </c>
      <c r="Q299" s="5">
        <v>0</v>
      </c>
      <c r="R299" s="1" t="s">
        <v>15</v>
      </c>
      <c r="S299" s="5">
        <v>0</v>
      </c>
      <c r="T299">
        <f>VLOOKUP(L299,'MIS COMPROBANTES'!E:Q,13,0)</f>
        <v>912356.19</v>
      </c>
    </row>
    <row r="300" spans="1:20" x14ac:dyDescent="0.3">
      <c r="A300" s="3">
        <v>45430</v>
      </c>
      <c r="B300" s="1" t="s">
        <v>236</v>
      </c>
      <c r="C300" s="1" t="s">
        <v>237</v>
      </c>
      <c r="D300" s="1" t="s">
        <v>18</v>
      </c>
      <c r="E300" s="1" t="s">
        <v>691</v>
      </c>
      <c r="F300" s="4">
        <v>11983</v>
      </c>
      <c r="G300" s="1" t="s">
        <v>27</v>
      </c>
      <c r="H300" s="1" t="s">
        <v>392</v>
      </c>
      <c r="I300" s="1" t="s">
        <v>757</v>
      </c>
      <c r="J300" s="1">
        <v>6010</v>
      </c>
      <c r="K300" s="1">
        <v>55334</v>
      </c>
      <c r="L300" s="7" t="str">
        <f t="shared" si="4"/>
        <v>30501116242601055334</v>
      </c>
      <c r="M300" s="5">
        <v>21</v>
      </c>
      <c r="N300" s="5">
        <v>0</v>
      </c>
      <c r="O300" s="5">
        <v>-171565</v>
      </c>
      <c r="P300" s="5">
        <v>-36028.65</v>
      </c>
      <c r="Q300" s="5">
        <v>-207593.65</v>
      </c>
      <c r="R300" s="1" t="s">
        <v>15</v>
      </c>
      <c r="S300" s="5">
        <v>0</v>
      </c>
      <c r="T300">
        <f>VLOOKUP(L300,'MIS COMPROBANTES'!E:Q,13,0)</f>
        <v>207593.65</v>
      </c>
    </row>
    <row r="301" spans="1:20" x14ac:dyDescent="0.3">
      <c r="A301" s="3">
        <v>45430</v>
      </c>
      <c r="B301" s="1" t="s">
        <v>41</v>
      </c>
      <c r="C301" s="1" t="s">
        <v>42</v>
      </c>
      <c r="D301" s="1" t="s">
        <v>18</v>
      </c>
      <c r="E301" s="1" t="s">
        <v>640</v>
      </c>
      <c r="F301" s="4">
        <v>12130</v>
      </c>
      <c r="G301" s="1" t="s">
        <v>27</v>
      </c>
      <c r="H301" s="1" t="s">
        <v>393</v>
      </c>
      <c r="I301" s="1" t="s">
        <v>757</v>
      </c>
      <c r="J301" s="1">
        <v>6156</v>
      </c>
      <c r="K301" s="1">
        <v>2550901</v>
      </c>
      <c r="L301" s="7" t="str">
        <f t="shared" si="4"/>
        <v>3054724233161562550901</v>
      </c>
      <c r="M301" s="5">
        <v>21</v>
      </c>
      <c r="N301" s="5">
        <v>0</v>
      </c>
      <c r="O301" s="5">
        <v>-84949.11</v>
      </c>
      <c r="P301" s="5">
        <v>-17839.310000000001</v>
      </c>
      <c r="Q301" s="5">
        <v>-105336.89</v>
      </c>
      <c r="R301" s="1" t="s">
        <v>15</v>
      </c>
      <c r="S301" s="5">
        <v>0</v>
      </c>
      <c r="T301">
        <f>VLOOKUP(L301,'MIS COMPROBANTES'!E:Q,13,0)</f>
        <v>105336.89</v>
      </c>
    </row>
    <row r="302" spans="1:20" x14ac:dyDescent="0.3">
      <c r="A302" s="3">
        <v>45430</v>
      </c>
      <c r="B302" s="1" t="s">
        <v>41</v>
      </c>
      <c r="C302" s="1" t="s">
        <v>42</v>
      </c>
      <c r="D302" s="1" t="s">
        <v>18</v>
      </c>
      <c r="E302" s="1" t="s">
        <v>640</v>
      </c>
      <c r="F302" s="4">
        <v>12130</v>
      </c>
      <c r="G302" s="1" t="s">
        <v>27</v>
      </c>
      <c r="H302" s="1" t="s">
        <v>393</v>
      </c>
      <c r="I302" s="1" t="s">
        <v>757</v>
      </c>
      <c r="J302" s="1">
        <v>6156</v>
      </c>
      <c r="K302" s="1">
        <v>2550901</v>
      </c>
      <c r="L302" s="7" t="str">
        <f t="shared" si="4"/>
        <v>3054724233161562550901</v>
      </c>
      <c r="M302" s="5">
        <v>3</v>
      </c>
      <c r="N302" s="5">
        <v>0</v>
      </c>
      <c r="O302" s="5">
        <v>0</v>
      </c>
      <c r="P302" s="5">
        <v>-2548.4699999999998</v>
      </c>
      <c r="Q302" s="5">
        <v>0</v>
      </c>
      <c r="R302" s="1" t="s">
        <v>15</v>
      </c>
      <c r="S302" s="5">
        <v>0</v>
      </c>
      <c r="T302">
        <f>VLOOKUP(L302,'MIS COMPROBANTES'!E:Q,13,0)</f>
        <v>105336.89</v>
      </c>
    </row>
    <row r="303" spans="1:20" x14ac:dyDescent="0.3">
      <c r="A303" s="3">
        <v>45432</v>
      </c>
      <c r="B303" s="1" t="s">
        <v>44</v>
      </c>
      <c r="C303" s="1" t="s">
        <v>45</v>
      </c>
      <c r="D303" s="1" t="s">
        <v>18</v>
      </c>
      <c r="E303" s="1" t="s">
        <v>641</v>
      </c>
      <c r="F303" s="4">
        <v>11948</v>
      </c>
      <c r="G303" s="1" t="s">
        <v>19</v>
      </c>
      <c r="H303" s="1" t="s">
        <v>394</v>
      </c>
      <c r="I303" s="1">
        <v>0</v>
      </c>
      <c r="J303" s="1">
        <v>2024</v>
      </c>
      <c r="K303" s="1">
        <v>9002790</v>
      </c>
      <c r="L303" s="7" t="str">
        <f t="shared" si="4"/>
        <v>3050000845420249002790</v>
      </c>
      <c r="M303" s="5">
        <v>10.5</v>
      </c>
      <c r="N303" s="5">
        <v>11332.2</v>
      </c>
      <c r="O303" s="5">
        <v>250253.35</v>
      </c>
      <c r="P303" s="5">
        <v>26276.6</v>
      </c>
      <c r="Q303" s="5">
        <v>296621.02</v>
      </c>
      <c r="R303" s="1" t="s">
        <v>15</v>
      </c>
      <c r="S303" s="5">
        <v>5005.07</v>
      </c>
      <c r="T303" t="e">
        <f>VLOOKUP(L303,'MIS COMPROBANTES'!E:Q,13,0)</f>
        <v>#N/A</v>
      </c>
    </row>
    <row r="304" spans="1:20" x14ac:dyDescent="0.3">
      <c r="A304" s="3">
        <v>45432</v>
      </c>
      <c r="B304" s="1" t="s">
        <v>44</v>
      </c>
      <c r="C304" s="1" t="s">
        <v>45</v>
      </c>
      <c r="D304" s="1" t="s">
        <v>18</v>
      </c>
      <c r="E304" s="1" t="s">
        <v>641</v>
      </c>
      <c r="F304" s="4">
        <v>11948</v>
      </c>
      <c r="G304" s="1" t="s">
        <v>19</v>
      </c>
      <c r="H304" s="1" t="s">
        <v>394</v>
      </c>
      <c r="I304" s="1">
        <v>0</v>
      </c>
      <c r="J304" s="1">
        <v>2024</v>
      </c>
      <c r="K304" s="1">
        <v>9002790</v>
      </c>
      <c r="L304" s="7" t="str">
        <f t="shared" si="4"/>
        <v>3050000845420249002790</v>
      </c>
      <c r="M304" s="5">
        <v>1.5</v>
      </c>
      <c r="N304" s="5">
        <v>0</v>
      </c>
      <c r="O304" s="5">
        <v>0</v>
      </c>
      <c r="P304" s="5">
        <v>3753.8</v>
      </c>
      <c r="Q304" s="5">
        <v>0</v>
      </c>
      <c r="R304" s="1" t="s">
        <v>15</v>
      </c>
      <c r="S304" s="5">
        <v>0</v>
      </c>
      <c r="T304" t="e">
        <f>VLOOKUP(L304,'MIS COMPROBANTES'!E:Q,13,0)</f>
        <v>#N/A</v>
      </c>
    </row>
    <row r="305" spans="1:20" x14ac:dyDescent="0.3">
      <c r="A305" s="3">
        <v>45432</v>
      </c>
      <c r="B305" s="1" t="s">
        <v>44</v>
      </c>
      <c r="C305" s="1" t="s">
        <v>45</v>
      </c>
      <c r="D305" s="1" t="s">
        <v>18</v>
      </c>
      <c r="E305" s="1" t="s">
        <v>641</v>
      </c>
      <c r="F305" s="4">
        <v>11946</v>
      </c>
      <c r="G305" s="1" t="s">
        <v>19</v>
      </c>
      <c r="H305" s="1" t="s">
        <v>395</v>
      </c>
      <c r="I305" s="1">
        <v>0</v>
      </c>
      <c r="J305" s="1">
        <v>2024</v>
      </c>
      <c r="K305" s="1">
        <v>90022501</v>
      </c>
      <c r="L305" s="7" t="str">
        <f t="shared" si="4"/>
        <v>30500008454202490022501</v>
      </c>
      <c r="M305" s="5">
        <v>10.5</v>
      </c>
      <c r="N305" s="5">
        <v>166.51</v>
      </c>
      <c r="O305" s="5">
        <v>3677.1</v>
      </c>
      <c r="P305" s="5">
        <v>386.1</v>
      </c>
      <c r="Q305" s="5">
        <v>4303.25</v>
      </c>
      <c r="R305" s="1" t="s">
        <v>15</v>
      </c>
      <c r="S305" s="5">
        <v>73.540000000000006</v>
      </c>
      <c r="T305" t="e">
        <f>VLOOKUP(L305,'MIS COMPROBANTES'!E:Q,13,0)</f>
        <v>#N/A</v>
      </c>
    </row>
    <row r="306" spans="1:20" x14ac:dyDescent="0.3">
      <c r="A306" s="3">
        <v>45432</v>
      </c>
      <c r="B306" s="1" t="s">
        <v>44</v>
      </c>
      <c r="C306" s="1" t="s">
        <v>45</v>
      </c>
      <c r="D306" s="1" t="s">
        <v>18</v>
      </c>
      <c r="E306" s="1" t="s">
        <v>641</v>
      </c>
      <c r="F306" s="4">
        <v>11947</v>
      </c>
      <c r="G306" s="1" t="s">
        <v>19</v>
      </c>
      <c r="H306" s="1" t="s">
        <v>396</v>
      </c>
      <c r="I306" s="1">
        <v>0</v>
      </c>
      <c r="J306" s="1">
        <v>2024</v>
      </c>
      <c r="K306" s="1">
        <v>90025301</v>
      </c>
      <c r="L306" s="7" t="str">
        <f t="shared" si="4"/>
        <v>30500008454202490025301</v>
      </c>
      <c r="M306" s="5">
        <v>10.5</v>
      </c>
      <c r="N306" s="5">
        <v>9685.6200000000008</v>
      </c>
      <c r="O306" s="5">
        <v>213890.6</v>
      </c>
      <c r="P306" s="5">
        <v>22458.52</v>
      </c>
      <c r="Q306" s="5">
        <v>253382.56</v>
      </c>
      <c r="R306" s="1" t="s">
        <v>15</v>
      </c>
      <c r="S306" s="5">
        <v>4230.54</v>
      </c>
      <c r="T306" t="e">
        <f>VLOOKUP(L306,'MIS COMPROBANTES'!E:Q,13,0)</f>
        <v>#N/A</v>
      </c>
    </row>
    <row r="307" spans="1:20" x14ac:dyDescent="0.3">
      <c r="A307" s="3">
        <v>45432</v>
      </c>
      <c r="B307" s="1" t="s">
        <v>44</v>
      </c>
      <c r="C307" s="1" t="s">
        <v>45</v>
      </c>
      <c r="D307" s="1" t="s">
        <v>18</v>
      </c>
      <c r="E307" s="1" t="s">
        <v>641</v>
      </c>
      <c r="F307" s="4">
        <v>11947</v>
      </c>
      <c r="G307" s="1" t="s">
        <v>19</v>
      </c>
      <c r="H307" s="1" t="s">
        <v>396</v>
      </c>
      <c r="I307" s="1">
        <v>0</v>
      </c>
      <c r="J307" s="1">
        <v>2024</v>
      </c>
      <c r="K307" s="1">
        <v>90025301</v>
      </c>
      <c r="L307" s="7" t="str">
        <f t="shared" si="4"/>
        <v>30500008454202490025301</v>
      </c>
      <c r="M307" s="5">
        <v>1.5</v>
      </c>
      <c r="N307" s="5">
        <v>0</v>
      </c>
      <c r="O307" s="5">
        <v>0</v>
      </c>
      <c r="P307" s="5">
        <v>3117.28</v>
      </c>
      <c r="Q307" s="5">
        <v>0</v>
      </c>
      <c r="R307" s="1" t="s">
        <v>15</v>
      </c>
      <c r="S307" s="5">
        <v>0</v>
      </c>
      <c r="T307" t="e">
        <f>VLOOKUP(L307,'MIS COMPROBANTES'!E:Q,13,0)</f>
        <v>#N/A</v>
      </c>
    </row>
    <row r="308" spans="1:20" x14ac:dyDescent="0.3">
      <c r="A308" s="3">
        <v>45432</v>
      </c>
      <c r="B308" s="1" t="s">
        <v>397</v>
      </c>
      <c r="C308" s="1" t="s">
        <v>398</v>
      </c>
      <c r="D308" s="1" t="s">
        <v>18</v>
      </c>
      <c r="E308" s="1" t="s">
        <v>718</v>
      </c>
      <c r="F308" s="4">
        <v>12186</v>
      </c>
      <c r="G308" s="1" t="s">
        <v>19</v>
      </c>
      <c r="H308" s="1" t="s">
        <v>399</v>
      </c>
      <c r="I308" s="1" t="s">
        <v>757</v>
      </c>
      <c r="J308" s="1">
        <v>2</v>
      </c>
      <c r="K308" s="1">
        <v>967</v>
      </c>
      <c r="L308" s="7" t="str">
        <f t="shared" si="4"/>
        <v>232559462692967</v>
      </c>
      <c r="M308" s="5">
        <v>21</v>
      </c>
      <c r="N308" s="5">
        <v>0</v>
      </c>
      <c r="O308" s="5">
        <v>360000</v>
      </c>
      <c r="P308" s="5">
        <v>75600</v>
      </c>
      <c r="Q308" s="5">
        <v>435600</v>
      </c>
      <c r="R308" s="1" t="s">
        <v>15</v>
      </c>
      <c r="S308" s="5">
        <v>0</v>
      </c>
      <c r="T308">
        <f>VLOOKUP(L308,'MIS COMPROBANTES'!E:Q,13,0)</f>
        <v>435600</v>
      </c>
    </row>
    <row r="309" spans="1:20" x14ac:dyDescent="0.3">
      <c r="A309" s="3">
        <v>45432</v>
      </c>
      <c r="B309" s="1" t="s">
        <v>355</v>
      </c>
      <c r="C309" s="1" t="s">
        <v>356</v>
      </c>
      <c r="D309" s="1" t="s">
        <v>18</v>
      </c>
      <c r="E309" s="1" t="s">
        <v>713</v>
      </c>
      <c r="F309" s="4">
        <v>12012</v>
      </c>
      <c r="G309" s="1" t="s">
        <v>19</v>
      </c>
      <c r="H309" s="1" t="s">
        <v>400</v>
      </c>
      <c r="I309" s="1" t="s">
        <v>757</v>
      </c>
      <c r="J309" s="1">
        <v>2</v>
      </c>
      <c r="K309" s="1">
        <v>16695</v>
      </c>
      <c r="L309" s="7" t="str">
        <f t="shared" si="4"/>
        <v>30708904534216695</v>
      </c>
      <c r="M309" s="5">
        <v>21</v>
      </c>
      <c r="N309" s="5">
        <v>0</v>
      </c>
      <c r="O309" s="5">
        <v>124720</v>
      </c>
      <c r="P309" s="5">
        <v>26191.200000000001</v>
      </c>
      <c r="Q309" s="5">
        <v>150911.20000000001</v>
      </c>
      <c r="R309" s="1" t="s">
        <v>15</v>
      </c>
      <c r="S309" s="5">
        <v>0</v>
      </c>
      <c r="T309">
        <f>VLOOKUP(L309,'MIS COMPROBANTES'!E:Q,13,0)</f>
        <v>150911.20000000001</v>
      </c>
    </row>
    <row r="310" spans="1:20" x14ac:dyDescent="0.3">
      <c r="A310" s="3">
        <v>45432</v>
      </c>
      <c r="B310" s="1" t="s">
        <v>401</v>
      </c>
      <c r="C310" s="1" t="s">
        <v>402</v>
      </c>
      <c r="D310" s="1" t="s">
        <v>18</v>
      </c>
      <c r="E310" s="1" t="s">
        <v>719</v>
      </c>
      <c r="F310" s="4">
        <v>12187</v>
      </c>
      <c r="G310" s="1" t="s">
        <v>19</v>
      </c>
      <c r="H310" s="1" t="s">
        <v>403</v>
      </c>
      <c r="I310" s="1" t="s">
        <v>757</v>
      </c>
      <c r="J310" s="1">
        <v>3</v>
      </c>
      <c r="K310" s="1">
        <v>63436</v>
      </c>
      <c r="L310" s="7" t="str">
        <f t="shared" si="4"/>
        <v>33629749239363436</v>
      </c>
      <c r="M310" s="5">
        <v>21</v>
      </c>
      <c r="N310" s="5">
        <v>0</v>
      </c>
      <c r="O310" s="5">
        <v>684464.3</v>
      </c>
      <c r="P310" s="5">
        <v>143737.5</v>
      </c>
      <c r="Q310" s="5">
        <v>841891.09</v>
      </c>
      <c r="R310" s="1" t="s">
        <v>15</v>
      </c>
      <c r="S310" s="5">
        <v>13689.29</v>
      </c>
      <c r="T310">
        <f>VLOOKUP(L310,'MIS COMPROBANTES'!E:Q,13,0)</f>
        <v>841891.09</v>
      </c>
    </row>
    <row r="311" spans="1:20" x14ac:dyDescent="0.3">
      <c r="A311" s="3">
        <v>45432</v>
      </c>
      <c r="B311" s="1" t="s">
        <v>125</v>
      </c>
      <c r="C311" s="1" t="s">
        <v>126</v>
      </c>
      <c r="D311" s="1" t="s">
        <v>18</v>
      </c>
      <c r="E311" s="1" t="s">
        <v>663</v>
      </c>
      <c r="F311" s="4">
        <v>12014</v>
      </c>
      <c r="G311" s="1" t="s">
        <v>19</v>
      </c>
      <c r="H311" s="1" t="s">
        <v>404</v>
      </c>
      <c r="I311" s="1" t="s">
        <v>757</v>
      </c>
      <c r="J311" s="1">
        <v>4</v>
      </c>
      <c r="K311" s="1">
        <v>1453</v>
      </c>
      <c r="L311" s="7" t="str">
        <f t="shared" si="4"/>
        <v>2024334867741453</v>
      </c>
      <c r="M311" s="5">
        <v>21</v>
      </c>
      <c r="N311" s="5">
        <v>0</v>
      </c>
      <c r="O311" s="5">
        <v>7082500</v>
      </c>
      <c r="P311" s="5">
        <v>252000</v>
      </c>
      <c r="Q311" s="5">
        <v>7952162.5</v>
      </c>
      <c r="R311" s="1" t="s">
        <v>15</v>
      </c>
      <c r="S311" s="5">
        <v>0</v>
      </c>
      <c r="T311">
        <f>VLOOKUP(L311,'MIS COMPROBANTES'!E:Q,13,0)</f>
        <v>7952162.5</v>
      </c>
    </row>
    <row r="312" spans="1:20" x14ac:dyDescent="0.3">
      <c r="A312" s="3">
        <v>45432</v>
      </c>
      <c r="B312" s="1" t="s">
        <v>125</v>
      </c>
      <c r="C312" s="1" t="s">
        <v>126</v>
      </c>
      <c r="D312" s="1" t="s">
        <v>18</v>
      </c>
      <c r="E312" s="1" t="s">
        <v>663</v>
      </c>
      <c r="F312" s="4">
        <v>12014</v>
      </c>
      <c r="G312" s="1" t="s">
        <v>19</v>
      </c>
      <c r="H312" s="1" t="s">
        <v>404</v>
      </c>
      <c r="I312" s="1" t="s">
        <v>757</v>
      </c>
      <c r="J312" s="1">
        <v>4</v>
      </c>
      <c r="K312" s="1">
        <v>1453</v>
      </c>
      <c r="L312" s="7" t="str">
        <f t="shared" si="4"/>
        <v>2024334867741453</v>
      </c>
      <c r="M312" s="5">
        <v>10.5</v>
      </c>
      <c r="N312" s="5">
        <v>0</v>
      </c>
      <c r="O312" s="5">
        <v>0</v>
      </c>
      <c r="P312" s="5">
        <v>617662.5</v>
      </c>
      <c r="Q312" s="5">
        <v>0</v>
      </c>
      <c r="R312" s="1" t="s">
        <v>15</v>
      </c>
      <c r="S312" s="5">
        <v>0</v>
      </c>
      <c r="T312">
        <f>VLOOKUP(L312,'MIS COMPROBANTES'!E:Q,13,0)</f>
        <v>7952162.5</v>
      </c>
    </row>
    <row r="313" spans="1:20" x14ac:dyDescent="0.3">
      <c r="A313" s="3">
        <v>45432</v>
      </c>
      <c r="B313" s="1" t="s">
        <v>405</v>
      </c>
      <c r="C313" s="1" t="s">
        <v>406</v>
      </c>
      <c r="D313" s="1" t="s">
        <v>18</v>
      </c>
      <c r="E313" s="1" t="s">
        <v>720</v>
      </c>
      <c r="F313" s="4">
        <v>12389</v>
      </c>
      <c r="G313" s="1" t="s">
        <v>19</v>
      </c>
      <c r="H313" s="1" t="s">
        <v>407</v>
      </c>
      <c r="I313" s="1" t="s">
        <v>757</v>
      </c>
      <c r="J313" s="1">
        <v>15</v>
      </c>
      <c r="K313" s="1">
        <v>39361</v>
      </c>
      <c r="L313" s="7" t="str">
        <f t="shared" si="4"/>
        <v>307093805711539361</v>
      </c>
      <c r="M313" s="5">
        <v>21</v>
      </c>
      <c r="N313" s="5">
        <v>959.87</v>
      </c>
      <c r="O313" s="5">
        <v>52305.83</v>
      </c>
      <c r="P313" s="5">
        <v>10984.22</v>
      </c>
      <c r="Q313" s="5">
        <v>64249.919999999998</v>
      </c>
      <c r="R313" s="1" t="s">
        <v>15</v>
      </c>
      <c r="S313" s="5">
        <v>0</v>
      </c>
      <c r="T313" t="e">
        <f>VLOOKUP(L313,'MIS COMPROBANTES'!E:Q,13,0)</f>
        <v>#N/A</v>
      </c>
    </row>
    <row r="314" spans="1:20" x14ac:dyDescent="0.3">
      <c r="A314" s="3">
        <v>45432</v>
      </c>
      <c r="B314" s="1" t="s">
        <v>408</v>
      </c>
      <c r="C314" s="1" t="s">
        <v>409</v>
      </c>
      <c r="D314" s="1" t="s">
        <v>18</v>
      </c>
      <c r="E314" s="1" t="s">
        <v>721</v>
      </c>
      <c r="F314" s="4">
        <v>12020</v>
      </c>
      <c r="G314" s="1" t="s">
        <v>19</v>
      </c>
      <c r="H314" s="1" t="s">
        <v>410</v>
      </c>
      <c r="I314" s="1" t="s">
        <v>757</v>
      </c>
      <c r="J314" s="1">
        <v>101</v>
      </c>
      <c r="K314" s="1">
        <v>44206</v>
      </c>
      <c r="L314" s="7" t="str">
        <f t="shared" si="4"/>
        <v>3052225035610144206</v>
      </c>
      <c r="M314" s="5">
        <v>21</v>
      </c>
      <c r="N314" s="5">
        <v>0</v>
      </c>
      <c r="O314" s="5">
        <v>428034.7</v>
      </c>
      <c r="P314" s="5">
        <v>89887.29</v>
      </c>
      <c r="Q314" s="5">
        <v>526482.68000000005</v>
      </c>
      <c r="R314" s="1" t="s">
        <v>15</v>
      </c>
      <c r="S314" s="5">
        <v>8560.69</v>
      </c>
      <c r="T314">
        <f>VLOOKUP(L314,'MIS COMPROBANTES'!E:Q,13,0)</f>
        <v>526482.68000000005</v>
      </c>
    </row>
    <row r="315" spans="1:20" x14ac:dyDescent="0.3">
      <c r="A315" s="3">
        <v>45432</v>
      </c>
      <c r="B315" s="1" t="s">
        <v>196</v>
      </c>
      <c r="C315" s="1" t="s">
        <v>197</v>
      </c>
      <c r="D315" s="1" t="s">
        <v>18</v>
      </c>
      <c r="E315" s="1" t="s">
        <v>682</v>
      </c>
      <c r="F315" s="4">
        <v>12034</v>
      </c>
      <c r="G315" s="1" t="s">
        <v>19</v>
      </c>
      <c r="H315" s="1" t="s">
        <v>411</v>
      </c>
      <c r="I315" s="1" t="s">
        <v>757</v>
      </c>
      <c r="J315" s="1">
        <v>115</v>
      </c>
      <c r="K315" s="1">
        <v>142806</v>
      </c>
      <c r="L315" s="7" t="str">
        <f t="shared" si="4"/>
        <v>30629646708115142806</v>
      </c>
      <c r="M315" s="5">
        <v>10.5</v>
      </c>
      <c r="N315" s="5">
        <v>0</v>
      </c>
      <c r="O315" s="5">
        <v>734783.05</v>
      </c>
      <c r="P315" s="5">
        <v>77152.22</v>
      </c>
      <c r="Q315" s="5">
        <v>859696.17</v>
      </c>
      <c r="R315" s="1" t="s">
        <v>15</v>
      </c>
      <c r="S315" s="5">
        <v>36739.15</v>
      </c>
      <c r="T315">
        <f>VLOOKUP(L315,'MIS COMPROBANTES'!E:Q,13,0)</f>
        <v>859696.16</v>
      </c>
    </row>
    <row r="316" spans="1:20" x14ac:dyDescent="0.3">
      <c r="A316" s="3">
        <v>45432</v>
      </c>
      <c r="B316" s="1" t="s">
        <v>196</v>
      </c>
      <c r="C316" s="1" t="s">
        <v>197</v>
      </c>
      <c r="D316" s="1" t="s">
        <v>18</v>
      </c>
      <c r="E316" s="1" t="s">
        <v>682</v>
      </c>
      <c r="F316" s="4">
        <v>12034</v>
      </c>
      <c r="G316" s="1" t="s">
        <v>19</v>
      </c>
      <c r="H316" s="1" t="s">
        <v>411</v>
      </c>
      <c r="I316" s="1" t="s">
        <v>757</v>
      </c>
      <c r="J316" s="1">
        <v>115</v>
      </c>
      <c r="K316" s="1">
        <v>142806</v>
      </c>
      <c r="L316" s="7" t="str">
        <f t="shared" si="4"/>
        <v>30629646708115142806</v>
      </c>
      <c r="M316" s="5">
        <v>1.5</v>
      </c>
      <c r="N316" s="5">
        <v>0</v>
      </c>
      <c r="O316" s="5">
        <v>0</v>
      </c>
      <c r="P316" s="5">
        <v>11021.75</v>
      </c>
      <c r="Q316" s="5">
        <v>0</v>
      </c>
      <c r="R316" s="1" t="s">
        <v>15</v>
      </c>
      <c r="S316" s="5">
        <v>0</v>
      </c>
      <c r="T316">
        <f>VLOOKUP(L316,'MIS COMPROBANTES'!E:Q,13,0)</f>
        <v>859696.16</v>
      </c>
    </row>
    <row r="317" spans="1:20" x14ac:dyDescent="0.3">
      <c r="A317" s="3">
        <v>45432</v>
      </c>
      <c r="B317" s="1" t="s">
        <v>196</v>
      </c>
      <c r="C317" s="1" t="s">
        <v>197</v>
      </c>
      <c r="D317" s="1" t="s">
        <v>18</v>
      </c>
      <c r="E317" s="1" t="s">
        <v>682</v>
      </c>
      <c r="F317" s="4">
        <v>12145</v>
      </c>
      <c r="G317" s="1" t="s">
        <v>19</v>
      </c>
      <c r="H317" s="1" t="s">
        <v>412</v>
      </c>
      <c r="I317" s="1" t="s">
        <v>757</v>
      </c>
      <c r="J317" s="1">
        <v>115</v>
      </c>
      <c r="K317" s="1">
        <v>142807</v>
      </c>
      <c r="L317" s="7" t="str">
        <f t="shared" si="4"/>
        <v>30629646708115142807</v>
      </c>
      <c r="M317" s="5">
        <v>21</v>
      </c>
      <c r="N317" s="5">
        <v>0</v>
      </c>
      <c r="O317" s="5">
        <v>2982039.24</v>
      </c>
      <c r="P317" s="5">
        <v>626228.24</v>
      </c>
      <c r="Q317" s="5">
        <v>3846830.62</v>
      </c>
      <c r="R317" s="1" t="s">
        <v>15</v>
      </c>
      <c r="S317" s="5">
        <v>149101.96</v>
      </c>
      <c r="T317">
        <f>VLOOKUP(L317,'MIS COMPROBANTES'!E:Q,13,0)</f>
        <v>3846830.62</v>
      </c>
    </row>
    <row r="318" spans="1:20" x14ac:dyDescent="0.3">
      <c r="A318" s="3">
        <v>45432</v>
      </c>
      <c r="B318" s="1" t="s">
        <v>196</v>
      </c>
      <c r="C318" s="1" t="s">
        <v>197</v>
      </c>
      <c r="D318" s="1" t="s">
        <v>18</v>
      </c>
      <c r="E318" s="1" t="s">
        <v>682</v>
      </c>
      <c r="F318" s="4">
        <v>12145</v>
      </c>
      <c r="G318" s="1" t="s">
        <v>19</v>
      </c>
      <c r="H318" s="1" t="s">
        <v>412</v>
      </c>
      <c r="I318" s="1" t="s">
        <v>757</v>
      </c>
      <c r="J318" s="1">
        <v>115</v>
      </c>
      <c r="K318" s="1">
        <v>142807</v>
      </c>
      <c r="L318" s="7" t="str">
        <f t="shared" si="4"/>
        <v>30629646708115142807</v>
      </c>
      <c r="M318" s="5">
        <v>3</v>
      </c>
      <c r="N318" s="5">
        <v>0</v>
      </c>
      <c r="O318" s="5">
        <v>0</v>
      </c>
      <c r="P318" s="5">
        <v>89461.18</v>
      </c>
      <c r="Q318" s="5">
        <v>0</v>
      </c>
      <c r="R318" s="1" t="s">
        <v>15</v>
      </c>
      <c r="S318" s="5">
        <v>0</v>
      </c>
      <c r="T318">
        <f>VLOOKUP(L318,'MIS COMPROBANTES'!E:Q,13,0)</f>
        <v>3846830.62</v>
      </c>
    </row>
    <row r="319" spans="1:20" x14ac:dyDescent="0.3">
      <c r="A319" s="3">
        <v>45432</v>
      </c>
      <c r="B319" s="1" t="s">
        <v>174</v>
      </c>
      <c r="C319" s="1" t="s">
        <v>175</v>
      </c>
      <c r="D319" s="1" t="s">
        <v>18</v>
      </c>
      <c r="E319" s="1" t="s">
        <v>676</v>
      </c>
      <c r="F319" s="4">
        <v>11995</v>
      </c>
      <c r="G319" s="1" t="s">
        <v>19</v>
      </c>
      <c r="H319" s="1" t="s">
        <v>413</v>
      </c>
      <c r="I319" s="1" t="s">
        <v>757</v>
      </c>
      <c r="J319" s="1">
        <v>9060</v>
      </c>
      <c r="K319" s="1">
        <v>23607</v>
      </c>
      <c r="L319" s="7" t="str">
        <f t="shared" si="4"/>
        <v>30678774495906023607</v>
      </c>
      <c r="M319" s="5">
        <v>21</v>
      </c>
      <c r="N319" s="5">
        <v>7406.26</v>
      </c>
      <c r="O319" s="5">
        <v>76523.789999999994</v>
      </c>
      <c r="P319" s="5">
        <v>16070</v>
      </c>
      <c r="Q319" s="5">
        <v>100000.05</v>
      </c>
      <c r="R319" s="1" t="s">
        <v>15</v>
      </c>
      <c r="S319" s="5">
        <v>0</v>
      </c>
      <c r="T319">
        <f>VLOOKUP(L319,'MIS COMPROBANTES'!E:Q,13,0)</f>
        <v>100000.04</v>
      </c>
    </row>
    <row r="320" spans="1:20" x14ac:dyDescent="0.3">
      <c r="A320" s="3">
        <v>45432</v>
      </c>
      <c r="B320" s="1" t="s">
        <v>414</v>
      </c>
      <c r="C320" s="1" t="s">
        <v>415</v>
      </c>
      <c r="D320" s="1" t="s">
        <v>416</v>
      </c>
      <c r="E320" s="1" t="s">
        <v>722</v>
      </c>
      <c r="F320" s="4">
        <v>12330</v>
      </c>
      <c r="G320" s="1" t="s">
        <v>19</v>
      </c>
      <c r="H320" s="1" t="s">
        <v>417</v>
      </c>
      <c r="I320" s="1" t="s">
        <v>757</v>
      </c>
      <c r="J320" s="1">
        <v>20241</v>
      </c>
      <c r="K320" s="1">
        <v>53794992</v>
      </c>
      <c r="L320" s="7" t="str">
        <f t="shared" si="4"/>
        <v>339992421092024153794992</v>
      </c>
      <c r="M320" s="5">
        <v>0</v>
      </c>
      <c r="N320" s="5">
        <v>1951445.2</v>
      </c>
      <c r="O320" s="5">
        <v>0</v>
      </c>
      <c r="P320" s="5">
        <v>0</v>
      </c>
      <c r="Q320" s="5">
        <v>1990474.1</v>
      </c>
      <c r="R320" s="1" t="s">
        <v>15</v>
      </c>
      <c r="S320" s="5">
        <v>39028.9</v>
      </c>
      <c r="T320" t="e">
        <f>VLOOKUP(L320,'MIS COMPROBANTES'!E:Q,13,0)</f>
        <v>#N/A</v>
      </c>
    </row>
    <row r="321" spans="1:20" x14ac:dyDescent="0.3">
      <c r="A321" s="3">
        <v>45432</v>
      </c>
      <c r="B321" s="1" t="s">
        <v>125</v>
      </c>
      <c r="C321" s="1" t="s">
        <v>126</v>
      </c>
      <c r="D321" s="1" t="s">
        <v>18</v>
      </c>
      <c r="E321" s="1" t="s">
        <v>663</v>
      </c>
      <c r="F321" s="4">
        <v>12045</v>
      </c>
      <c r="G321" s="1" t="s">
        <v>27</v>
      </c>
      <c r="H321" s="1" t="s">
        <v>418</v>
      </c>
      <c r="I321" s="1" t="s">
        <v>757</v>
      </c>
      <c r="J321" s="1">
        <v>4</v>
      </c>
      <c r="K321" s="1">
        <v>310</v>
      </c>
      <c r="L321" s="7" t="str">
        <f t="shared" si="4"/>
        <v>202433486774310</v>
      </c>
      <c r="M321" s="5">
        <v>21</v>
      </c>
      <c r="N321" s="5">
        <v>0</v>
      </c>
      <c r="O321" s="5">
        <v>-150000</v>
      </c>
      <c r="P321" s="5">
        <v>-14175</v>
      </c>
      <c r="Q321" s="5">
        <v>-172837.5</v>
      </c>
      <c r="R321" s="1" t="s">
        <v>15</v>
      </c>
      <c r="S321" s="5">
        <v>0</v>
      </c>
      <c r="T321">
        <f>VLOOKUP(L321,'MIS COMPROBANTES'!E:Q,13,0)</f>
        <v>172837.5</v>
      </c>
    </row>
    <row r="322" spans="1:20" x14ac:dyDescent="0.3">
      <c r="A322" s="3">
        <v>45432</v>
      </c>
      <c r="B322" s="1" t="s">
        <v>125</v>
      </c>
      <c r="C322" s="1" t="s">
        <v>126</v>
      </c>
      <c r="D322" s="1" t="s">
        <v>18</v>
      </c>
      <c r="E322" s="1" t="s">
        <v>663</v>
      </c>
      <c r="F322" s="4">
        <v>12045</v>
      </c>
      <c r="G322" s="1" t="s">
        <v>27</v>
      </c>
      <c r="H322" s="1" t="s">
        <v>418</v>
      </c>
      <c r="I322" s="1" t="s">
        <v>757</v>
      </c>
      <c r="J322" s="1">
        <v>4</v>
      </c>
      <c r="K322" s="1">
        <v>310</v>
      </c>
      <c r="L322" s="7" t="str">
        <f t="shared" si="4"/>
        <v>202433486774310</v>
      </c>
      <c r="M322" s="5">
        <v>10.5</v>
      </c>
      <c r="N322" s="5">
        <v>0</v>
      </c>
      <c r="O322" s="5">
        <v>0</v>
      </c>
      <c r="P322" s="5">
        <v>-8662.5</v>
      </c>
      <c r="Q322" s="5">
        <v>0</v>
      </c>
      <c r="R322" s="1" t="s">
        <v>15</v>
      </c>
      <c r="S322" s="5">
        <v>0</v>
      </c>
      <c r="T322">
        <f>VLOOKUP(L322,'MIS COMPROBANTES'!E:Q,13,0)</f>
        <v>172837.5</v>
      </c>
    </row>
    <row r="323" spans="1:20" x14ac:dyDescent="0.3">
      <c r="A323" s="3">
        <v>45433</v>
      </c>
      <c r="B323" s="1" t="s">
        <v>419</v>
      </c>
      <c r="C323" s="1" t="s">
        <v>420</v>
      </c>
      <c r="D323" s="1" t="s">
        <v>18</v>
      </c>
      <c r="E323" s="1" t="s">
        <v>723</v>
      </c>
      <c r="F323" s="4">
        <v>12199</v>
      </c>
      <c r="G323" s="1" t="s">
        <v>19</v>
      </c>
      <c r="H323" s="1" t="s">
        <v>421</v>
      </c>
      <c r="I323" s="1" t="s">
        <v>757</v>
      </c>
      <c r="J323" s="1">
        <v>2</v>
      </c>
      <c r="K323" s="1">
        <v>5654</v>
      </c>
      <c r="L323" s="7" t="str">
        <f t="shared" ref="L323:L386" si="5">CONCATENATE(E323,J323,K323)</f>
        <v>3050450466925654</v>
      </c>
      <c r="M323" s="5">
        <v>21</v>
      </c>
      <c r="N323" s="5">
        <v>0</v>
      </c>
      <c r="O323" s="5">
        <v>35400</v>
      </c>
      <c r="P323" s="5">
        <v>7434</v>
      </c>
      <c r="Q323" s="5">
        <v>42834</v>
      </c>
      <c r="R323" s="1" t="s">
        <v>15</v>
      </c>
      <c r="S323" s="5">
        <v>0</v>
      </c>
      <c r="T323">
        <f>VLOOKUP(L323,'MIS COMPROBANTES'!E:Q,13,0)</f>
        <v>42834</v>
      </c>
    </row>
    <row r="324" spans="1:20" x14ac:dyDescent="0.3">
      <c r="A324" s="3">
        <v>45433</v>
      </c>
      <c r="B324" s="1" t="s">
        <v>255</v>
      </c>
      <c r="C324" s="1" t="s">
        <v>256</v>
      </c>
      <c r="D324" s="1" t="s">
        <v>18</v>
      </c>
      <c r="E324" s="1" t="s">
        <v>696</v>
      </c>
      <c r="F324" s="4">
        <v>12006</v>
      </c>
      <c r="G324" s="1" t="s">
        <v>19</v>
      </c>
      <c r="H324" s="1" t="s">
        <v>422</v>
      </c>
      <c r="I324" s="1" t="s">
        <v>757</v>
      </c>
      <c r="J324" s="1">
        <v>12</v>
      </c>
      <c r="K324" s="1">
        <v>80047</v>
      </c>
      <c r="L324" s="7" t="str">
        <f t="shared" si="5"/>
        <v>306976466271280047</v>
      </c>
      <c r="M324" s="5">
        <v>21</v>
      </c>
      <c r="N324" s="5">
        <v>0</v>
      </c>
      <c r="O324" s="5">
        <v>3442033.92</v>
      </c>
      <c r="P324" s="5">
        <v>722827.12</v>
      </c>
      <c r="Q324" s="5">
        <v>4268122.0599999996</v>
      </c>
      <c r="R324" s="1" t="s">
        <v>15</v>
      </c>
      <c r="S324" s="5">
        <v>0</v>
      </c>
      <c r="T324">
        <f>VLOOKUP(L324,'MIS COMPROBANTES'!E:Q,13,0)</f>
        <v>4268122.0599999996</v>
      </c>
    </row>
    <row r="325" spans="1:20" x14ac:dyDescent="0.3">
      <c r="A325" s="3">
        <v>45433</v>
      </c>
      <c r="B325" s="1" t="s">
        <v>255</v>
      </c>
      <c r="C325" s="1" t="s">
        <v>256</v>
      </c>
      <c r="D325" s="1" t="s">
        <v>18</v>
      </c>
      <c r="E325" s="1" t="s">
        <v>696</v>
      </c>
      <c r="F325" s="4">
        <v>12006</v>
      </c>
      <c r="G325" s="1" t="s">
        <v>19</v>
      </c>
      <c r="H325" s="1" t="s">
        <v>422</v>
      </c>
      <c r="I325" s="1" t="s">
        <v>757</v>
      </c>
      <c r="J325" s="1">
        <v>12</v>
      </c>
      <c r="K325" s="1">
        <v>80047</v>
      </c>
      <c r="L325" s="7" t="str">
        <f t="shared" si="5"/>
        <v>306976466271280047</v>
      </c>
      <c r="M325" s="5">
        <v>3</v>
      </c>
      <c r="N325" s="5">
        <v>0</v>
      </c>
      <c r="O325" s="5">
        <v>0</v>
      </c>
      <c r="P325" s="5">
        <v>103261.02</v>
      </c>
      <c r="Q325" s="5">
        <v>0</v>
      </c>
      <c r="R325" s="1" t="s">
        <v>15</v>
      </c>
      <c r="S325" s="5">
        <v>0</v>
      </c>
      <c r="T325">
        <f>VLOOKUP(L325,'MIS COMPROBANTES'!E:Q,13,0)</f>
        <v>4268122.0599999996</v>
      </c>
    </row>
    <row r="326" spans="1:20" x14ac:dyDescent="0.3">
      <c r="A326" s="3">
        <v>45433</v>
      </c>
      <c r="B326" s="1" t="s">
        <v>229</v>
      </c>
      <c r="C326" s="1" t="s">
        <v>230</v>
      </c>
      <c r="D326" s="1" t="s">
        <v>18</v>
      </c>
      <c r="E326" s="1" t="s">
        <v>689</v>
      </c>
      <c r="F326" s="4">
        <v>12007</v>
      </c>
      <c r="G326" s="1" t="s">
        <v>19</v>
      </c>
      <c r="H326" s="1" t="s">
        <v>423</v>
      </c>
      <c r="I326" s="1" t="s">
        <v>757</v>
      </c>
      <c r="J326" s="1">
        <v>32</v>
      </c>
      <c r="K326" s="1">
        <v>82310</v>
      </c>
      <c r="L326" s="7" t="str">
        <f t="shared" si="5"/>
        <v>305012142793282310</v>
      </c>
      <c r="M326" s="5">
        <v>21</v>
      </c>
      <c r="N326" s="5">
        <v>0</v>
      </c>
      <c r="O326" s="5">
        <v>657611.78</v>
      </c>
      <c r="P326" s="5">
        <v>138098.47</v>
      </c>
      <c r="Q326" s="5">
        <v>848319.19</v>
      </c>
      <c r="R326" s="1" t="s">
        <v>15</v>
      </c>
      <c r="S326" s="5">
        <v>32880.589999999997</v>
      </c>
      <c r="T326">
        <f>VLOOKUP(L326,'MIS COMPROBANTES'!E:Q,13,0)</f>
        <v>848319.19</v>
      </c>
    </row>
    <row r="327" spans="1:20" x14ac:dyDescent="0.3">
      <c r="A327" s="3">
        <v>45433</v>
      </c>
      <c r="B327" s="1" t="s">
        <v>229</v>
      </c>
      <c r="C327" s="1" t="s">
        <v>230</v>
      </c>
      <c r="D327" s="1" t="s">
        <v>18</v>
      </c>
      <c r="E327" s="1" t="s">
        <v>689</v>
      </c>
      <c r="F327" s="4">
        <v>12007</v>
      </c>
      <c r="G327" s="1" t="s">
        <v>19</v>
      </c>
      <c r="H327" s="1" t="s">
        <v>423</v>
      </c>
      <c r="I327" s="1" t="s">
        <v>757</v>
      </c>
      <c r="J327" s="1">
        <v>32</v>
      </c>
      <c r="K327" s="1">
        <v>82310</v>
      </c>
      <c r="L327" s="7" t="str">
        <f t="shared" si="5"/>
        <v>305012142793282310</v>
      </c>
      <c r="M327" s="5">
        <v>3</v>
      </c>
      <c r="N327" s="5">
        <v>0</v>
      </c>
      <c r="O327" s="5">
        <v>0</v>
      </c>
      <c r="P327" s="5">
        <v>19728.349999999999</v>
      </c>
      <c r="Q327" s="5">
        <v>0</v>
      </c>
      <c r="R327" s="1" t="s">
        <v>15</v>
      </c>
      <c r="S327" s="5">
        <v>0</v>
      </c>
      <c r="T327">
        <f>VLOOKUP(L327,'MIS COMPROBANTES'!E:Q,13,0)</f>
        <v>848319.19</v>
      </c>
    </row>
    <row r="328" spans="1:20" x14ac:dyDescent="0.3">
      <c r="A328" s="3">
        <v>45433</v>
      </c>
      <c r="B328" s="1" t="s">
        <v>82</v>
      </c>
      <c r="C328" s="1" t="s">
        <v>83</v>
      </c>
      <c r="D328" s="1" t="s">
        <v>18</v>
      </c>
      <c r="E328" s="1" t="s">
        <v>652</v>
      </c>
      <c r="F328" s="4">
        <v>12099</v>
      </c>
      <c r="G328" s="1" t="s">
        <v>19</v>
      </c>
      <c r="H328" s="1" t="s">
        <v>424</v>
      </c>
      <c r="I328" s="1" t="s">
        <v>757</v>
      </c>
      <c r="J328" s="1">
        <v>46</v>
      </c>
      <c r="K328" s="1">
        <v>401309</v>
      </c>
      <c r="L328" s="7" t="str">
        <f t="shared" si="5"/>
        <v>3053214979346401309</v>
      </c>
      <c r="M328" s="5">
        <v>21</v>
      </c>
      <c r="N328" s="5">
        <v>0</v>
      </c>
      <c r="O328" s="5">
        <v>1057800</v>
      </c>
      <c r="P328" s="5">
        <v>222138</v>
      </c>
      <c r="Q328" s="5">
        <v>1332828</v>
      </c>
      <c r="R328" s="1" t="s">
        <v>15</v>
      </c>
      <c r="S328" s="5">
        <v>21156</v>
      </c>
      <c r="T328">
        <f>VLOOKUP(L328,'MIS COMPROBANTES'!E:Q,13,0)</f>
        <v>1332828</v>
      </c>
    </row>
    <row r="329" spans="1:20" x14ac:dyDescent="0.3">
      <c r="A329" s="3">
        <v>45433</v>
      </c>
      <c r="B329" s="1" t="s">
        <v>82</v>
      </c>
      <c r="C329" s="1" t="s">
        <v>83</v>
      </c>
      <c r="D329" s="1" t="s">
        <v>18</v>
      </c>
      <c r="E329" s="1" t="s">
        <v>652</v>
      </c>
      <c r="F329" s="4">
        <v>12099</v>
      </c>
      <c r="G329" s="1" t="s">
        <v>19</v>
      </c>
      <c r="H329" s="1" t="s">
        <v>424</v>
      </c>
      <c r="I329" s="1" t="s">
        <v>757</v>
      </c>
      <c r="J329" s="1">
        <v>46</v>
      </c>
      <c r="K329" s="1">
        <v>401309</v>
      </c>
      <c r="L329" s="7" t="str">
        <f t="shared" si="5"/>
        <v>3053214979346401309</v>
      </c>
      <c r="M329" s="5">
        <v>3</v>
      </c>
      <c r="N329" s="5">
        <v>0</v>
      </c>
      <c r="O329" s="5">
        <v>0</v>
      </c>
      <c r="P329" s="5">
        <v>31734</v>
      </c>
      <c r="Q329" s="5">
        <v>0</v>
      </c>
      <c r="R329" s="1" t="s">
        <v>15</v>
      </c>
      <c r="S329" s="5">
        <v>0</v>
      </c>
      <c r="T329">
        <f>VLOOKUP(L329,'MIS COMPROBANTES'!E:Q,13,0)</f>
        <v>1332828</v>
      </c>
    </row>
    <row r="330" spans="1:20" x14ac:dyDescent="0.3">
      <c r="A330" s="3">
        <v>45433</v>
      </c>
      <c r="B330" s="1" t="s">
        <v>82</v>
      </c>
      <c r="C330" s="1" t="s">
        <v>83</v>
      </c>
      <c r="D330" s="1" t="s">
        <v>18</v>
      </c>
      <c r="E330" s="1" t="s">
        <v>652</v>
      </c>
      <c r="F330" s="4">
        <v>12100</v>
      </c>
      <c r="G330" s="1" t="s">
        <v>19</v>
      </c>
      <c r="H330" s="1" t="s">
        <v>425</v>
      </c>
      <c r="I330" s="1" t="s">
        <v>757</v>
      </c>
      <c r="J330" s="1">
        <v>46</v>
      </c>
      <c r="K330" s="1">
        <v>401310</v>
      </c>
      <c r="L330" s="7" t="str">
        <f t="shared" si="5"/>
        <v>3053214979346401310</v>
      </c>
      <c r="M330" s="5">
        <v>21</v>
      </c>
      <c r="N330" s="5">
        <v>0</v>
      </c>
      <c r="O330" s="5">
        <v>345000</v>
      </c>
      <c r="P330" s="5">
        <v>72450</v>
      </c>
      <c r="Q330" s="5">
        <v>434700</v>
      </c>
      <c r="R330" s="1" t="s">
        <v>15</v>
      </c>
      <c r="S330" s="5">
        <v>6900</v>
      </c>
      <c r="T330">
        <f>VLOOKUP(L330,'MIS COMPROBANTES'!E:Q,13,0)</f>
        <v>434700</v>
      </c>
    </row>
    <row r="331" spans="1:20" x14ac:dyDescent="0.3">
      <c r="A331" s="3">
        <v>45433</v>
      </c>
      <c r="B331" s="1" t="s">
        <v>82</v>
      </c>
      <c r="C331" s="1" t="s">
        <v>83</v>
      </c>
      <c r="D331" s="1" t="s">
        <v>18</v>
      </c>
      <c r="E331" s="1" t="s">
        <v>652</v>
      </c>
      <c r="F331" s="4">
        <v>12100</v>
      </c>
      <c r="G331" s="1" t="s">
        <v>19</v>
      </c>
      <c r="H331" s="1" t="s">
        <v>425</v>
      </c>
      <c r="I331" s="1" t="s">
        <v>757</v>
      </c>
      <c r="J331" s="1">
        <v>46</v>
      </c>
      <c r="K331" s="1">
        <v>401310</v>
      </c>
      <c r="L331" s="7" t="str">
        <f t="shared" si="5"/>
        <v>3053214979346401310</v>
      </c>
      <c r="M331" s="5">
        <v>3</v>
      </c>
      <c r="N331" s="5">
        <v>0</v>
      </c>
      <c r="O331" s="5">
        <v>0</v>
      </c>
      <c r="P331" s="5">
        <v>10350</v>
      </c>
      <c r="Q331" s="5">
        <v>0</v>
      </c>
      <c r="R331" s="1" t="s">
        <v>15</v>
      </c>
      <c r="S331" s="5">
        <v>0</v>
      </c>
      <c r="T331">
        <f>VLOOKUP(L331,'MIS COMPROBANTES'!E:Q,13,0)</f>
        <v>434700</v>
      </c>
    </row>
    <row r="332" spans="1:20" x14ac:dyDescent="0.3">
      <c r="A332" s="3">
        <v>45433</v>
      </c>
      <c r="B332" s="1" t="s">
        <v>91</v>
      </c>
      <c r="C332" s="1" t="s">
        <v>92</v>
      </c>
      <c r="D332" s="1" t="s">
        <v>18</v>
      </c>
      <c r="E332" s="1" t="s">
        <v>654</v>
      </c>
      <c r="F332" s="4">
        <v>12008</v>
      </c>
      <c r="G332" s="1" t="s">
        <v>19</v>
      </c>
      <c r="H332" s="1" t="s">
        <v>426</v>
      </c>
      <c r="I332" s="1" t="s">
        <v>757</v>
      </c>
      <c r="J332" s="1">
        <v>1001</v>
      </c>
      <c r="K332" s="1">
        <v>236270</v>
      </c>
      <c r="L332" s="7" t="str">
        <f t="shared" si="5"/>
        <v>305866115221001236270</v>
      </c>
      <c r="M332" s="5">
        <v>21</v>
      </c>
      <c r="N332" s="5">
        <v>0</v>
      </c>
      <c r="O332" s="5">
        <v>7021200</v>
      </c>
      <c r="P332" s="5">
        <v>1474452</v>
      </c>
      <c r="Q332" s="5">
        <v>9057348</v>
      </c>
      <c r="R332" s="1" t="s">
        <v>15</v>
      </c>
      <c r="S332" s="5">
        <v>351060</v>
      </c>
      <c r="T332">
        <f>VLOOKUP(L332,'MIS COMPROBANTES'!E:Q,13,0)</f>
        <v>9057348</v>
      </c>
    </row>
    <row r="333" spans="1:20" x14ac:dyDescent="0.3">
      <c r="A333" s="3">
        <v>45433</v>
      </c>
      <c r="B333" s="1" t="s">
        <v>91</v>
      </c>
      <c r="C333" s="1" t="s">
        <v>92</v>
      </c>
      <c r="D333" s="1" t="s">
        <v>18</v>
      </c>
      <c r="E333" s="1" t="s">
        <v>654</v>
      </c>
      <c r="F333" s="4">
        <v>12008</v>
      </c>
      <c r="G333" s="1" t="s">
        <v>19</v>
      </c>
      <c r="H333" s="1" t="s">
        <v>426</v>
      </c>
      <c r="I333" s="1" t="s">
        <v>757</v>
      </c>
      <c r="J333" s="1">
        <v>1001</v>
      </c>
      <c r="K333" s="1">
        <v>236270</v>
      </c>
      <c r="L333" s="7" t="str">
        <f t="shared" si="5"/>
        <v>305866115221001236270</v>
      </c>
      <c r="M333" s="5">
        <v>3</v>
      </c>
      <c r="N333" s="5">
        <v>0</v>
      </c>
      <c r="O333" s="5">
        <v>0</v>
      </c>
      <c r="P333" s="5">
        <v>210636</v>
      </c>
      <c r="Q333" s="5">
        <v>0</v>
      </c>
      <c r="R333" s="1" t="s">
        <v>15</v>
      </c>
      <c r="S333" s="5">
        <v>0</v>
      </c>
      <c r="T333">
        <f>VLOOKUP(L333,'MIS COMPROBANTES'!E:Q,13,0)</f>
        <v>9057348</v>
      </c>
    </row>
    <row r="334" spans="1:20" x14ac:dyDescent="0.3">
      <c r="A334" s="3">
        <v>45433</v>
      </c>
      <c r="B334" s="1" t="s">
        <v>64</v>
      </c>
      <c r="C334" s="1" t="s">
        <v>65</v>
      </c>
      <c r="D334" s="1" t="s">
        <v>18</v>
      </c>
      <c r="E334" s="1" t="s">
        <v>647</v>
      </c>
      <c r="F334" s="4">
        <v>12154</v>
      </c>
      <c r="G334" s="1" t="s">
        <v>19</v>
      </c>
      <c r="H334" s="1" t="s">
        <v>427</v>
      </c>
      <c r="I334" s="1" t="s">
        <v>757</v>
      </c>
      <c r="J334" s="1">
        <v>2002</v>
      </c>
      <c r="K334" s="1">
        <v>287766</v>
      </c>
      <c r="L334" s="7" t="str">
        <f t="shared" si="5"/>
        <v>305007682622002287766</v>
      </c>
      <c r="M334" s="5">
        <v>21</v>
      </c>
      <c r="N334" s="5">
        <v>0</v>
      </c>
      <c r="O334" s="5">
        <v>7027679.3700000001</v>
      </c>
      <c r="P334" s="5">
        <v>1475812.67</v>
      </c>
      <c r="Q334" s="5">
        <v>9065706.3900000006</v>
      </c>
      <c r="R334" s="1" t="s">
        <v>15</v>
      </c>
      <c r="S334" s="5">
        <v>351383.97</v>
      </c>
      <c r="T334">
        <f>VLOOKUP(L334,'MIS COMPROBANTES'!E:Q,13,0)</f>
        <v>9065706.3900000006</v>
      </c>
    </row>
    <row r="335" spans="1:20" x14ac:dyDescent="0.3">
      <c r="A335" s="3">
        <v>45433</v>
      </c>
      <c r="B335" s="1" t="s">
        <v>64</v>
      </c>
      <c r="C335" s="1" t="s">
        <v>65</v>
      </c>
      <c r="D335" s="1" t="s">
        <v>18</v>
      </c>
      <c r="E335" s="1" t="s">
        <v>647</v>
      </c>
      <c r="F335" s="4">
        <v>12154</v>
      </c>
      <c r="G335" s="1" t="s">
        <v>19</v>
      </c>
      <c r="H335" s="1" t="s">
        <v>427</v>
      </c>
      <c r="I335" s="1" t="s">
        <v>757</v>
      </c>
      <c r="J335" s="1">
        <v>2002</v>
      </c>
      <c r="K335" s="1">
        <v>287766</v>
      </c>
      <c r="L335" s="7" t="str">
        <f t="shared" si="5"/>
        <v>305007682622002287766</v>
      </c>
      <c r="M335" s="5">
        <v>3</v>
      </c>
      <c r="N335" s="5">
        <v>0</v>
      </c>
      <c r="O335" s="5">
        <v>0</v>
      </c>
      <c r="P335" s="5">
        <v>210830.38</v>
      </c>
      <c r="Q335" s="5">
        <v>0</v>
      </c>
      <c r="R335" s="1" t="s">
        <v>15</v>
      </c>
      <c r="S335" s="5">
        <v>0</v>
      </c>
      <c r="T335">
        <f>VLOOKUP(L335,'MIS COMPROBANTES'!E:Q,13,0)</f>
        <v>9065706.3900000006</v>
      </c>
    </row>
    <row r="336" spans="1:20" x14ac:dyDescent="0.3">
      <c r="A336" s="3">
        <v>45433</v>
      </c>
      <c r="B336" s="1" t="s">
        <v>64</v>
      </c>
      <c r="C336" s="1" t="s">
        <v>65</v>
      </c>
      <c r="D336" s="1" t="s">
        <v>18</v>
      </c>
      <c r="E336" s="1" t="s">
        <v>647</v>
      </c>
      <c r="F336" s="4">
        <v>12153</v>
      </c>
      <c r="G336" s="1" t="s">
        <v>19</v>
      </c>
      <c r="H336" s="1" t="s">
        <v>428</v>
      </c>
      <c r="I336" s="1" t="s">
        <v>757</v>
      </c>
      <c r="J336" s="1">
        <v>2002</v>
      </c>
      <c r="K336" s="1">
        <v>287829</v>
      </c>
      <c r="L336" s="7" t="str">
        <f t="shared" si="5"/>
        <v>305007682622002287829</v>
      </c>
      <c r="M336" s="5">
        <v>21</v>
      </c>
      <c r="N336" s="5">
        <v>0</v>
      </c>
      <c r="O336" s="5">
        <v>2065190.78</v>
      </c>
      <c r="P336" s="5">
        <v>433690.07</v>
      </c>
      <c r="Q336" s="5">
        <v>2664096.12</v>
      </c>
      <c r="R336" s="1" t="s">
        <v>15</v>
      </c>
      <c r="S336" s="5">
        <v>103259.54</v>
      </c>
      <c r="T336">
        <f>VLOOKUP(L336,'MIS COMPROBANTES'!E:Q,13,0)</f>
        <v>2664096.12</v>
      </c>
    </row>
    <row r="337" spans="1:20" x14ac:dyDescent="0.3">
      <c r="A337" s="3">
        <v>45433</v>
      </c>
      <c r="B337" s="1" t="s">
        <v>64</v>
      </c>
      <c r="C337" s="1" t="s">
        <v>65</v>
      </c>
      <c r="D337" s="1" t="s">
        <v>18</v>
      </c>
      <c r="E337" s="1" t="s">
        <v>647</v>
      </c>
      <c r="F337" s="4">
        <v>12153</v>
      </c>
      <c r="G337" s="1" t="s">
        <v>19</v>
      </c>
      <c r="H337" s="1" t="s">
        <v>428</v>
      </c>
      <c r="I337" s="1" t="s">
        <v>757</v>
      </c>
      <c r="J337" s="1">
        <v>2002</v>
      </c>
      <c r="K337" s="1">
        <v>287829</v>
      </c>
      <c r="L337" s="7" t="str">
        <f t="shared" si="5"/>
        <v>305007682622002287829</v>
      </c>
      <c r="M337" s="5">
        <v>3</v>
      </c>
      <c r="N337" s="5">
        <v>0</v>
      </c>
      <c r="O337" s="5">
        <v>0</v>
      </c>
      <c r="P337" s="5">
        <v>61955.73</v>
      </c>
      <c r="Q337" s="5">
        <v>0</v>
      </c>
      <c r="R337" s="1" t="s">
        <v>15</v>
      </c>
      <c r="S337" s="5">
        <v>0</v>
      </c>
      <c r="T337">
        <f>VLOOKUP(L337,'MIS COMPROBANTES'!E:Q,13,0)</f>
        <v>2664096.12</v>
      </c>
    </row>
    <row r="338" spans="1:20" x14ac:dyDescent="0.3">
      <c r="A338" s="3">
        <v>45433</v>
      </c>
      <c r="B338" s="1" t="s">
        <v>236</v>
      </c>
      <c r="C338" s="1" t="s">
        <v>237</v>
      </c>
      <c r="D338" s="1" t="s">
        <v>18</v>
      </c>
      <c r="E338" s="1" t="s">
        <v>691</v>
      </c>
      <c r="F338" s="4">
        <v>12027</v>
      </c>
      <c r="G338" s="1" t="s">
        <v>19</v>
      </c>
      <c r="H338" s="1" t="s">
        <v>429</v>
      </c>
      <c r="I338" s="1" t="s">
        <v>757</v>
      </c>
      <c r="J338" s="1">
        <v>6004</v>
      </c>
      <c r="K338" s="1">
        <v>3628448</v>
      </c>
      <c r="L338" s="7" t="str">
        <f t="shared" si="5"/>
        <v>3050111624260043628448</v>
      </c>
      <c r="M338" s="5">
        <v>21</v>
      </c>
      <c r="N338" s="5">
        <v>0</v>
      </c>
      <c r="O338" s="5">
        <v>1235245.28</v>
      </c>
      <c r="P338" s="5">
        <v>259401.51</v>
      </c>
      <c r="Q338" s="5">
        <v>1556409.06</v>
      </c>
      <c r="R338" s="1" t="s">
        <v>15</v>
      </c>
      <c r="S338" s="5">
        <v>24704.91</v>
      </c>
      <c r="T338">
        <f>VLOOKUP(L338,'MIS COMPROBANTES'!E:Q,13,0)</f>
        <v>1556409.06</v>
      </c>
    </row>
    <row r="339" spans="1:20" x14ac:dyDescent="0.3">
      <c r="A339" s="3">
        <v>45433</v>
      </c>
      <c r="B339" s="1" t="s">
        <v>236</v>
      </c>
      <c r="C339" s="1" t="s">
        <v>237</v>
      </c>
      <c r="D339" s="1" t="s">
        <v>18</v>
      </c>
      <c r="E339" s="1" t="s">
        <v>691</v>
      </c>
      <c r="F339" s="4">
        <v>12027</v>
      </c>
      <c r="G339" s="1" t="s">
        <v>19</v>
      </c>
      <c r="H339" s="1" t="s">
        <v>429</v>
      </c>
      <c r="I339" s="1" t="s">
        <v>757</v>
      </c>
      <c r="J339" s="1">
        <v>6004</v>
      </c>
      <c r="K339" s="1">
        <v>3628448</v>
      </c>
      <c r="L339" s="7" t="str">
        <f t="shared" si="5"/>
        <v>3050111624260043628448</v>
      </c>
      <c r="M339" s="5">
        <v>3</v>
      </c>
      <c r="N339" s="5">
        <v>0</v>
      </c>
      <c r="O339" s="5">
        <v>0</v>
      </c>
      <c r="P339" s="5">
        <v>37057.360000000001</v>
      </c>
      <c r="Q339" s="5">
        <v>0</v>
      </c>
      <c r="R339" s="1" t="s">
        <v>15</v>
      </c>
      <c r="S339" s="5">
        <v>0</v>
      </c>
      <c r="T339">
        <f>VLOOKUP(L339,'MIS COMPROBANTES'!E:Q,13,0)</f>
        <v>1556409.06</v>
      </c>
    </row>
    <row r="340" spans="1:20" x14ac:dyDescent="0.3">
      <c r="A340" s="3">
        <v>45433</v>
      </c>
      <c r="B340" s="1" t="s">
        <v>41</v>
      </c>
      <c r="C340" s="1" t="s">
        <v>42</v>
      </c>
      <c r="D340" s="1" t="s">
        <v>18</v>
      </c>
      <c r="E340" s="1" t="s">
        <v>640</v>
      </c>
      <c r="F340" s="4">
        <v>12029</v>
      </c>
      <c r="G340" s="1" t="s">
        <v>19</v>
      </c>
      <c r="H340" s="1" t="s">
        <v>430</v>
      </c>
      <c r="I340" s="1" t="s">
        <v>757</v>
      </c>
      <c r="J340" s="1">
        <v>6156</v>
      </c>
      <c r="K340" s="1">
        <v>6772292</v>
      </c>
      <c r="L340" s="7" t="str">
        <f t="shared" si="5"/>
        <v>3054724233161566772292</v>
      </c>
      <c r="M340" s="5">
        <v>21</v>
      </c>
      <c r="N340" s="5">
        <v>0</v>
      </c>
      <c r="O340" s="5">
        <v>294436.89</v>
      </c>
      <c r="P340" s="5">
        <v>61831.75</v>
      </c>
      <c r="Q340" s="5">
        <v>370990.49</v>
      </c>
      <c r="R340" s="1" t="s">
        <v>15</v>
      </c>
      <c r="S340" s="5">
        <v>5888.74</v>
      </c>
      <c r="T340">
        <f>VLOOKUP(L340,'MIS COMPROBANTES'!E:Q,13,0)</f>
        <v>370990.49</v>
      </c>
    </row>
    <row r="341" spans="1:20" x14ac:dyDescent="0.3">
      <c r="A341" s="3">
        <v>45433</v>
      </c>
      <c r="B341" s="1" t="s">
        <v>41</v>
      </c>
      <c r="C341" s="1" t="s">
        <v>42</v>
      </c>
      <c r="D341" s="1" t="s">
        <v>18</v>
      </c>
      <c r="E341" s="1" t="s">
        <v>640</v>
      </c>
      <c r="F341" s="4">
        <v>12029</v>
      </c>
      <c r="G341" s="1" t="s">
        <v>19</v>
      </c>
      <c r="H341" s="1" t="s">
        <v>430</v>
      </c>
      <c r="I341" s="1" t="s">
        <v>757</v>
      </c>
      <c r="J341" s="1">
        <v>6156</v>
      </c>
      <c r="K341" s="1">
        <v>6772292</v>
      </c>
      <c r="L341" s="7" t="str">
        <f t="shared" si="5"/>
        <v>3054724233161566772292</v>
      </c>
      <c r="M341" s="5">
        <v>3</v>
      </c>
      <c r="N341" s="5">
        <v>0</v>
      </c>
      <c r="O341" s="5">
        <v>0</v>
      </c>
      <c r="P341" s="5">
        <v>8833.11</v>
      </c>
      <c r="Q341" s="5">
        <v>0</v>
      </c>
      <c r="R341" s="1" t="s">
        <v>15</v>
      </c>
      <c r="S341" s="5">
        <v>0</v>
      </c>
      <c r="T341">
        <f>VLOOKUP(L341,'MIS COMPROBANTES'!E:Q,13,0)</f>
        <v>370990.49</v>
      </c>
    </row>
    <row r="342" spans="1:20" x14ac:dyDescent="0.3">
      <c r="A342" s="3">
        <v>45434</v>
      </c>
      <c r="B342" s="1" t="s">
        <v>401</v>
      </c>
      <c r="C342" s="1" t="s">
        <v>402</v>
      </c>
      <c r="D342" s="1" t="s">
        <v>18</v>
      </c>
      <c r="E342" s="1" t="s">
        <v>719</v>
      </c>
      <c r="F342" s="4">
        <v>12188</v>
      </c>
      <c r="G342" s="1" t="s">
        <v>19</v>
      </c>
      <c r="H342" s="1" t="s">
        <v>431</v>
      </c>
      <c r="I342" s="1" t="s">
        <v>757</v>
      </c>
      <c r="J342" s="1">
        <v>3</v>
      </c>
      <c r="K342" s="1">
        <v>63492</v>
      </c>
      <c r="L342" s="7" t="str">
        <f t="shared" si="5"/>
        <v>33629749239363492</v>
      </c>
      <c r="M342" s="5">
        <v>21</v>
      </c>
      <c r="N342" s="5">
        <v>0</v>
      </c>
      <c r="O342" s="5">
        <v>580933.16</v>
      </c>
      <c r="P342" s="5">
        <v>121995.96</v>
      </c>
      <c r="Q342" s="5">
        <v>714547.78</v>
      </c>
      <c r="R342" s="1" t="s">
        <v>15</v>
      </c>
      <c r="S342" s="5">
        <v>11618.66</v>
      </c>
      <c r="T342">
        <f>VLOOKUP(L342,'MIS COMPROBANTES'!E:Q,13,0)</f>
        <v>714547.78</v>
      </c>
    </row>
    <row r="343" spans="1:20" x14ac:dyDescent="0.3">
      <c r="A343" s="3">
        <v>45434</v>
      </c>
      <c r="B343" s="1" t="s">
        <v>38</v>
      </c>
      <c r="C343" s="1" t="s">
        <v>39</v>
      </c>
      <c r="D343" s="1" t="s">
        <v>18</v>
      </c>
      <c r="E343" s="1" t="s">
        <v>639</v>
      </c>
      <c r="F343" s="4">
        <v>12162</v>
      </c>
      <c r="G343" s="1" t="s">
        <v>19</v>
      </c>
      <c r="H343" s="1" t="s">
        <v>432</v>
      </c>
      <c r="I343" s="1" t="s">
        <v>757</v>
      </c>
      <c r="J343" s="1">
        <v>5</v>
      </c>
      <c r="K343" s="1">
        <v>3038074</v>
      </c>
      <c r="L343" s="7" t="str">
        <f t="shared" si="5"/>
        <v>3070265297553038074</v>
      </c>
      <c r="M343" s="5">
        <v>21</v>
      </c>
      <c r="N343" s="5">
        <v>0</v>
      </c>
      <c r="O343" s="5">
        <v>178.65</v>
      </c>
      <c r="P343" s="5">
        <v>37.520000000000003</v>
      </c>
      <c r="Q343" s="5">
        <v>216.17</v>
      </c>
      <c r="R343" s="1" t="s">
        <v>15</v>
      </c>
      <c r="S343" s="5">
        <v>0</v>
      </c>
      <c r="T343">
        <f>VLOOKUP(L343,'MIS COMPROBANTES'!E:Q,13,0)</f>
        <v>216.17</v>
      </c>
    </row>
    <row r="344" spans="1:20" x14ac:dyDescent="0.3">
      <c r="A344" s="3">
        <v>45434</v>
      </c>
      <c r="B344" s="1" t="s">
        <v>38</v>
      </c>
      <c r="C344" s="1" t="s">
        <v>39</v>
      </c>
      <c r="D344" s="1" t="s">
        <v>18</v>
      </c>
      <c r="E344" s="1" t="s">
        <v>639</v>
      </c>
      <c r="F344" s="4">
        <v>12161</v>
      </c>
      <c r="G344" s="1" t="s">
        <v>19</v>
      </c>
      <c r="H344" s="1" t="s">
        <v>433</v>
      </c>
      <c r="I344" s="1" t="s">
        <v>757</v>
      </c>
      <c r="J344" s="1">
        <v>5</v>
      </c>
      <c r="K344" s="1">
        <v>3038075</v>
      </c>
      <c r="L344" s="7" t="str">
        <f t="shared" si="5"/>
        <v>3070265297553038075</v>
      </c>
      <c r="M344" s="5">
        <v>21</v>
      </c>
      <c r="N344" s="5">
        <v>0</v>
      </c>
      <c r="O344" s="5">
        <v>217320</v>
      </c>
      <c r="P344" s="5">
        <v>45637.2</v>
      </c>
      <c r="Q344" s="5">
        <v>269476.8</v>
      </c>
      <c r="R344" s="1" t="s">
        <v>15</v>
      </c>
      <c r="S344" s="5">
        <v>6519.6</v>
      </c>
      <c r="T344">
        <f>VLOOKUP(L344,'MIS COMPROBANTES'!E:Q,13,0)</f>
        <v>269476.8</v>
      </c>
    </row>
    <row r="345" spans="1:20" x14ac:dyDescent="0.3">
      <c r="A345" s="3">
        <v>45434</v>
      </c>
      <c r="B345" s="1" t="s">
        <v>434</v>
      </c>
      <c r="C345" s="1" t="s">
        <v>435</v>
      </c>
      <c r="D345" s="1" t="s">
        <v>18</v>
      </c>
      <c r="E345" s="1" t="s">
        <v>724</v>
      </c>
      <c r="F345" s="4">
        <v>12276</v>
      </c>
      <c r="G345" s="1" t="s">
        <v>19</v>
      </c>
      <c r="H345" s="1" t="s">
        <v>436</v>
      </c>
      <c r="I345" s="1" t="s">
        <v>757</v>
      </c>
      <c r="J345" s="1">
        <v>7</v>
      </c>
      <c r="K345" s="1">
        <v>2368</v>
      </c>
      <c r="L345" s="7" t="str">
        <f t="shared" si="5"/>
        <v>3071583023672368</v>
      </c>
      <c r="M345" s="5">
        <v>21</v>
      </c>
      <c r="N345" s="5">
        <v>0</v>
      </c>
      <c r="O345" s="5">
        <v>229760</v>
      </c>
      <c r="P345" s="5">
        <v>48249.599999999999</v>
      </c>
      <c r="Q345" s="5">
        <v>278009.59999999998</v>
      </c>
      <c r="R345" s="1" t="s">
        <v>437</v>
      </c>
      <c r="S345" s="5">
        <v>0</v>
      </c>
      <c r="T345">
        <f>VLOOKUP(L345,'MIS COMPROBANTES'!E:Q,13,0)</f>
        <v>278009.59999999998</v>
      </c>
    </row>
    <row r="346" spans="1:20" x14ac:dyDescent="0.3">
      <c r="A346" s="3">
        <v>45434</v>
      </c>
      <c r="B346" s="1" t="s">
        <v>438</v>
      </c>
      <c r="C346" s="1" t="s">
        <v>439</v>
      </c>
      <c r="D346" s="1" t="s">
        <v>18</v>
      </c>
      <c r="E346" s="1" t="s">
        <v>725</v>
      </c>
      <c r="F346" s="4">
        <v>12238</v>
      </c>
      <c r="G346" s="1" t="s">
        <v>19</v>
      </c>
      <c r="H346" s="1" t="s">
        <v>440</v>
      </c>
      <c r="I346" s="1" t="s">
        <v>757</v>
      </c>
      <c r="J346" s="1">
        <v>9</v>
      </c>
      <c r="K346" s="1">
        <v>1823</v>
      </c>
      <c r="L346" s="7" t="str">
        <f t="shared" si="5"/>
        <v>3071572965991823</v>
      </c>
      <c r="M346" s="5">
        <v>21</v>
      </c>
      <c r="N346" s="5">
        <v>0</v>
      </c>
      <c r="O346" s="5">
        <v>212160</v>
      </c>
      <c r="P346" s="5">
        <v>44553.599999999999</v>
      </c>
      <c r="Q346" s="5">
        <v>263078.40000000002</v>
      </c>
      <c r="R346" s="1" t="s">
        <v>15</v>
      </c>
      <c r="S346" s="5">
        <v>0</v>
      </c>
      <c r="T346">
        <f>VLOOKUP(L346,'MIS COMPROBANTES'!E:Q,13,0)</f>
        <v>263078.40000000002</v>
      </c>
    </row>
    <row r="347" spans="1:20" x14ac:dyDescent="0.3">
      <c r="A347" s="3">
        <v>45434</v>
      </c>
      <c r="B347" s="1" t="s">
        <v>438</v>
      </c>
      <c r="C347" s="1" t="s">
        <v>439</v>
      </c>
      <c r="D347" s="1" t="s">
        <v>18</v>
      </c>
      <c r="E347" s="1" t="s">
        <v>725</v>
      </c>
      <c r="F347" s="4">
        <v>12238</v>
      </c>
      <c r="G347" s="1" t="s">
        <v>19</v>
      </c>
      <c r="H347" s="1" t="s">
        <v>440</v>
      </c>
      <c r="I347" s="1" t="s">
        <v>757</v>
      </c>
      <c r="J347" s="1">
        <v>9</v>
      </c>
      <c r="K347" s="1">
        <v>1823</v>
      </c>
      <c r="L347" s="7" t="str">
        <f t="shared" si="5"/>
        <v>3071572965991823</v>
      </c>
      <c r="M347" s="5">
        <v>3</v>
      </c>
      <c r="N347" s="5">
        <v>0</v>
      </c>
      <c r="O347" s="5">
        <v>0</v>
      </c>
      <c r="P347" s="5">
        <v>6364.8</v>
      </c>
      <c r="Q347" s="5">
        <v>0</v>
      </c>
      <c r="R347" s="1" t="s">
        <v>15</v>
      </c>
      <c r="S347" s="5">
        <v>0</v>
      </c>
      <c r="T347">
        <f>VLOOKUP(L347,'MIS COMPROBANTES'!E:Q,13,0)</f>
        <v>263078.40000000002</v>
      </c>
    </row>
    <row r="348" spans="1:20" x14ac:dyDescent="0.3">
      <c r="A348" s="3">
        <v>45434</v>
      </c>
      <c r="B348" s="1" t="s">
        <v>225</v>
      </c>
      <c r="C348" s="1" t="s">
        <v>226</v>
      </c>
      <c r="D348" s="1" t="s">
        <v>18</v>
      </c>
      <c r="E348" s="1" t="s">
        <v>688</v>
      </c>
      <c r="F348" s="4">
        <v>12021</v>
      </c>
      <c r="G348" s="1" t="s">
        <v>19</v>
      </c>
      <c r="H348" s="1" t="s">
        <v>441</v>
      </c>
      <c r="I348" s="1" t="s">
        <v>757</v>
      </c>
      <c r="J348" s="1">
        <v>14</v>
      </c>
      <c r="K348" s="1">
        <v>66303</v>
      </c>
      <c r="L348" s="7" t="str">
        <f t="shared" si="5"/>
        <v>306026087901466303</v>
      </c>
      <c r="M348" s="5">
        <v>21</v>
      </c>
      <c r="N348" s="5">
        <v>0</v>
      </c>
      <c r="O348" s="5">
        <v>908946.5</v>
      </c>
      <c r="P348" s="5">
        <v>190878.77</v>
      </c>
      <c r="Q348" s="5">
        <v>1149817.33</v>
      </c>
      <c r="R348" s="1" t="s">
        <v>15</v>
      </c>
      <c r="S348" s="5">
        <v>49992.06</v>
      </c>
      <c r="T348">
        <f>VLOOKUP(L348,'MIS COMPROBANTES'!E:Q,13,0)</f>
        <v>1149817.33</v>
      </c>
    </row>
    <row r="349" spans="1:20" x14ac:dyDescent="0.3">
      <c r="A349" s="3">
        <v>45434</v>
      </c>
      <c r="B349" s="1" t="s">
        <v>442</v>
      </c>
      <c r="C349" s="1" t="s">
        <v>443</v>
      </c>
      <c r="D349" s="1" t="s">
        <v>18</v>
      </c>
      <c r="E349" s="1" t="s">
        <v>726</v>
      </c>
      <c r="F349" s="4">
        <v>12095</v>
      </c>
      <c r="G349" s="1" t="s">
        <v>19</v>
      </c>
      <c r="H349" s="1" t="s">
        <v>445</v>
      </c>
      <c r="I349" s="1" t="s">
        <v>757</v>
      </c>
      <c r="J349" s="1">
        <v>43</v>
      </c>
      <c r="K349" s="1">
        <v>296231</v>
      </c>
      <c r="L349" s="7" t="str">
        <f t="shared" si="5"/>
        <v>3050097982443296231</v>
      </c>
      <c r="M349" s="5">
        <v>21</v>
      </c>
      <c r="N349" s="5">
        <v>0</v>
      </c>
      <c r="O349" s="5">
        <v>720071.12</v>
      </c>
      <c r="P349" s="5">
        <v>151214.94</v>
      </c>
      <c r="Q349" s="5">
        <v>928891.74</v>
      </c>
      <c r="R349" s="1" t="s">
        <v>444</v>
      </c>
      <c r="S349" s="5">
        <v>36003.550000000003</v>
      </c>
      <c r="T349">
        <f>VLOOKUP(L349,'MIS COMPROBANTES'!E:Q,13,0)</f>
        <v>928891.74</v>
      </c>
    </row>
    <row r="350" spans="1:20" x14ac:dyDescent="0.3">
      <c r="A350" s="3">
        <v>45434</v>
      </c>
      <c r="B350" s="1" t="s">
        <v>442</v>
      </c>
      <c r="C350" s="1" t="s">
        <v>443</v>
      </c>
      <c r="D350" s="1" t="s">
        <v>18</v>
      </c>
      <c r="E350" s="1" t="s">
        <v>726</v>
      </c>
      <c r="F350" s="4">
        <v>12095</v>
      </c>
      <c r="G350" s="1" t="s">
        <v>19</v>
      </c>
      <c r="H350" s="1" t="s">
        <v>445</v>
      </c>
      <c r="I350" s="1" t="s">
        <v>757</v>
      </c>
      <c r="J350" s="1">
        <v>43</v>
      </c>
      <c r="K350" s="1">
        <v>296231</v>
      </c>
      <c r="L350" s="7" t="str">
        <f t="shared" si="5"/>
        <v>3050097982443296231</v>
      </c>
      <c r="M350" s="5">
        <v>3</v>
      </c>
      <c r="N350" s="5">
        <v>0</v>
      </c>
      <c r="O350" s="5">
        <v>0</v>
      </c>
      <c r="P350" s="5">
        <v>21602.13</v>
      </c>
      <c r="Q350" s="5">
        <v>0</v>
      </c>
      <c r="R350" s="1" t="s">
        <v>444</v>
      </c>
      <c r="S350" s="5">
        <v>0</v>
      </c>
      <c r="T350">
        <f>VLOOKUP(L350,'MIS COMPROBANTES'!E:Q,13,0)</f>
        <v>928891.74</v>
      </c>
    </row>
    <row r="351" spans="1:20" x14ac:dyDescent="0.3">
      <c r="A351" s="3">
        <v>45434</v>
      </c>
      <c r="B351" s="1" t="s">
        <v>135</v>
      </c>
      <c r="C351" s="1" t="s">
        <v>136</v>
      </c>
      <c r="D351" s="1" t="s">
        <v>18</v>
      </c>
      <c r="E351" s="1" t="s">
        <v>666</v>
      </c>
      <c r="F351" s="4">
        <v>12097</v>
      </c>
      <c r="G351" s="1" t="s">
        <v>19</v>
      </c>
      <c r="H351" s="1" t="s">
        <v>446</v>
      </c>
      <c r="I351" s="1" t="s">
        <v>757</v>
      </c>
      <c r="J351" s="1">
        <v>63</v>
      </c>
      <c r="K351" s="1">
        <v>65934</v>
      </c>
      <c r="L351" s="7" t="str">
        <f t="shared" si="5"/>
        <v>305038616386365934</v>
      </c>
      <c r="M351" s="5">
        <v>21</v>
      </c>
      <c r="N351" s="5">
        <v>0</v>
      </c>
      <c r="O351" s="5">
        <v>717279.42</v>
      </c>
      <c r="P351" s="5">
        <v>150628.67000000001</v>
      </c>
      <c r="Q351" s="5">
        <v>903772.06</v>
      </c>
      <c r="R351" s="1" t="s">
        <v>15</v>
      </c>
      <c r="S351" s="5">
        <v>14345.59</v>
      </c>
      <c r="T351">
        <f>VLOOKUP(L351,'MIS COMPROBANTES'!E:Q,13,0)</f>
        <v>903772.06</v>
      </c>
    </row>
    <row r="352" spans="1:20" x14ac:dyDescent="0.3">
      <c r="A352" s="3">
        <v>45434</v>
      </c>
      <c r="B352" s="1" t="s">
        <v>135</v>
      </c>
      <c r="C352" s="1" t="s">
        <v>136</v>
      </c>
      <c r="D352" s="1" t="s">
        <v>18</v>
      </c>
      <c r="E352" s="1" t="s">
        <v>666</v>
      </c>
      <c r="F352" s="4">
        <v>12097</v>
      </c>
      <c r="G352" s="1" t="s">
        <v>19</v>
      </c>
      <c r="H352" s="1" t="s">
        <v>446</v>
      </c>
      <c r="I352" s="1" t="s">
        <v>757</v>
      </c>
      <c r="J352" s="1">
        <v>63</v>
      </c>
      <c r="K352" s="1">
        <v>65934</v>
      </c>
      <c r="L352" s="7" t="str">
        <f t="shared" si="5"/>
        <v>305038616386365934</v>
      </c>
      <c r="M352" s="5">
        <v>3</v>
      </c>
      <c r="N352" s="5">
        <v>0</v>
      </c>
      <c r="O352" s="5">
        <v>0</v>
      </c>
      <c r="P352" s="5">
        <v>21518.38</v>
      </c>
      <c r="Q352" s="5">
        <v>0</v>
      </c>
      <c r="R352" s="1" t="s">
        <v>15</v>
      </c>
      <c r="S352" s="5">
        <v>0</v>
      </c>
      <c r="T352">
        <f>VLOOKUP(L352,'MIS COMPROBANTES'!E:Q,13,0)</f>
        <v>903772.06</v>
      </c>
    </row>
    <row r="353" spans="1:20" x14ac:dyDescent="0.3">
      <c r="A353" s="3">
        <v>45434</v>
      </c>
      <c r="B353" s="1" t="s">
        <v>85</v>
      </c>
      <c r="C353" s="1" t="s">
        <v>86</v>
      </c>
      <c r="D353" s="1" t="s">
        <v>18</v>
      </c>
      <c r="E353" s="1" t="s">
        <v>653</v>
      </c>
      <c r="F353" s="4">
        <v>12038</v>
      </c>
      <c r="G353" s="1" t="s">
        <v>19</v>
      </c>
      <c r="H353" s="1" t="s">
        <v>447</v>
      </c>
      <c r="I353" s="1" t="s">
        <v>757</v>
      </c>
      <c r="J353" s="1">
        <v>218</v>
      </c>
      <c r="K353" s="1">
        <v>161345</v>
      </c>
      <c r="L353" s="7" t="str">
        <f t="shared" si="5"/>
        <v>30501290323218161345</v>
      </c>
      <c r="M353" s="5">
        <v>21</v>
      </c>
      <c r="N353" s="5">
        <v>0</v>
      </c>
      <c r="O353" s="5">
        <v>568526.9</v>
      </c>
      <c r="P353" s="5">
        <v>119390.65</v>
      </c>
      <c r="Q353" s="5">
        <v>733399.71</v>
      </c>
      <c r="R353" s="1" t="s">
        <v>15</v>
      </c>
      <c r="S353" s="5">
        <v>28426.35</v>
      </c>
      <c r="T353">
        <f>VLOOKUP(L353,'MIS COMPROBANTES'!E:Q,13,0)</f>
        <v>733399.71</v>
      </c>
    </row>
    <row r="354" spans="1:20" x14ac:dyDescent="0.3">
      <c r="A354" s="3">
        <v>45434</v>
      </c>
      <c r="B354" s="1" t="s">
        <v>85</v>
      </c>
      <c r="C354" s="1" t="s">
        <v>86</v>
      </c>
      <c r="D354" s="1" t="s">
        <v>18</v>
      </c>
      <c r="E354" s="1" t="s">
        <v>653</v>
      </c>
      <c r="F354" s="4">
        <v>12038</v>
      </c>
      <c r="G354" s="1" t="s">
        <v>19</v>
      </c>
      <c r="H354" s="1" t="s">
        <v>447</v>
      </c>
      <c r="I354" s="1" t="s">
        <v>757</v>
      </c>
      <c r="J354" s="1">
        <v>218</v>
      </c>
      <c r="K354" s="1">
        <v>161345</v>
      </c>
      <c r="L354" s="7" t="str">
        <f t="shared" si="5"/>
        <v>30501290323218161345</v>
      </c>
      <c r="M354" s="5">
        <v>3</v>
      </c>
      <c r="N354" s="5">
        <v>0</v>
      </c>
      <c r="O354" s="5">
        <v>0</v>
      </c>
      <c r="P354" s="5">
        <v>17055.810000000001</v>
      </c>
      <c r="Q354" s="5">
        <v>0</v>
      </c>
      <c r="R354" s="1" t="s">
        <v>15</v>
      </c>
      <c r="S354" s="5">
        <v>0</v>
      </c>
      <c r="T354">
        <f>VLOOKUP(L354,'MIS COMPROBANTES'!E:Q,13,0)</f>
        <v>733399.71</v>
      </c>
    </row>
    <row r="355" spans="1:20" x14ac:dyDescent="0.3">
      <c r="A355" s="3">
        <v>45434</v>
      </c>
      <c r="B355" s="1" t="s">
        <v>85</v>
      </c>
      <c r="C355" s="1" t="s">
        <v>86</v>
      </c>
      <c r="D355" s="1" t="s">
        <v>18</v>
      </c>
      <c r="E355" s="1" t="s">
        <v>653</v>
      </c>
      <c r="F355" s="4">
        <v>12004</v>
      </c>
      <c r="G355" s="1" t="s">
        <v>19</v>
      </c>
      <c r="H355" s="1" t="s">
        <v>448</v>
      </c>
      <c r="I355" s="1" t="s">
        <v>757</v>
      </c>
      <c r="J355" s="1">
        <v>218</v>
      </c>
      <c r="K355" s="1">
        <v>161346</v>
      </c>
      <c r="L355" s="7" t="str">
        <f t="shared" si="5"/>
        <v>30501290323218161346</v>
      </c>
      <c r="M355" s="5">
        <v>21</v>
      </c>
      <c r="N355" s="5">
        <v>0</v>
      </c>
      <c r="O355" s="5">
        <v>3126352.94</v>
      </c>
      <c r="P355" s="5">
        <v>656534.12</v>
      </c>
      <c r="Q355" s="5">
        <v>4032995.3</v>
      </c>
      <c r="R355" s="1" t="s">
        <v>15</v>
      </c>
      <c r="S355" s="5">
        <v>156317.65</v>
      </c>
      <c r="T355">
        <f>VLOOKUP(L355,'MIS COMPROBANTES'!E:Q,13,0)</f>
        <v>4032995.3</v>
      </c>
    </row>
    <row r="356" spans="1:20" x14ac:dyDescent="0.3">
      <c r="A356" s="3">
        <v>45434</v>
      </c>
      <c r="B356" s="1" t="s">
        <v>85</v>
      </c>
      <c r="C356" s="1" t="s">
        <v>86</v>
      </c>
      <c r="D356" s="1" t="s">
        <v>18</v>
      </c>
      <c r="E356" s="1" t="s">
        <v>653</v>
      </c>
      <c r="F356" s="4">
        <v>12004</v>
      </c>
      <c r="G356" s="1" t="s">
        <v>19</v>
      </c>
      <c r="H356" s="1" t="s">
        <v>448</v>
      </c>
      <c r="I356" s="1" t="s">
        <v>757</v>
      </c>
      <c r="J356" s="1">
        <v>218</v>
      </c>
      <c r="K356" s="1">
        <v>161346</v>
      </c>
      <c r="L356" s="7" t="str">
        <f t="shared" si="5"/>
        <v>30501290323218161346</v>
      </c>
      <c r="M356" s="5">
        <v>3</v>
      </c>
      <c r="N356" s="5">
        <v>0</v>
      </c>
      <c r="O356" s="5">
        <v>0</v>
      </c>
      <c r="P356" s="5">
        <v>93790.59</v>
      </c>
      <c r="Q356" s="5">
        <v>0</v>
      </c>
      <c r="R356" s="1" t="s">
        <v>15</v>
      </c>
      <c r="S356" s="5">
        <v>0</v>
      </c>
      <c r="T356">
        <f>VLOOKUP(L356,'MIS COMPROBANTES'!E:Q,13,0)</f>
        <v>4032995.3</v>
      </c>
    </row>
    <row r="357" spans="1:20" x14ac:dyDescent="0.3">
      <c r="A357" s="3">
        <v>45434</v>
      </c>
      <c r="B357" s="1" t="s">
        <v>85</v>
      </c>
      <c r="C357" s="1" t="s">
        <v>86</v>
      </c>
      <c r="D357" s="1" t="s">
        <v>18</v>
      </c>
      <c r="E357" s="1" t="s">
        <v>653</v>
      </c>
      <c r="F357" s="4">
        <v>12005</v>
      </c>
      <c r="G357" s="1" t="s">
        <v>19</v>
      </c>
      <c r="H357" s="1" t="s">
        <v>449</v>
      </c>
      <c r="I357" s="1" t="s">
        <v>757</v>
      </c>
      <c r="J357" s="1">
        <v>218</v>
      </c>
      <c r="K357" s="1">
        <v>161347</v>
      </c>
      <c r="L357" s="7" t="str">
        <f t="shared" si="5"/>
        <v>30501290323218161347</v>
      </c>
      <c r="M357" s="5">
        <v>21</v>
      </c>
      <c r="N357" s="5">
        <v>0</v>
      </c>
      <c r="O357" s="5">
        <v>2930348.82</v>
      </c>
      <c r="P357" s="5">
        <v>615373.25</v>
      </c>
      <c r="Q357" s="5">
        <v>3780149.97</v>
      </c>
      <c r="R357" s="1" t="s">
        <v>15</v>
      </c>
      <c r="S357" s="5">
        <v>146517.44</v>
      </c>
      <c r="T357">
        <f>VLOOKUP(L357,'MIS COMPROBANTES'!E:Q,13,0)</f>
        <v>3780149.97</v>
      </c>
    </row>
    <row r="358" spans="1:20" x14ac:dyDescent="0.3">
      <c r="A358" s="3">
        <v>45434</v>
      </c>
      <c r="B358" s="1" t="s">
        <v>85</v>
      </c>
      <c r="C358" s="1" t="s">
        <v>86</v>
      </c>
      <c r="D358" s="1" t="s">
        <v>18</v>
      </c>
      <c r="E358" s="1" t="s">
        <v>653</v>
      </c>
      <c r="F358" s="4">
        <v>12005</v>
      </c>
      <c r="G358" s="1" t="s">
        <v>19</v>
      </c>
      <c r="H358" s="1" t="s">
        <v>449</v>
      </c>
      <c r="I358" s="1" t="s">
        <v>757</v>
      </c>
      <c r="J358" s="1">
        <v>218</v>
      </c>
      <c r="K358" s="1">
        <v>161347</v>
      </c>
      <c r="L358" s="7" t="str">
        <f t="shared" si="5"/>
        <v>30501290323218161347</v>
      </c>
      <c r="M358" s="5">
        <v>3</v>
      </c>
      <c r="N358" s="5">
        <v>0</v>
      </c>
      <c r="O358" s="5">
        <v>0</v>
      </c>
      <c r="P358" s="5">
        <v>87910.46</v>
      </c>
      <c r="Q358" s="5">
        <v>0</v>
      </c>
      <c r="R358" s="1" t="s">
        <v>15</v>
      </c>
      <c r="S358" s="5">
        <v>0</v>
      </c>
      <c r="T358">
        <f>VLOOKUP(L358,'MIS COMPROBANTES'!E:Q,13,0)</f>
        <v>3780149.97</v>
      </c>
    </row>
    <row r="359" spans="1:20" x14ac:dyDescent="0.3">
      <c r="A359" s="3">
        <v>45434</v>
      </c>
      <c r="B359" s="1" t="s">
        <v>85</v>
      </c>
      <c r="C359" s="1" t="s">
        <v>86</v>
      </c>
      <c r="D359" s="1" t="s">
        <v>18</v>
      </c>
      <c r="E359" s="1" t="s">
        <v>653</v>
      </c>
      <c r="F359" s="4">
        <v>12003</v>
      </c>
      <c r="G359" s="1" t="s">
        <v>19</v>
      </c>
      <c r="H359" s="1" t="s">
        <v>450</v>
      </c>
      <c r="I359" s="1" t="s">
        <v>757</v>
      </c>
      <c r="J359" s="1">
        <v>218</v>
      </c>
      <c r="K359" s="1">
        <v>161348</v>
      </c>
      <c r="L359" s="7" t="str">
        <f t="shared" si="5"/>
        <v>30501290323218161348</v>
      </c>
      <c r="M359" s="5">
        <v>21</v>
      </c>
      <c r="N359" s="5">
        <v>0</v>
      </c>
      <c r="O359" s="5">
        <v>277909.67</v>
      </c>
      <c r="P359" s="5">
        <v>58361.02</v>
      </c>
      <c r="Q359" s="5">
        <v>358503.46</v>
      </c>
      <c r="R359" s="1" t="s">
        <v>15</v>
      </c>
      <c r="S359" s="5">
        <v>13895.48</v>
      </c>
      <c r="T359">
        <f>VLOOKUP(L359,'MIS COMPROBANTES'!E:Q,13,0)</f>
        <v>358503.46</v>
      </c>
    </row>
    <row r="360" spans="1:20" x14ac:dyDescent="0.3">
      <c r="A360" s="3">
        <v>45434</v>
      </c>
      <c r="B360" s="1" t="s">
        <v>85</v>
      </c>
      <c r="C360" s="1" t="s">
        <v>86</v>
      </c>
      <c r="D360" s="1" t="s">
        <v>18</v>
      </c>
      <c r="E360" s="1" t="s">
        <v>653</v>
      </c>
      <c r="F360" s="4">
        <v>12003</v>
      </c>
      <c r="G360" s="1" t="s">
        <v>19</v>
      </c>
      <c r="H360" s="1" t="s">
        <v>450</v>
      </c>
      <c r="I360" s="1" t="s">
        <v>757</v>
      </c>
      <c r="J360" s="1">
        <v>218</v>
      </c>
      <c r="K360" s="1">
        <v>161348</v>
      </c>
      <c r="L360" s="7" t="str">
        <f t="shared" si="5"/>
        <v>30501290323218161348</v>
      </c>
      <c r="M360" s="5">
        <v>3</v>
      </c>
      <c r="N360" s="5">
        <v>0</v>
      </c>
      <c r="O360" s="5">
        <v>0</v>
      </c>
      <c r="P360" s="5">
        <v>8337.2900000000009</v>
      </c>
      <c r="Q360" s="5">
        <v>0</v>
      </c>
      <c r="R360" s="1" t="s">
        <v>15</v>
      </c>
      <c r="S360" s="5">
        <v>0</v>
      </c>
      <c r="T360">
        <f>VLOOKUP(L360,'MIS COMPROBANTES'!E:Q,13,0)</f>
        <v>358503.46</v>
      </c>
    </row>
    <row r="361" spans="1:20" x14ac:dyDescent="0.3">
      <c r="A361" s="3">
        <v>45434</v>
      </c>
      <c r="B361" s="1" t="s">
        <v>258</v>
      </c>
      <c r="C361" s="1" t="s">
        <v>259</v>
      </c>
      <c r="D361" s="1" t="s">
        <v>18</v>
      </c>
      <c r="E361" s="1" t="s">
        <v>697</v>
      </c>
      <c r="F361" s="4">
        <v>12327</v>
      </c>
      <c r="G361" s="1" t="s">
        <v>19</v>
      </c>
      <c r="H361" s="1" t="s">
        <v>451</v>
      </c>
      <c r="I361" s="1" t="s">
        <v>757</v>
      </c>
      <c r="J361" s="1">
        <v>601</v>
      </c>
      <c r="K361" s="1">
        <v>263502</v>
      </c>
      <c r="L361" s="7" t="str">
        <f t="shared" si="5"/>
        <v>30525390086601263502</v>
      </c>
      <c r="M361" s="5">
        <v>21</v>
      </c>
      <c r="N361" s="5">
        <v>37624.550000000003</v>
      </c>
      <c r="O361" s="5">
        <v>559739.93999999994</v>
      </c>
      <c r="P361" s="5">
        <v>117545.39</v>
      </c>
      <c r="Q361" s="5">
        <v>743649.37</v>
      </c>
      <c r="R361" s="1" t="s">
        <v>15</v>
      </c>
      <c r="S361" s="5">
        <v>11947.29</v>
      </c>
      <c r="T361">
        <f>VLOOKUP(L361,'MIS COMPROBANTES'!E:Q,13,0)</f>
        <v>743649.37</v>
      </c>
    </row>
    <row r="362" spans="1:20" x14ac:dyDescent="0.3">
      <c r="A362" s="3">
        <v>45434</v>
      </c>
      <c r="B362" s="1" t="s">
        <v>258</v>
      </c>
      <c r="C362" s="1" t="s">
        <v>259</v>
      </c>
      <c r="D362" s="1" t="s">
        <v>18</v>
      </c>
      <c r="E362" s="1" t="s">
        <v>697</v>
      </c>
      <c r="F362" s="4">
        <v>12327</v>
      </c>
      <c r="G362" s="1" t="s">
        <v>19</v>
      </c>
      <c r="H362" s="1" t="s">
        <v>451</v>
      </c>
      <c r="I362" s="1" t="s">
        <v>757</v>
      </c>
      <c r="J362" s="1">
        <v>601</v>
      </c>
      <c r="K362" s="1">
        <v>263502</v>
      </c>
      <c r="L362" s="7" t="str">
        <f t="shared" si="5"/>
        <v>30525390086601263502</v>
      </c>
      <c r="M362" s="5">
        <v>3</v>
      </c>
      <c r="N362" s="5">
        <v>0</v>
      </c>
      <c r="O362" s="5">
        <v>0</v>
      </c>
      <c r="P362" s="5">
        <v>16792.2</v>
      </c>
      <c r="Q362" s="5">
        <v>0</v>
      </c>
      <c r="R362" s="1" t="s">
        <v>15</v>
      </c>
      <c r="S362" s="5">
        <v>0</v>
      </c>
      <c r="T362">
        <f>VLOOKUP(L362,'MIS COMPROBANTES'!E:Q,13,0)</f>
        <v>743649.37</v>
      </c>
    </row>
    <row r="363" spans="1:20" x14ac:dyDescent="0.3">
      <c r="A363" s="3">
        <v>45434</v>
      </c>
      <c r="B363" s="1" t="s">
        <v>262</v>
      </c>
      <c r="C363" s="1" t="s">
        <v>263</v>
      </c>
      <c r="D363" s="1" t="s">
        <v>18</v>
      </c>
      <c r="E363" s="1" t="s">
        <v>698</v>
      </c>
      <c r="F363" s="4">
        <v>12320</v>
      </c>
      <c r="G363" s="1" t="s">
        <v>19</v>
      </c>
      <c r="H363" s="1" t="s">
        <v>452</v>
      </c>
      <c r="I363" s="1" t="s">
        <v>757</v>
      </c>
      <c r="J363" s="1">
        <v>700</v>
      </c>
      <c r="K363" s="1">
        <v>1679354</v>
      </c>
      <c r="L363" s="7" t="str">
        <f t="shared" si="5"/>
        <v>307158048127001679354</v>
      </c>
      <c r="M363" s="5">
        <v>21</v>
      </c>
      <c r="N363" s="5">
        <v>0</v>
      </c>
      <c r="O363" s="5">
        <v>6446.28</v>
      </c>
      <c r="P363" s="5">
        <v>1353.72</v>
      </c>
      <c r="Q363" s="5">
        <v>8122.32</v>
      </c>
      <c r="R363" s="1" t="s">
        <v>15</v>
      </c>
      <c r="S363" s="5">
        <v>322.32</v>
      </c>
      <c r="T363">
        <f>VLOOKUP(L363,'MIS COMPROBANTES'!E:Q,13,0)</f>
        <v>8122.32</v>
      </c>
    </row>
    <row r="364" spans="1:20" x14ac:dyDescent="0.3">
      <c r="A364" s="3">
        <v>45434</v>
      </c>
      <c r="B364" s="1" t="s">
        <v>262</v>
      </c>
      <c r="C364" s="1" t="s">
        <v>263</v>
      </c>
      <c r="D364" s="1" t="s">
        <v>18</v>
      </c>
      <c r="E364" s="1" t="s">
        <v>698</v>
      </c>
      <c r="F364" s="4">
        <v>12318</v>
      </c>
      <c r="G364" s="1" t="s">
        <v>19</v>
      </c>
      <c r="H364" s="1" t="s">
        <v>453</v>
      </c>
      <c r="I364" s="1" t="s">
        <v>757</v>
      </c>
      <c r="J364" s="1">
        <v>700</v>
      </c>
      <c r="K364" s="1">
        <v>1696873</v>
      </c>
      <c r="L364" s="7" t="str">
        <f t="shared" si="5"/>
        <v>307158048127001696873</v>
      </c>
      <c r="M364" s="5">
        <v>21</v>
      </c>
      <c r="N364" s="5">
        <v>0</v>
      </c>
      <c r="O364" s="5">
        <v>13636.36</v>
      </c>
      <c r="P364" s="5">
        <v>2863.64</v>
      </c>
      <c r="Q364" s="5">
        <v>17181.82</v>
      </c>
      <c r="R364" s="1" t="s">
        <v>15</v>
      </c>
      <c r="S364" s="5">
        <v>681.82</v>
      </c>
      <c r="T364">
        <f>VLOOKUP(L364,'MIS COMPROBANTES'!E:Q,13,0)</f>
        <v>17181.82</v>
      </c>
    </row>
    <row r="365" spans="1:20" x14ac:dyDescent="0.3">
      <c r="A365" s="3">
        <v>45434</v>
      </c>
      <c r="B365" s="1" t="s">
        <v>64</v>
      </c>
      <c r="C365" s="1" t="s">
        <v>65</v>
      </c>
      <c r="D365" s="1" t="s">
        <v>18</v>
      </c>
      <c r="E365" s="1" t="s">
        <v>647</v>
      </c>
      <c r="F365" s="4">
        <v>12112</v>
      </c>
      <c r="G365" s="1" t="s">
        <v>19</v>
      </c>
      <c r="H365" s="1" t="s">
        <v>454</v>
      </c>
      <c r="I365" s="1" t="s">
        <v>757</v>
      </c>
      <c r="J365" s="1">
        <v>2002</v>
      </c>
      <c r="K365" s="1">
        <v>288067</v>
      </c>
      <c r="L365" s="7" t="str">
        <f t="shared" si="5"/>
        <v>305007682622002288067</v>
      </c>
      <c r="M365" s="5">
        <v>21</v>
      </c>
      <c r="N365" s="5">
        <v>0</v>
      </c>
      <c r="O365" s="5">
        <v>7828573.5300000003</v>
      </c>
      <c r="P365" s="5">
        <v>1644000.45</v>
      </c>
      <c r="Q365" s="5">
        <v>10098859.869999999</v>
      </c>
      <c r="R365" s="1" t="s">
        <v>15</v>
      </c>
      <c r="S365" s="5">
        <v>391428.68</v>
      </c>
      <c r="T365">
        <f>VLOOKUP(L365,'MIS COMPROBANTES'!E:Q,13,0)</f>
        <v>10098859.869999999</v>
      </c>
    </row>
    <row r="366" spans="1:20" x14ac:dyDescent="0.3">
      <c r="A366" s="3">
        <v>45434</v>
      </c>
      <c r="B366" s="1" t="s">
        <v>64</v>
      </c>
      <c r="C366" s="1" t="s">
        <v>65</v>
      </c>
      <c r="D366" s="1" t="s">
        <v>18</v>
      </c>
      <c r="E366" s="1" t="s">
        <v>647</v>
      </c>
      <c r="F366" s="4">
        <v>12112</v>
      </c>
      <c r="G366" s="1" t="s">
        <v>19</v>
      </c>
      <c r="H366" s="1" t="s">
        <v>454</v>
      </c>
      <c r="I366" s="1" t="s">
        <v>757</v>
      </c>
      <c r="J366" s="1">
        <v>2002</v>
      </c>
      <c r="K366" s="1">
        <v>288067</v>
      </c>
      <c r="L366" s="7" t="str">
        <f t="shared" si="5"/>
        <v>305007682622002288067</v>
      </c>
      <c r="M366" s="5">
        <v>3</v>
      </c>
      <c r="N366" s="5">
        <v>0</v>
      </c>
      <c r="O366" s="5">
        <v>0</v>
      </c>
      <c r="P366" s="5">
        <v>234857.21</v>
      </c>
      <c r="Q366" s="5">
        <v>0</v>
      </c>
      <c r="R366" s="1" t="s">
        <v>15</v>
      </c>
      <c r="S366" s="5">
        <v>0</v>
      </c>
      <c r="T366">
        <f>VLOOKUP(L366,'MIS COMPROBANTES'!E:Q,13,0)</f>
        <v>10098859.869999999</v>
      </c>
    </row>
    <row r="367" spans="1:20" x14ac:dyDescent="0.3">
      <c r="A367" s="3">
        <v>45434</v>
      </c>
      <c r="B367" s="1" t="s">
        <v>155</v>
      </c>
      <c r="C367" s="1" t="s">
        <v>156</v>
      </c>
      <c r="D367" s="1" t="s">
        <v>18</v>
      </c>
      <c r="E367" s="1" t="s">
        <v>671</v>
      </c>
      <c r="F367" s="4">
        <v>12018</v>
      </c>
      <c r="G367" s="1" t="s">
        <v>19</v>
      </c>
      <c r="H367" s="1" t="s">
        <v>455</v>
      </c>
      <c r="I367" s="1" t="s">
        <v>757</v>
      </c>
      <c r="J367" s="1">
        <v>2009</v>
      </c>
      <c r="K367" s="1">
        <v>38025</v>
      </c>
      <c r="L367" s="7" t="str">
        <f t="shared" si="5"/>
        <v>30700869918200938025</v>
      </c>
      <c r="M367" s="5">
        <v>21</v>
      </c>
      <c r="N367" s="5">
        <v>0</v>
      </c>
      <c r="O367" s="5">
        <v>3286800</v>
      </c>
      <c r="P367" s="5">
        <v>690228</v>
      </c>
      <c r="Q367" s="5">
        <v>4239972</v>
      </c>
      <c r="R367" s="1" t="s">
        <v>15</v>
      </c>
      <c r="S367" s="5">
        <v>164340</v>
      </c>
      <c r="T367">
        <f>VLOOKUP(L367,'MIS COMPROBANTES'!E:Q,13,0)</f>
        <v>4239972</v>
      </c>
    </row>
    <row r="368" spans="1:20" x14ac:dyDescent="0.3">
      <c r="A368" s="3">
        <v>45434</v>
      </c>
      <c r="B368" s="1" t="s">
        <v>155</v>
      </c>
      <c r="C368" s="1" t="s">
        <v>156</v>
      </c>
      <c r="D368" s="1" t="s">
        <v>18</v>
      </c>
      <c r="E368" s="1" t="s">
        <v>671</v>
      </c>
      <c r="F368" s="4">
        <v>12018</v>
      </c>
      <c r="G368" s="1" t="s">
        <v>19</v>
      </c>
      <c r="H368" s="1" t="s">
        <v>455</v>
      </c>
      <c r="I368" s="1" t="s">
        <v>757</v>
      </c>
      <c r="J368" s="1">
        <v>2009</v>
      </c>
      <c r="K368" s="1">
        <v>38025</v>
      </c>
      <c r="L368" s="7" t="str">
        <f t="shared" si="5"/>
        <v>30700869918200938025</v>
      </c>
      <c r="M368" s="5">
        <v>3</v>
      </c>
      <c r="N368" s="5">
        <v>0</v>
      </c>
      <c r="O368" s="5">
        <v>0</v>
      </c>
      <c r="P368" s="5">
        <v>98604</v>
      </c>
      <c r="Q368" s="5">
        <v>0</v>
      </c>
      <c r="R368" s="1" t="s">
        <v>15</v>
      </c>
      <c r="S368" s="5">
        <v>0</v>
      </c>
      <c r="T368">
        <f>VLOOKUP(L368,'MIS COMPROBANTES'!E:Q,13,0)</f>
        <v>4239972</v>
      </c>
    </row>
    <row r="369" spans="1:20" x14ac:dyDescent="0.3">
      <c r="A369" s="3">
        <v>45434</v>
      </c>
      <c r="B369" s="1" t="s">
        <v>155</v>
      </c>
      <c r="C369" s="1" t="s">
        <v>156</v>
      </c>
      <c r="D369" s="1" t="s">
        <v>18</v>
      </c>
      <c r="E369" s="1" t="s">
        <v>671</v>
      </c>
      <c r="F369" s="4">
        <v>12019</v>
      </c>
      <c r="G369" s="1" t="s">
        <v>19</v>
      </c>
      <c r="H369" s="1" t="s">
        <v>456</v>
      </c>
      <c r="I369" s="1" t="s">
        <v>757</v>
      </c>
      <c r="J369" s="1">
        <v>2009</v>
      </c>
      <c r="K369" s="1">
        <v>38026</v>
      </c>
      <c r="L369" s="7" t="str">
        <f t="shared" si="5"/>
        <v>30700869918200938026</v>
      </c>
      <c r="M369" s="5">
        <v>21</v>
      </c>
      <c r="N369" s="5">
        <v>0</v>
      </c>
      <c r="O369" s="5">
        <v>3286800</v>
      </c>
      <c r="P369" s="5">
        <v>690228</v>
      </c>
      <c r="Q369" s="5">
        <v>4239972</v>
      </c>
      <c r="R369" s="1" t="s">
        <v>15</v>
      </c>
      <c r="S369" s="5">
        <v>164340</v>
      </c>
      <c r="T369">
        <f>VLOOKUP(L369,'MIS COMPROBANTES'!E:Q,13,0)</f>
        <v>4239972</v>
      </c>
    </row>
    <row r="370" spans="1:20" x14ac:dyDescent="0.3">
      <c r="A370" s="3">
        <v>45434</v>
      </c>
      <c r="B370" s="1" t="s">
        <v>155</v>
      </c>
      <c r="C370" s="1" t="s">
        <v>156</v>
      </c>
      <c r="D370" s="1" t="s">
        <v>18</v>
      </c>
      <c r="E370" s="1" t="s">
        <v>671</v>
      </c>
      <c r="F370" s="4">
        <v>12019</v>
      </c>
      <c r="G370" s="1" t="s">
        <v>19</v>
      </c>
      <c r="H370" s="1" t="s">
        <v>456</v>
      </c>
      <c r="I370" s="1" t="s">
        <v>757</v>
      </c>
      <c r="J370" s="1">
        <v>2009</v>
      </c>
      <c r="K370" s="1">
        <v>38026</v>
      </c>
      <c r="L370" s="7" t="str">
        <f t="shared" si="5"/>
        <v>30700869918200938026</v>
      </c>
      <c r="M370" s="5">
        <v>3</v>
      </c>
      <c r="N370" s="5">
        <v>0</v>
      </c>
      <c r="O370" s="5">
        <v>0</v>
      </c>
      <c r="P370" s="5">
        <v>98604</v>
      </c>
      <c r="Q370" s="5">
        <v>0</v>
      </c>
      <c r="R370" s="1" t="s">
        <v>15</v>
      </c>
      <c r="S370" s="5">
        <v>0</v>
      </c>
      <c r="T370">
        <f>VLOOKUP(L370,'MIS COMPROBANTES'!E:Q,13,0)</f>
        <v>4239972</v>
      </c>
    </row>
    <row r="371" spans="1:20" x14ac:dyDescent="0.3">
      <c r="A371" s="3">
        <v>45434</v>
      </c>
      <c r="B371" s="1" t="s">
        <v>155</v>
      </c>
      <c r="C371" s="1" t="s">
        <v>156</v>
      </c>
      <c r="D371" s="1" t="s">
        <v>18</v>
      </c>
      <c r="E371" s="1" t="s">
        <v>671</v>
      </c>
      <c r="F371" s="4">
        <v>12017</v>
      </c>
      <c r="G371" s="1" t="s">
        <v>19</v>
      </c>
      <c r="H371" s="1" t="s">
        <v>457</v>
      </c>
      <c r="I371" s="1" t="s">
        <v>757</v>
      </c>
      <c r="J371" s="1">
        <v>2009</v>
      </c>
      <c r="K371" s="1">
        <v>38027</v>
      </c>
      <c r="L371" s="7" t="str">
        <f t="shared" si="5"/>
        <v>30700869918200938027</v>
      </c>
      <c r="M371" s="5">
        <v>21</v>
      </c>
      <c r="N371" s="5">
        <v>0</v>
      </c>
      <c r="O371" s="5">
        <v>10560000</v>
      </c>
      <c r="P371" s="5">
        <v>2217600</v>
      </c>
      <c r="Q371" s="5">
        <v>13622400</v>
      </c>
      <c r="R371" s="1" t="s">
        <v>15</v>
      </c>
      <c r="S371" s="5">
        <v>528000</v>
      </c>
      <c r="T371">
        <f>VLOOKUP(L371,'MIS COMPROBANTES'!E:Q,13,0)</f>
        <v>13622400</v>
      </c>
    </row>
    <row r="372" spans="1:20" x14ac:dyDescent="0.3">
      <c r="A372" s="3">
        <v>45434</v>
      </c>
      <c r="B372" s="1" t="s">
        <v>155</v>
      </c>
      <c r="C372" s="1" t="s">
        <v>156</v>
      </c>
      <c r="D372" s="1" t="s">
        <v>18</v>
      </c>
      <c r="E372" s="1" t="s">
        <v>671</v>
      </c>
      <c r="F372" s="4">
        <v>12017</v>
      </c>
      <c r="G372" s="1" t="s">
        <v>19</v>
      </c>
      <c r="H372" s="1" t="s">
        <v>457</v>
      </c>
      <c r="I372" s="1" t="s">
        <v>757</v>
      </c>
      <c r="J372" s="1">
        <v>2009</v>
      </c>
      <c r="K372" s="1">
        <v>38027</v>
      </c>
      <c r="L372" s="7" t="str">
        <f t="shared" si="5"/>
        <v>30700869918200938027</v>
      </c>
      <c r="M372" s="5">
        <v>3</v>
      </c>
      <c r="N372" s="5">
        <v>0</v>
      </c>
      <c r="O372" s="5">
        <v>0</v>
      </c>
      <c r="P372" s="5">
        <v>316800</v>
      </c>
      <c r="Q372" s="5">
        <v>0</v>
      </c>
      <c r="R372" s="1" t="s">
        <v>15</v>
      </c>
      <c r="S372" s="5">
        <v>0</v>
      </c>
      <c r="T372">
        <f>VLOOKUP(L372,'MIS COMPROBANTES'!E:Q,13,0)</f>
        <v>13622400</v>
      </c>
    </row>
    <row r="373" spans="1:20" x14ac:dyDescent="0.3">
      <c r="A373" s="3">
        <v>45434</v>
      </c>
      <c r="B373" s="1" t="s">
        <v>458</v>
      </c>
      <c r="C373" s="1" t="s">
        <v>459</v>
      </c>
      <c r="D373" s="1" t="s">
        <v>18</v>
      </c>
      <c r="E373" s="1" t="s">
        <v>727</v>
      </c>
      <c r="F373" s="4">
        <v>12127</v>
      </c>
      <c r="G373" s="1" t="s">
        <v>27</v>
      </c>
      <c r="H373" s="1" t="s">
        <v>460</v>
      </c>
      <c r="I373" s="1" t="s">
        <v>757</v>
      </c>
      <c r="J373" s="1">
        <v>12</v>
      </c>
      <c r="K373" s="1">
        <v>4183</v>
      </c>
      <c r="L373" s="7" t="str">
        <f t="shared" si="5"/>
        <v>30708938021124183</v>
      </c>
      <c r="M373" s="5">
        <v>21</v>
      </c>
      <c r="N373" s="5">
        <v>0</v>
      </c>
      <c r="O373" s="5">
        <v>-350343.5</v>
      </c>
      <c r="P373" s="5">
        <v>-73572.14</v>
      </c>
      <c r="Q373" s="5">
        <v>-430922.51</v>
      </c>
      <c r="R373" s="1" t="s">
        <v>15</v>
      </c>
      <c r="S373" s="5">
        <v>-7006.87</v>
      </c>
      <c r="T373">
        <f>VLOOKUP(L373,'MIS COMPROBANTES'!E:Q,13,0)</f>
        <v>430922.51</v>
      </c>
    </row>
    <row r="374" spans="1:20" x14ac:dyDescent="0.3">
      <c r="A374" s="3">
        <v>45434</v>
      </c>
      <c r="B374" s="1" t="s">
        <v>196</v>
      </c>
      <c r="C374" s="1" t="s">
        <v>197</v>
      </c>
      <c r="D374" s="1" t="s">
        <v>18</v>
      </c>
      <c r="E374" s="1" t="s">
        <v>682</v>
      </c>
      <c r="F374" s="4">
        <v>12147</v>
      </c>
      <c r="G374" s="1" t="s">
        <v>27</v>
      </c>
      <c r="H374" s="1" t="s">
        <v>461</v>
      </c>
      <c r="I374" s="1" t="s">
        <v>757</v>
      </c>
      <c r="J374" s="1">
        <v>115</v>
      </c>
      <c r="K374" s="1">
        <v>31381</v>
      </c>
      <c r="L374" s="7" t="str">
        <f t="shared" si="5"/>
        <v>3062964670811531381</v>
      </c>
      <c r="M374" s="5">
        <v>21</v>
      </c>
      <c r="N374" s="5">
        <v>0</v>
      </c>
      <c r="O374" s="5">
        <v>-918336.46</v>
      </c>
      <c r="P374" s="5">
        <v>-192850.66</v>
      </c>
      <c r="Q374" s="5">
        <v>-1138737.21</v>
      </c>
      <c r="R374" s="1" t="s">
        <v>15</v>
      </c>
      <c r="S374" s="5">
        <v>0</v>
      </c>
      <c r="T374">
        <f>VLOOKUP(L374,'MIS COMPROBANTES'!E:Q,13,0)</f>
        <v>1138737.21</v>
      </c>
    </row>
    <row r="375" spans="1:20" x14ac:dyDescent="0.3">
      <c r="A375" s="3">
        <v>45434</v>
      </c>
      <c r="B375" s="1" t="s">
        <v>196</v>
      </c>
      <c r="C375" s="1" t="s">
        <v>197</v>
      </c>
      <c r="D375" s="1" t="s">
        <v>18</v>
      </c>
      <c r="E375" s="1" t="s">
        <v>682</v>
      </c>
      <c r="F375" s="4">
        <v>12147</v>
      </c>
      <c r="G375" s="1" t="s">
        <v>27</v>
      </c>
      <c r="H375" s="1" t="s">
        <v>461</v>
      </c>
      <c r="I375" s="1" t="s">
        <v>757</v>
      </c>
      <c r="J375" s="1">
        <v>115</v>
      </c>
      <c r="K375" s="1">
        <v>31381</v>
      </c>
      <c r="L375" s="7" t="str">
        <f t="shared" si="5"/>
        <v>3062964670811531381</v>
      </c>
      <c r="M375" s="5">
        <v>3</v>
      </c>
      <c r="N375" s="5">
        <v>0</v>
      </c>
      <c r="O375" s="5">
        <v>0</v>
      </c>
      <c r="P375" s="5">
        <v>-27550.09</v>
      </c>
      <c r="Q375" s="5">
        <v>0</v>
      </c>
      <c r="R375" s="1" t="s">
        <v>15</v>
      </c>
      <c r="S375" s="5">
        <v>0</v>
      </c>
      <c r="T375">
        <f>VLOOKUP(L375,'MIS COMPROBANTES'!E:Q,13,0)</f>
        <v>1138737.21</v>
      </c>
    </row>
    <row r="376" spans="1:20" x14ac:dyDescent="0.3">
      <c r="A376" s="3">
        <v>45434</v>
      </c>
      <c r="B376" s="1" t="s">
        <v>41</v>
      </c>
      <c r="C376" s="1" t="s">
        <v>42</v>
      </c>
      <c r="D376" s="1" t="s">
        <v>18</v>
      </c>
      <c r="E376" s="1" t="s">
        <v>640</v>
      </c>
      <c r="F376" s="4">
        <v>12046</v>
      </c>
      <c r="G376" s="1" t="s">
        <v>27</v>
      </c>
      <c r="H376" s="1" t="s">
        <v>462</v>
      </c>
      <c r="I376" s="1" t="s">
        <v>757</v>
      </c>
      <c r="J376" s="1">
        <v>6156</v>
      </c>
      <c r="K376" s="1">
        <v>2554125</v>
      </c>
      <c r="L376" s="7" t="str">
        <f t="shared" si="5"/>
        <v>3054724233161562554125</v>
      </c>
      <c r="M376" s="5">
        <v>21</v>
      </c>
      <c r="N376" s="5">
        <v>0</v>
      </c>
      <c r="O376" s="5">
        <v>-72981</v>
      </c>
      <c r="P376" s="5">
        <v>-15326.01</v>
      </c>
      <c r="Q376" s="5">
        <v>-90496.44</v>
      </c>
      <c r="R376" s="1" t="s">
        <v>15</v>
      </c>
      <c r="S376" s="5">
        <v>0</v>
      </c>
      <c r="T376">
        <f>VLOOKUP(L376,'MIS COMPROBANTES'!E:Q,13,0)</f>
        <v>90496.44</v>
      </c>
    </row>
    <row r="377" spans="1:20" x14ac:dyDescent="0.3">
      <c r="A377" s="3">
        <v>45434</v>
      </c>
      <c r="B377" s="1" t="s">
        <v>41</v>
      </c>
      <c r="C377" s="1" t="s">
        <v>42</v>
      </c>
      <c r="D377" s="1" t="s">
        <v>18</v>
      </c>
      <c r="E377" s="1" t="s">
        <v>640</v>
      </c>
      <c r="F377" s="4">
        <v>12046</v>
      </c>
      <c r="G377" s="1" t="s">
        <v>27</v>
      </c>
      <c r="H377" s="1" t="s">
        <v>462</v>
      </c>
      <c r="I377" s="1" t="s">
        <v>757</v>
      </c>
      <c r="J377" s="1">
        <v>6156</v>
      </c>
      <c r="K377" s="1">
        <v>2554125</v>
      </c>
      <c r="L377" s="7" t="str">
        <f t="shared" si="5"/>
        <v>3054724233161562554125</v>
      </c>
      <c r="M377" s="5">
        <v>3</v>
      </c>
      <c r="N377" s="5">
        <v>0</v>
      </c>
      <c r="O377" s="5">
        <v>0</v>
      </c>
      <c r="P377" s="5">
        <v>-2189.4299999999998</v>
      </c>
      <c r="Q377" s="5">
        <v>0</v>
      </c>
      <c r="R377" s="1" t="s">
        <v>15</v>
      </c>
      <c r="S377" s="5">
        <v>0</v>
      </c>
      <c r="T377">
        <f>VLOOKUP(L377,'MIS COMPROBANTES'!E:Q,13,0)</f>
        <v>90496.44</v>
      </c>
    </row>
    <row r="378" spans="1:20" x14ac:dyDescent="0.3">
      <c r="A378" s="3">
        <v>45435</v>
      </c>
      <c r="B378" s="1" t="s">
        <v>463</v>
      </c>
      <c r="C378" s="1" t="s">
        <v>464</v>
      </c>
      <c r="D378" s="1" t="s">
        <v>18</v>
      </c>
      <c r="E378" s="1" t="s">
        <v>728</v>
      </c>
      <c r="F378" s="4">
        <v>12196</v>
      </c>
      <c r="G378" s="1" t="s">
        <v>19</v>
      </c>
      <c r="H378" s="1" t="s">
        <v>465</v>
      </c>
      <c r="I378" s="1" t="s">
        <v>757</v>
      </c>
      <c r="J378" s="1">
        <v>3</v>
      </c>
      <c r="K378" s="1">
        <v>222</v>
      </c>
      <c r="L378" s="7" t="str">
        <f t="shared" si="5"/>
        <v>202829898253222</v>
      </c>
      <c r="M378" s="5">
        <v>21</v>
      </c>
      <c r="N378" s="5">
        <v>0</v>
      </c>
      <c r="O378" s="5">
        <v>400452</v>
      </c>
      <c r="P378" s="5">
        <v>84094.92</v>
      </c>
      <c r="Q378" s="5">
        <v>484546.92</v>
      </c>
      <c r="R378" s="1" t="s">
        <v>15</v>
      </c>
      <c r="S378" s="5">
        <v>0</v>
      </c>
      <c r="T378">
        <f>VLOOKUP(L378,'MIS COMPROBANTES'!E:Q,13,0)</f>
        <v>484546.92</v>
      </c>
    </row>
    <row r="379" spans="1:20" x14ac:dyDescent="0.3">
      <c r="A379" s="3">
        <v>45435</v>
      </c>
      <c r="B379" s="1" t="s">
        <v>466</v>
      </c>
      <c r="C379" s="1" t="s">
        <v>467</v>
      </c>
      <c r="D379" s="1" t="s">
        <v>18</v>
      </c>
      <c r="E379" s="1" t="s">
        <v>729</v>
      </c>
      <c r="F379" s="4">
        <v>12194</v>
      </c>
      <c r="G379" s="1" t="s">
        <v>19</v>
      </c>
      <c r="H379" s="1" t="s">
        <v>468</v>
      </c>
      <c r="I379" s="1" t="s">
        <v>757</v>
      </c>
      <c r="J379" s="1">
        <v>10</v>
      </c>
      <c r="K379" s="1">
        <v>80392</v>
      </c>
      <c r="L379" s="7" t="str">
        <f t="shared" si="5"/>
        <v>306124309731080392</v>
      </c>
      <c r="M379" s="5">
        <v>10.5</v>
      </c>
      <c r="N379" s="5">
        <v>0</v>
      </c>
      <c r="O379" s="5">
        <v>34642.53</v>
      </c>
      <c r="P379" s="5">
        <v>3637.47</v>
      </c>
      <c r="Q379" s="5">
        <v>38972.85</v>
      </c>
      <c r="R379" s="1" t="s">
        <v>15</v>
      </c>
      <c r="S379" s="5">
        <v>692.85</v>
      </c>
      <c r="T379">
        <f>VLOOKUP(L379,'MIS COMPROBANTES'!E:Q,13,0)</f>
        <v>38972.85</v>
      </c>
    </row>
    <row r="380" spans="1:20" x14ac:dyDescent="0.3">
      <c r="A380" s="3">
        <v>45435</v>
      </c>
      <c r="B380" s="1" t="s">
        <v>258</v>
      </c>
      <c r="C380" s="1" t="s">
        <v>259</v>
      </c>
      <c r="D380" s="1" t="s">
        <v>18</v>
      </c>
      <c r="E380" s="1" t="s">
        <v>697</v>
      </c>
      <c r="F380" s="4">
        <v>12338</v>
      </c>
      <c r="G380" s="1" t="s">
        <v>19</v>
      </c>
      <c r="H380" s="1" t="s">
        <v>469</v>
      </c>
      <c r="I380" s="1" t="s">
        <v>757</v>
      </c>
      <c r="J380" s="1">
        <v>601</v>
      </c>
      <c r="K380" s="1">
        <v>263620</v>
      </c>
      <c r="L380" s="7" t="str">
        <f t="shared" si="5"/>
        <v>30525390086601263620</v>
      </c>
      <c r="M380" s="5">
        <v>21</v>
      </c>
      <c r="N380" s="5">
        <v>437329.99</v>
      </c>
      <c r="O380" s="5">
        <v>5465598.0599999996</v>
      </c>
      <c r="P380" s="5">
        <v>1147775.6100000001</v>
      </c>
      <c r="Q380" s="5">
        <v>7332730.1399999997</v>
      </c>
      <c r="R380" s="1" t="s">
        <v>15</v>
      </c>
      <c r="S380" s="5">
        <v>118058.55</v>
      </c>
      <c r="T380">
        <f>VLOOKUP(L380,'MIS COMPROBANTES'!E:Q,13,0)</f>
        <v>7332730.1399999997</v>
      </c>
    </row>
    <row r="381" spans="1:20" x14ac:dyDescent="0.3">
      <c r="A381" s="3">
        <v>45435</v>
      </c>
      <c r="B381" s="1" t="s">
        <v>258</v>
      </c>
      <c r="C381" s="1" t="s">
        <v>259</v>
      </c>
      <c r="D381" s="1" t="s">
        <v>18</v>
      </c>
      <c r="E381" s="1" t="s">
        <v>697</v>
      </c>
      <c r="F381" s="4">
        <v>12338</v>
      </c>
      <c r="G381" s="1" t="s">
        <v>19</v>
      </c>
      <c r="H381" s="1" t="s">
        <v>469</v>
      </c>
      <c r="I381" s="1" t="s">
        <v>757</v>
      </c>
      <c r="J381" s="1">
        <v>601</v>
      </c>
      <c r="K381" s="1">
        <v>263620</v>
      </c>
      <c r="L381" s="7" t="str">
        <f t="shared" si="5"/>
        <v>30525390086601263620</v>
      </c>
      <c r="M381" s="5">
        <v>3</v>
      </c>
      <c r="N381" s="5">
        <v>0</v>
      </c>
      <c r="O381" s="5">
        <v>0</v>
      </c>
      <c r="P381" s="5">
        <v>163967.93</v>
      </c>
      <c r="Q381" s="5">
        <v>0</v>
      </c>
      <c r="R381" s="1" t="s">
        <v>15</v>
      </c>
      <c r="S381" s="5">
        <v>0</v>
      </c>
      <c r="T381">
        <f>VLOOKUP(L381,'MIS COMPROBANTES'!E:Q,13,0)</f>
        <v>7332730.1399999997</v>
      </c>
    </row>
    <row r="382" spans="1:20" x14ac:dyDescent="0.3">
      <c r="A382" s="3">
        <v>45435</v>
      </c>
      <c r="B382" s="1" t="s">
        <v>258</v>
      </c>
      <c r="C382" s="1" t="s">
        <v>259</v>
      </c>
      <c r="D382" s="1" t="s">
        <v>18</v>
      </c>
      <c r="E382" s="1" t="s">
        <v>697</v>
      </c>
      <c r="F382" s="4">
        <v>12337</v>
      </c>
      <c r="G382" s="1" t="s">
        <v>19</v>
      </c>
      <c r="H382" s="1" t="s">
        <v>470</v>
      </c>
      <c r="I382" s="1" t="s">
        <v>757</v>
      </c>
      <c r="J382" s="1">
        <v>601</v>
      </c>
      <c r="K382" s="1">
        <v>263621</v>
      </c>
      <c r="L382" s="7" t="str">
        <f t="shared" si="5"/>
        <v>30525390086601263621</v>
      </c>
      <c r="M382" s="5">
        <v>21</v>
      </c>
      <c r="N382" s="5">
        <v>259158.59</v>
      </c>
      <c r="O382" s="5">
        <v>5237889.1100000003</v>
      </c>
      <c r="P382" s="5">
        <v>1099956.72</v>
      </c>
      <c r="Q382" s="5">
        <v>6864082.0499999998</v>
      </c>
      <c r="R382" s="1" t="s">
        <v>15</v>
      </c>
      <c r="S382" s="5">
        <v>109940.95</v>
      </c>
      <c r="T382">
        <f>VLOOKUP(L382,'MIS COMPROBANTES'!E:Q,13,0)</f>
        <v>6864082.0499999998</v>
      </c>
    </row>
    <row r="383" spans="1:20" x14ac:dyDescent="0.3">
      <c r="A383" s="3">
        <v>45435</v>
      </c>
      <c r="B383" s="1" t="s">
        <v>258</v>
      </c>
      <c r="C383" s="1" t="s">
        <v>259</v>
      </c>
      <c r="D383" s="1" t="s">
        <v>18</v>
      </c>
      <c r="E383" s="1" t="s">
        <v>697</v>
      </c>
      <c r="F383" s="4">
        <v>12337</v>
      </c>
      <c r="G383" s="1" t="s">
        <v>19</v>
      </c>
      <c r="H383" s="1" t="s">
        <v>470</v>
      </c>
      <c r="I383" s="1" t="s">
        <v>757</v>
      </c>
      <c r="J383" s="1">
        <v>601</v>
      </c>
      <c r="K383" s="1">
        <v>263621</v>
      </c>
      <c r="L383" s="7" t="str">
        <f t="shared" si="5"/>
        <v>30525390086601263621</v>
      </c>
      <c r="M383" s="5">
        <v>3</v>
      </c>
      <c r="N383" s="5">
        <v>0</v>
      </c>
      <c r="O383" s="5">
        <v>0</v>
      </c>
      <c r="P383" s="5">
        <v>157136.68</v>
      </c>
      <c r="Q383" s="5">
        <v>0</v>
      </c>
      <c r="R383" s="1" t="s">
        <v>15</v>
      </c>
      <c r="S383" s="5">
        <v>0</v>
      </c>
      <c r="T383">
        <f>VLOOKUP(L383,'MIS COMPROBANTES'!E:Q,13,0)</f>
        <v>6864082.0499999998</v>
      </c>
    </row>
    <row r="384" spans="1:20" x14ac:dyDescent="0.3">
      <c r="A384" s="3">
        <v>45435</v>
      </c>
      <c r="B384" s="1" t="s">
        <v>471</v>
      </c>
      <c r="C384" s="1" t="s">
        <v>472</v>
      </c>
      <c r="D384" s="1" t="s">
        <v>18</v>
      </c>
      <c r="E384" s="1" t="s">
        <v>730</v>
      </c>
      <c r="F384" s="4">
        <v>12022</v>
      </c>
      <c r="G384" s="1" t="s">
        <v>19</v>
      </c>
      <c r="H384" s="1" t="s">
        <v>473</v>
      </c>
      <c r="I384" s="1" t="s">
        <v>757</v>
      </c>
      <c r="J384" s="1">
        <v>679</v>
      </c>
      <c r="K384" s="1">
        <v>173247</v>
      </c>
      <c r="L384" s="7" t="str">
        <f t="shared" si="5"/>
        <v>30500858628679173247</v>
      </c>
      <c r="M384" s="5">
        <v>21</v>
      </c>
      <c r="N384" s="5">
        <v>0</v>
      </c>
      <c r="O384" s="5">
        <v>928022.97</v>
      </c>
      <c r="P384" s="5">
        <v>194884.82</v>
      </c>
      <c r="Q384" s="5">
        <v>1197149.6299999999</v>
      </c>
      <c r="R384" s="1" t="s">
        <v>15</v>
      </c>
      <c r="S384" s="5">
        <v>46401.15</v>
      </c>
      <c r="T384">
        <f>VLOOKUP(L384,'MIS COMPROBANTES'!E:Q,13,0)</f>
        <v>1197149.6299999999</v>
      </c>
    </row>
    <row r="385" spans="1:20" x14ac:dyDescent="0.3">
      <c r="A385" s="3">
        <v>45435</v>
      </c>
      <c r="B385" s="1" t="s">
        <v>471</v>
      </c>
      <c r="C385" s="1" t="s">
        <v>472</v>
      </c>
      <c r="D385" s="1" t="s">
        <v>18</v>
      </c>
      <c r="E385" s="1" t="s">
        <v>730</v>
      </c>
      <c r="F385" s="4">
        <v>12022</v>
      </c>
      <c r="G385" s="1" t="s">
        <v>19</v>
      </c>
      <c r="H385" s="1" t="s">
        <v>473</v>
      </c>
      <c r="I385" s="1" t="s">
        <v>757</v>
      </c>
      <c r="J385" s="1">
        <v>679</v>
      </c>
      <c r="K385" s="1">
        <v>173247</v>
      </c>
      <c r="L385" s="7" t="str">
        <f t="shared" si="5"/>
        <v>30500858628679173247</v>
      </c>
      <c r="M385" s="5">
        <v>3</v>
      </c>
      <c r="N385" s="5">
        <v>0</v>
      </c>
      <c r="O385" s="5">
        <v>0</v>
      </c>
      <c r="P385" s="5">
        <v>27840.69</v>
      </c>
      <c r="Q385" s="5">
        <v>0</v>
      </c>
      <c r="R385" s="1" t="s">
        <v>15</v>
      </c>
      <c r="S385" s="5">
        <v>0</v>
      </c>
      <c r="T385">
        <f>VLOOKUP(L385,'MIS COMPROBANTES'!E:Q,13,0)</f>
        <v>1197149.6299999999</v>
      </c>
    </row>
    <row r="386" spans="1:20" x14ac:dyDescent="0.3">
      <c r="A386" s="3">
        <v>45435</v>
      </c>
      <c r="B386" s="1" t="s">
        <v>471</v>
      </c>
      <c r="C386" s="1" t="s">
        <v>472</v>
      </c>
      <c r="D386" s="1" t="s">
        <v>18</v>
      </c>
      <c r="E386" s="1" t="s">
        <v>730</v>
      </c>
      <c r="F386" s="4">
        <v>12026</v>
      </c>
      <c r="G386" s="1" t="s">
        <v>19</v>
      </c>
      <c r="H386" s="1" t="s">
        <v>474</v>
      </c>
      <c r="I386" s="1" t="s">
        <v>757</v>
      </c>
      <c r="J386" s="1">
        <v>679</v>
      </c>
      <c r="K386" s="1">
        <v>173248</v>
      </c>
      <c r="L386" s="7" t="str">
        <f t="shared" si="5"/>
        <v>30500858628679173248</v>
      </c>
      <c r="M386" s="5">
        <v>21</v>
      </c>
      <c r="N386" s="5">
        <v>0</v>
      </c>
      <c r="O386" s="5">
        <v>4947171.18</v>
      </c>
      <c r="P386" s="5">
        <v>1038905.95</v>
      </c>
      <c r="Q386" s="5">
        <v>6381850.8300000001</v>
      </c>
      <c r="R386" s="1" t="s">
        <v>15</v>
      </c>
      <c r="S386" s="5">
        <v>247358.56</v>
      </c>
      <c r="T386">
        <f>VLOOKUP(L386,'MIS COMPROBANTES'!E:Q,13,0)</f>
        <v>6381850.8300000001</v>
      </c>
    </row>
    <row r="387" spans="1:20" x14ac:dyDescent="0.3">
      <c r="A387" s="3">
        <v>45435</v>
      </c>
      <c r="B387" s="1" t="s">
        <v>471</v>
      </c>
      <c r="C387" s="1" t="s">
        <v>472</v>
      </c>
      <c r="D387" s="1" t="s">
        <v>18</v>
      </c>
      <c r="E387" s="1" t="s">
        <v>730</v>
      </c>
      <c r="F387" s="4">
        <v>12026</v>
      </c>
      <c r="G387" s="1" t="s">
        <v>19</v>
      </c>
      <c r="H387" s="1" t="s">
        <v>474</v>
      </c>
      <c r="I387" s="1" t="s">
        <v>757</v>
      </c>
      <c r="J387" s="1">
        <v>679</v>
      </c>
      <c r="K387" s="1">
        <v>173248</v>
      </c>
      <c r="L387" s="7" t="str">
        <f t="shared" ref="L387:L450" si="6">CONCATENATE(E387,J387,K387)</f>
        <v>30500858628679173248</v>
      </c>
      <c r="M387" s="5">
        <v>3</v>
      </c>
      <c r="N387" s="5">
        <v>0</v>
      </c>
      <c r="O387" s="5">
        <v>0</v>
      </c>
      <c r="P387" s="5">
        <v>148415.14000000001</v>
      </c>
      <c r="Q387" s="5">
        <v>0</v>
      </c>
      <c r="R387" s="1" t="s">
        <v>15</v>
      </c>
      <c r="S387" s="5">
        <v>0</v>
      </c>
      <c r="T387">
        <f>VLOOKUP(L387,'MIS COMPROBANTES'!E:Q,13,0)</f>
        <v>6381850.8300000001</v>
      </c>
    </row>
    <row r="388" spans="1:20" x14ac:dyDescent="0.3">
      <c r="A388" s="3">
        <v>45435</v>
      </c>
      <c r="B388" s="1" t="s">
        <v>471</v>
      </c>
      <c r="C388" s="1" t="s">
        <v>472</v>
      </c>
      <c r="D388" s="1" t="s">
        <v>18</v>
      </c>
      <c r="E388" s="1" t="s">
        <v>730</v>
      </c>
      <c r="F388" s="4">
        <v>12023</v>
      </c>
      <c r="G388" s="1" t="s">
        <v>19</v>
      </c>
      <c r="H388" s="1" t="s">
        <v>475</v>
      </c>
      <c r="I388" s="1" t="s">
        <v>757</v>
      </c>
      <c r="J388" s="1">
        <v>702</v>
      </c>
      <c r="K388" s="1">
        <v>427815</v>
      </c>
      <c r="L388" s="7" t="str">
        <f t="shared" si="6"/>
        <v>30500858628702427815</v>
      </c>
      <c r="M388" s="5">
        <v>21</v>
      </c>
      <c r="N388" s="5">
        <v>0</v>
      </c>
      <c r="O388" s="5">
        <v>552363.86</v>
      </c>
      <c r="P388" s="5">
        <v>115996.41</v>
      </c>
      <c r="Q388" s="5">
        <v>712549.39</v>
      </c>
      <c r="R388" s="1" t="s">
        <v>15</v>
      </c>
      <c r="S388" s="5">
        <v>27618.2</v>
      </c>
      <c r="T388">
        <f>VLOOKUP(L388,'MIS COMPROBANTES'!E:Q,13,0)</f>
        <v>712549.39</v>
      </c>
    </row>
    <row r="389" spans="1:20" x14ac:dyDescent="0.3">
      <c r="A389" s="3">
        <v>45435</v>
      </c>
      <c r="B389" s="1" t="s">
        <v>471</v>
      </c>
      <c r="C389" s="1" t="s">
        <v>472</v>
      </c>
      <c r="D389" s="1" t="s">
        <v>18</v>
      </c>
      <c r="E389" s="1" t="s">
        <v>730</v>
      </c>
      <c r="F389" s="4">
        <v>12023</v>
      </c>
      <c r="G389" s="1" t="s">
        <v>19</v>
      </c>
      <c r="H389" s="1" t="s">
        <v>475</v>
      </c>
      <c r="I389" s="1" t="s">
        <v>757</v>
      </c>
      <c r="J389" s="1">
        <v>702</v>
      </c>
      <c r="K389" s="1">
        <v>427815</v>
      </c>
      <c r="L389" s="7" t="str">
        <f t="shared" si="6"/>
        <v>30500858628702427815</v>
      </c>
      <c r="M389" s="5">
        <v>3</v>
      </c>
      <c r="N389" s="5">
        <v>0</v>
      </c>
      <c r="O389" s="5">
        <v>0</v>
      </c>
      <c r="P389" s="5">
        <v>16570.919999999998</v>
      </c>
      <c r="Q389" s="5">
        <v>0</v>
      </c>
      <c r="R389" s="1" t="s">
        <v>15</v>
      </c>
      <c r="S389" s="5">
        <v>0</v>
      </c>
      <c r="T389">
        <f>VLOOKUP(L389,'MIS COMPROBANTES'!E:Q,13,0)</f>
        <v>712549.39</v>
      </c>
    </row>
    <row r="390" spans="1:20" x14ac:dyDescent="0.3">
      <c r="A390" s="3">
        <v>45435</v>
      </c>
      <c r="B390" s="1" t="s">
        <v>471</v>
      </c>
      <c r="C390" s="1" t="s">
        <v>472</v>
      </c>
      <c r="D390" s="1" t="s">
        <v>18</v>
      </c>
      <c r="E390" s="1" t="s">
        <v>730</v>
      </c>
      <c r="F390" s="4">
        <v>12024</v>
      </c>
      <c r="G390" s="1" t="s">
        <v>19</v>
      </c>
      <c r="H390" s="1" t="s">
        <v>476</v>
      </c>
      <c r="I390" s="1" t="s">
        <v>757</v>
      </c>
      <c r="J390" s="1">
        <v>702</v>
      </c>
      <c r="K390" s="1">
        <v>427816</v>
      </c>
      <c r="L390" s="7" t="str">
        <f t="shared" si="6"/>
        <v>30500858628702427816</v>
      </c>
      <c r="M390" s="5">
        <v>21</v>
      </c>
      <c r="N390" s="5">
        <v>0</v>
      </c>
      <c r="O390" s="5">
        <v>352127.26</v>
      </c>
      <c r="P390" s="5">
        <v>73946.720000000001</v>
      </c>
      <c r="Q390" s="5">
        <v>454244.17</v>
      </c>
      <c r="R390" s="1" t="s">
        <v>15</v>
      </c>
      <c r="S390" s="5">
        <v>17606.37</v>
      </c>
      <c r="T390">
        <f>VLOOKUP(L390,'MIS COMPROBANTES'!E:Q,13,0)</f>
        <v>454244.17</v>
      </c>
    </row>
    <row r="391" spans="1:20" x14ac:dyDescent="0.3">
      <c r="A391" s="3">
        <v>45435</v>
      </c>
      <c r="B391" s="1" t="s">
        <v>471</v>
      </c>
      <c r="C391" s="1" t="s">
        <v>472</v>
      </c>
      <c r="D391" s="1" t="s">
        <v>18</v>
      </c>
      <c r="E391" s="1" t="s">
        <v>730</v>
      </c>
      <c r="F391" s="4">
        <v>12024</v>
      </c>
      <c r="G391" s="1" t="s">
        <v>19</v>
      </c>
      <c r="H391" s="1" t="s">
        <v>476</v>
      </c>
      <c r="I391" s="1" t="s">
        <v>757</v>
      </c>
      <c r="J391" s="1">
        <v>702</v>
      </c>
      <c r="K391" s="1">
        <v>427816</v>
      </c>
      <c r="L391" s="7" t="str">
        <f t="shared" si="6"/>
        <v>30500858628702427816</v>
      </c>
      <c r="M391" s="5">
        <v>3</v>
      </c>
      <c r="N391" s="5">
        <v>0</v>
      </c>
      <c r="O391" s="5">
        <v>0</v>
      </c>
      <c r="P391" s="5">
        <v>10563.82</v>
      </c>
      <c r="Q391" s="5">
        <v>0</v>
      </c>
      <c r="R391" s="1" t="s">
        <v>15</v>
      </c>
      <c r="S391" s="5">
        <v>0</v>
      </c>
      <c r="T391">
        <f>VLOOKUP(L391,'MIS COMPROBANTES'!E:Q,13,0)</f>
        <v>454244.17</v>
      </c>
    </row>
    <row r="392" spans="1:20" x14ac:dyDescent="0.3">
      <c r="A392" s="3">
        <v>45435</v>
      </c>
      <c r="B392" s="1" t="s">
        <v>471</v>
      </c>
      <c r="C392" s="1" t="s">
        <v>472</v>
      </c>
      <c r="D392" s="1" t="s">
        <v>18</v>
      </c>
      <c r="E392" s="1" t="s">
        <v>730</v>
      </c>
      <c r="F392" s="4">
        <v>12025</v>
      </c>
      <c r="G392" s="1" t="s">
        <v>19</v>
      </c>
      <c r="H392" s="1" t="s">
        <v>477</v>
      </c>
      <c r="I392" s="1" t="s">
        <v>757</v>
      </c>
      <c r="J392" s="1">
        <v>702</v>
      </c>
      <c r="K392" s="1">
        <v>427817</v>
      </c>
      <c r="L392" s="7" t="str">
        <f t="shared" si="6"/>
        <v>30500858628702427817</v>
      </c>
      <c r="M392" s="5">
        <v>21</v>
      </c>
      <c r="N392" s="5">
        <v>0</v>
      </c>
      <c r="O392" s="5">
        <v>551565.68999999994</v>
      </c>
      <c r="P392" s="5">
        <v>115828.79</v>
      </c>
      <c r="Q392" s="5">
        <v>711519.73</v>
      </c>
      <c r="R392" s="1" t="s">
        <v>15</v>
      </c>
      <c r="S392" s="5">
        <v>27578.28</v>
      </c>
      <c r="T392">
        <f>VLOOKUP(L392,'MIS COMPROBANTES'!E:Q,13,0)</f>
        <v>711519.73</v>
      </c>
    </row>
    <row r="393" spans="1:20" x14ac:dyDescent="0.3">
      <c r="A393" s="3">
        <v>45435</v>
      </c>
      <c r="B393" s="1" t="s">
        <v>471</v>
      </c>
      <c r="C393" s="1" t="s">
        <v>472</v>
      </c>
      <c r="D393" s="1" t="s">
        <v>18</v>
      </c>
      <c r="E393" s="1" t="s">
        <v>730</v>
      </c>
      <c r="F393" s="4">
        <v>12025</v>
      </c>
      <c r="G393" s="1" t="s">
        <v>19</v>
      </c>
      <c r="H393" s="1" t="s">
        <v>477</v>
      </c>
      <c r="I393" s="1" t="s">
        <v>757</v>
      </c>
      <c r="J393" s="1">
        <v>702</v>
      </c>
      <c r="K393" s="1">
        <v>427817</v>
      </c>
      <c r="L393" s="7" t="str">
        <f t="shared" si="6"/>
        <v>30500858628702427817</v>
      </c>
      <c r="M393" s="5">
        <v>3</v>
      </c>
      <c r="N393" s="5">
        <v>0</v>
      </c>
      <c r="O393" s="5">
        <v>0</v>
      </c>
      <c r="P393" s="5">
        <v>16546.97</v>
      </c>
      <c r="Q393" s="5">
        <v>0</v>
      </c>
      <c r="R393" s="1" t="s">
        <v>15</v>
      </c>
      <c r="S393" s="5">
        <v>0</v>
      </c>
      <c r="T393">
        <f>VLOOKUP(L393,'MIS COMPROBANTES'!E:Q,13,0)</f>
        <v>711519.73</v>
      </c>
    </row>
    <row r="394" spans="1:20" x14ac:dyDescent="0.3">
      <c r="A394" s="3">
        <v>45435</v>
      </c>
      <c r="B394" s="1" t="s">
        <v>236</v>
      </c>
      <c r="C394" s="1" t="s">
        <v>237</v>
      </c>
      <c r="D394" s="1" t="s">
        <v>18</v>
      </c>
      <c r="E394" s="1" t="s">
        <v>691</v>
      </c>
      <c r="F394" s="4">
        <v>12028</v>
      </c>
      <c r="G394" s="1" t="s">
        <v>19</v>
      </c>
      <c r="H394" s="1" t="s">
        <v>478</v>
      </c>
      <c r="I394" s="1" t="s">
        <v>757</v>
      </c>
      <c r="J394" s="1">
        <v>6004</v>
      </c>
      <c r="K394" s="1">
        <v>3631374</v>
      </c>
      <c r="L394" s="7" t="str">
        <f t="shared" si="6"/>
        <v>3050111624260043631374</v>
      </c>
      <c r="M394" s="5">
        <v>21</v>
      </c>
      <c r="N394" s="5">
        <v>0</v>
      </c>
      <c r="O394" s="5">
        <v>1102669.4099999999</v>
      </c>
      <c r="P394" s="5">
        <v>231560.58</v>
      </c>
      <c r="Q394" s="5">
        <v>1389363.46</v>
      </c>
      <c r="R394" s="1" t="s">
        <v>15</v>
      </c>
      <c r="S394" s="5">
        <v>22053.39</v>
      </c>
      <c r="T394">
        <f>VLOOKUP(L394,'MIS COMPROBANTES'!E:Q,13,0)</f>
        <v>1389363.46</v>
      </c>
    </row>
    <row r="395" spans="1:20" x14ac:dyDescent="0.3">
      <c r="A395" s="3">
        <v>45435</v>
      </c>
      <c r="B395" s="1" t="s">
        <v>236</v>
      </c>
      <c r="C395" s="1" t="s">
        <v>237</v>
      </c>
      <c r="D395" s="1" t="s">
        <v>18</v>
      </c>
      <c r="E395" s="1" t="s">
        <v>691</v>
      </c>
      <c r="F395" s="4">
        <v>12028</v>
      </c>
      <c r="G395" s="1" t="s">
        <v>19</v>
      </c>
      <c r="H395" s="1" t="s">
        <v>478</v>
      </c>
      <c r="I395" s="1" t="s">
        <v>757</v>
      </c>
      <c r="J395" s="1">
        <v>6004</v>
      </c>
      <c r="K395" s="1">
        <v>3631374</v>
      </c>
      <c r="L395" s="7" t="str">
        <f t="shared" si="6"/>
        <v>3050111624260043631374</v>
      </c>
      <c r="M395" s="5">
        <v>3</v>
      </c>
      <c r="N395" s="5">
        <v>0</v>
      </c>
      <c r="O395" s="5">
        <v>0</v>
      </c>
      <c r="P395" s="5">
        <v>33080.080000000002</v>
      </c>
      <c r="Q395" s="5">
        <v>0</v>
      </c>
      <c r="R395" s="1" t="s">
        <v>15</v>
      </c>
      <c r="S395" s="5">
        <v>0</v>
      </c>
      <c r="T395">
        <f>VLOOKUP(L395,'MIS COMPROBANTES'!E:Q,13,0)</f>
        <v>1389363.46</v>
      </c>
    </row>
    <row r="396" spans="1:20" x14ac:dyDescent="0.3">
      <c r="A396" s="3">
        <v>45435</v>
      </c>
      <c r="B396" s="1" t="s">
        <v>41</v>
      </c>
      <c r="C396" s="1" t="s">
        <v>42</v>
      </c>
      <c r="D396" s="1" t="s">
        <v>18</v>
      </c>
      <c r="E396" s="1" t="s">
        <v>640</v>
      </c>
      <c r="F396" s="4">
        <v>12030</v>
      </c>
      <c r="G396" s="1" t="s">
        <v>19</v>
      </c>
      <c r="H396" s="1" t="s">
        <v>479</v>
      </c>
      <c r="I396" s="1" t="s">
        <v>757</v>
      </c>
      <c r="J396" s="1">
        <v>6156</v>
      </c>
      <c r="K396" s="1">
        <v>6776549</v>
      </c>
      <c r="L396" s="7" t="str">
        <f t="shared" si="6"/>
        <v>3054724233161566776549</v>
      </c>
      <c r="M396" s="5">
        <v>21</v>
      </c>
      <c r="N396" s="5">
        <v>0</v>
      </c>
      <c r="O396" s="5">
        <v>279575.53000000003</v>
      </c>
      <c r="P396" s="5">
        <v>58710.86</v>
      </c>
      <c r="Q396" s="5">
        <v>351879.27</v>
      </c>
      <c r="R396" s="1" t="s">
        <v>15</v>
      </c>
      <c r="S396" s="5">
        <v>5591.51</v>
      </c>
      <c r="T396">
        <f>VLOOKUP(L396,'MIS COMPROBANTES'!E:Q,13,0)</f>
        <v>351879.27</v>
      </c>
    </row>
    <row r="397" spans="1:20" x14ac:dyDescent="0.3">
      <c r="A397" s="3">
        <v>45435</v>
      </c>
      <c r="B397" s="1" t="s">
        <v>41</v>
      </c>
      <c r="C397" s="1" t="s">
        <v>42</v>
      </c>
      <c r="D397" s="1" t="s">
        <v>18</v>
      </c>
      <c r="E397" s="1" t="s">
        <v>640</v>
      </c>
      <c r="F397" s="4">
        <v>12030</v>
      </c>
      <c r="G397" s="1" t="s">
        <v>19</v>
      </c>
      <c r="H397" s="1" t="s">
        <v>479</v>
      </c>
      <c r="I397" s="1" t="s">
        <v>757</v>
      </c>
      <c r="J397" s="1">
        <v>6156</v>
      </c>
      <c r="K397" s="1">
        <v>6776549</v>
      </c>
      <c r="L397" s="7" t="str">
        <f t="shared" si="6"/>
        <v>3054724233161566776549</v>
      </c>
      <c r="M397" s="5">
        <v>3</v>
      </c>
      <c r="N397" s="5">
        <v>0</v>
      </c>
      <c r="O397" s="5">
        <v>0</v>
      </c>
      <c r="P397" s="5">
        <v>8001.37</v>
      </c>
      <c r="Q397" s="5">
        <v>0</v>
      </c>
      <c r="R397" s="1" t="s">
        <v>15</v>
      </c>
      <c r="S397" s="5">
        <v>0</v>
      </c>
      <c r="T397">
        <f>VLOOKUP(L397,'MIS COMPROBANTES'!E:Q,13,0)</f>
        <v>351879.27</v>
      </c>
    </row>
    <row r="398" spans="1:20" x14ac:dyDescent="0.3">
      <c r="A398" s="3">
        <v>45435</v>
      </c>
      <c r="B398" s="1" t="s">
        <v>480</v>
      </c>
      <c r="C398" s="1" t="s">
        <v>481</v>
      </c>
      <c r="D398" s="1" t="s">
        <v>18</v>
      </c>
      <c r="E398" s="1" t="s">
        <v>731</v>
      </c>
      <c r="F398" s="4">
        <v>12129</v>
      </c>
      <c r="G398" s="1" t="s">
        <v>27</v>
      </c>
      <c r="H398" s="1" t="s">
        <v>482</v>
      </c>
      <c r="I398" s="1" t="s">
        <v>757</v>
      </c>
      <c r="J398" s="1">
        <v>7</v>
      </c>
      <c r="K398" s="1">
        <v>359</v>
      </c>
      <c r="L398" s="7" t="str">
        <f t="shared" si="6"/>
        <v>307083059167359</v>
      </c>
      <c r="M398" s="5">
        <v>21</v>
      </c>
      <c r="N398" s="5">
        <v>0</v>
      </c>
      <c r="O398" s="5">
        <v>-5120</v>
      </c>
      <c r="P398" s="5">
        <v>-1075.2</v>
      </c>
      <c r="Q398" s="5">
        <v>-6195.2</v>
      </c>
      <c r="R398" s="1" t="s">
        <v>15</v>
      </c>
      <c r="S398" s="5">
        <v>0</v>
      </c>
      <c r="T398">
        <f>VLOOKUP(L398,'MIS COMPROBANTES'!E:Q,13,0)</f>
        <v>6195.2</v>
      </c>
    </row>
    <row r="399" spans="1:20" x14ac:dyDescent="0.3">
      <c r="A399" s="3">
        <v>45435</v>
      </c>
      <c r="B399" s="1" t="s">
        <v>51</v>
      </c>
      <c r="C399" s="1" t="s">
        <v>52</v>
      </c>
      <c r="D399" s="1" t="s">
        <v>18</v>
      </c>
      <c r="E399" s="1" t="s">
        <v>643</v>
      </c>
      <c r="F399" s="4">
        <v>12126</v>
      </c>
      <c r="G399" s="1" t="s">
        <v>27</v>
      </c>
      <c r="H399" s="1" t="s">
        <v>483</v>
      </c>
      <c r="I399" s="1" t="s">
        <v>757</v>
      </c>
      <c r="J399" s="1">
        <v>10</v>
      </c>
      <c r="K399" s="1">
        <v>7715</v>
      </c>
      <c r="L399" s="7" t="str">
        <f t="shared" si="6"/>
        <v>30552910512107715</v>
      </c>
      <c r="M399" s="5">
        <v>21</v>
      </c>
      <c r="N399" s="5">
        <v>0</v>
      </c>
      <c r="O399" s="5">
        <v>-5550</v>
      </c>
      <c r="P399" s="5">
        <v>-1165.5</v>
      </c>
      <c r="Q399" s="5">
        <v>-6993</v>
      </c>
      <c r="R399" s="1" t="s">
        <v>15</v>
      </c>
      <c r="S399" s="5">
        <v>-111</v>
      </c>
      <c r="T399">
        <f>VLOOKUP(L399,'MIS COMPROBANTES'!E:Q,13,0)</f>
        <v>6993</v>
      </c>
    </row>
    <row r="400" spans="1:20" x14ac:dyDescent="0.3">
      <c r="A400" s="3">
        <v>45435</v>
      </c>
      <c r="B400" s="1" t="s">
        <v>51</v>
      </c>
      <c r="C400" s="1" t="s">
        <v>52</v>
      </c>
      <c r="D400" s="1" t="s">
        <v>18</v>
      </c>
      <c r="E400" s="1" t="s">
        <v>643</v>
      </c>
      <c r="F400" s="4">
        <v>12126</v>
      </c>
      <c r="G400" s="1" t="s">
        <v>27</v>
      </c>
      <c r="H400" s="1" t="s">
        <v>483</v>
      </c>
      <c r="I400" s="1" t="s">
        <v>757</v>
      </c>
      <c r="J400" s="1">
        <v>10</v>
      </c>
      <c r="K400" s="1">
        <v>7715</v>
      </c>
      <c r="L400" s="7" t="str">
        <f t="shared" si="6"/>
        <v>30552910512107715</v>
      </c>
      <c r="M400" s="5">
        <v>3</v>
      </c>
      <c r="N400" s="5">
        <v>0</v>
      </c>
      <c r="O400" s="5">
        <v>0</v>
      </c>
      <c r="P400" s="5">
        <v>-166.5</v>
      </c>
      <c r="Q400" s="5">
        <v>0</v>
      </c>
      <c r="R400" s="1" t="s">
        <v>15</v>
      </c>
      <c r="S400" s="5">
        <v>0</v>
      </c>
      <c r="T400">
        <f>VLOOKUP(L400,'MIS COMPROBANTES'!E:Q,13,0)</f>
        <v>6993</v>
      </c>
    </row>
    <row r="401" spans="1:20" x14ac:dyDescent="0.3">
      <c r="A401" s="3">
        <v>45435</v>
      </c>
      <c r="B401" s="1" t="s">
        <v>471</v>
      </c>
      <c r="C401" s="1" t="s">
        <v>472</v>
      </c>
      <c r="D401" s="1" t="s">
        <v>18</v>
      </c>
      <c r="E401" s="1" t="s">
        <v>730</v>
      </c>
      <c r="F401" s="4">
        <v>12150</v>
      </c>
      <c r="G401" s="1" t="s">
        <v>27</v>
      </c>
      <c r="H401" s="1" t="s">
        <v>484</v>
      </c>
      <c r="I401" s="1" t="s">
        <v>757</v>
      </c>
      <c r="J401" s="1">
        <v>702</v>
      </c>
      <c r="K401" s="1">
        <v>36797</v>
      </c>
      <c r="L401" s="7" t="str">
        <f t="shared" si="6"/>
        <v>3050085862870236797</v>
      </c>
      <c r="M401" s="5">
        <v>21</v>
      </c>
      <c r="N401" s="5">
        <v>0</v>
      </c>
      <c r="O401" s="5">
        <v>-19698.77</v>
      </c>
      <c r="P401" s="5">
        <v>-4136.74</v>
      </c>
      <c r="Q401" s="5">
        <v>-24426.47</v>
      </c>
      <c r="R401" s="1" t="s">
        <v>15</v>
      </c>
      <c r="S401" s="5">
        <v>0</v>
      </c>
      <c r="T401">
        <f>VLOOKUP(L401,'MIS COMPROBANTES'!E:Q,13,0)</f>
        <v>24426.47</v>
      </c>
    </row>
    <row r="402" spans="1:20" x14ac:dyDescent="0.3">
      <c r="A402" s="3">
        <v>45435</v>
      </c>
      <c r="B402" s="1" t="s">
        <v>471</v>
      </c>
      <c r="C402" s="1" t="s">
        <v>472</v>
      </c>
      <c r="D402" s="1" t="s">
        <v>18</v>
      </c>
      <c r="E402" s="1" t="s">
        <v>730</v>
      </c>
      <c r="F402" s="4">
        <v>12150</v>
      </c>
      <c r="G402" s="1" t="s">
        <v>27</v>
      </c>
      <c r="H402" s="1" t="s">
        <v>484</v>
      </c>
      <c r="I402" s="1" t="s">
        <v>757</v>
      </c>
      <c r="J402" s="1">
        <v>702</v>
      </c>
      <c r="K402" s="1">
        <v>36797</v>
      </c>
      <c r="L402" s="7" t="str">
        <f t="shared" si="6"/>
        <v>3050085862870236797</v>
      </c>
      <c r="M402" s="5">
        <v>3</v>
      </c>
      <c r="N402" s="5">
        <v>0</v>
      </c>
      <c r="O402" s="5">
        <v>0</v>
      </c>
      <c r="P402" s="5">
        <v>-590.96</v>
      </c>
      <c r="Q402" s="5">
        <v>0</v>
      </c>
      <c r="R402" s="1" t="s">
        <v>15</v>
      </c>
      <c r="S402" s="5">
        <v>0</v>
      </c>
      <c r="T402">
        <f>VLOOKUP(L402,'MIS COMPROBANTES'!E:Q,13,0)</f>
        <v>24426.47</v>
      </c>
    </row>
    <row r="403" spans="1:20" x14ac:dyDescent="0.3">
      <c r="A403" s="3">
        <v>45436</v>
      </c>
      <c r="B403" s="1" t="s">
        <v>189</v>
      </c>
      <c r="C403" s="1" t="s">
        <v>190</v>
      </c>
      <c r="D403" s="1" t="s">
        <v>18</v>
      </c>
      <c r="E403" s="1" t="s">
        <v>680</v>
      </c>
      <c r="F403" s="4">
        <v>12047</v>
      </c>
      <c r="G403" s="1" t="s">
        <v>19</v>
      </c>
      <c r="H403" s="1" t="s">
        <v>485</v>
      </c>
      <c r="I403" s="1" t="s">
        <v>757</v>
      </c>
      <c r="J403" s="1">
        <v>1</v>
      </c>
      <c r="K403" s="1">
        <v>794</v>
      </c>
      <c r="L403" s="7" t="str">
        <f t="shared" si="6"/>
        <v>307150480661794</v>
      </c>
      <c r="M403" s="5">
        <v>21</v>
      </c>
      <c r="N403" s="5">
        <v>0</v>
      </c>
      <c r="O403" s="5">
        <v>5700002</v>
      </c>
      <c r="P403" s="5">
        <v>1197000.42</v>
      </c>
      <c r="Q403" s="5">
        <v>6897002.4199999999</v>
      </c>
      <c r="R403" s="1" t="s">
        <v>15</v>
      </c>
      <c r="S403" s="5">
        <v>0</v>
      </c>
      <c r="T403">
        <f>VLOOKUP(L403,'MIS COMPROBANTES'!E:Q,13,0)</f>
        <v>6897002.4199999999</v>
      </c>
    </row>
    <row r="404" spans="1:20" x14ac:dyDescent="0.3">
      <c r="A404" s="3">
        <v>45436</v>
      </c>
      <c r="B404" s="1" t="s">
        <v>218</v>
      </c>
      <c r="C404" s="1" t="s">
        <v>219</v>
      </c>
      <c r="D404" s="1" t="s">
        <v>18</v>
      </c>
      <c r="E404" s="1" t="s">
        <v>686</v>
      </c>
      <c r="F404" s="4">
        <v>12091</v>
      </c>
      <c r="G404" s="1" t="s">
        <v>19</v>
      </c>
      <c r="H404" s="1" t="s">
        <v>486</v>
      </c>
      <c r="I404" s="1" t="s">
        <v>757</v>
      </c>
      <c r="J404" s="1">
        <v>1</v>
      </c>
      <c r="K404" s="1">
        <v>2381</v>
      </c>
      <c r="L404" s="7" t="str">
        <f t="shared" si="6"/>
        <v>3071616110912381</v>
      </c>
      <c r="M404" s="5">
        <v>21</v>
      </c>
      <c r="N404" s="5">
        <v>0</v>
      </c>
      <c r="O404" s="5">
        <v>1041690</v>
      </c>
      <c r="P404" s="5">
        <v>218754.9</v>
      </c>
      <c r="Q404" s="5">
        <v>1260444.8999999999</v>
      </c>
      <c r="R404" s="1" t="s">
        <v>15</v>
      </c>
      <c r="S404" s="5">
        <v>0</v>
      </c>
      <c r="T404">
        <f>VLOOKUP(L404,'MIS COMPROBANTES'!E:Q,13,0)</f>
        <v>1260444.8999999999</v>
      </c>
    </row>
    <row r="405" spans="1:20" x14ac:dyDescent="0.3">
      <c r="A405" s="3">
        <v>45436</v>
      </c>
      <c r="B405" s="1" t="s">
        <v>286</v>
      </c>
      <c r="C405" s="1" t="s">
        <v>287</v>
      </c>
      <c r="D405" s="1" t="s">
        <v>18</v>
      </c>
      <c r="E405" s="1" t="s">
        <v>702</v>
      </c>
      <c r="F405" s="4">
        <v>12277</v>
      </c>
      <c r="G405" s="1" t="s">
        <v>19</v>
      </c>
      <c r="H405" s="1" t="s">
        <v>487</v>
      </c>
      <c r="I405" s="1" t="s">
        <v>757</v>
      </c>
      <c r="J405" s="1">
        <v>1</v>
      </c>
      <c r="K405" s="1">
        <v>5605</v>
      </c>
      <c r="L405" s="7" t="str">
        <f t="shared" si="6"/>
        <v>3071642303015605</v>
      </c>
      <c r="M405" s="5">
        <v>21</v>
      </c>
      <c r="N405" s="5">
        <v>0</v>
      </c>
      <c r="O405" s="5">
        <v>822235.16</v>
      </c>
      <c r="P405" s="5">
        <v>172669.38</v>
      </c>
      <c r="Q405" s="5">
        <v>994904.54</v>
      </c>
      <c r="R405" s="1" t="s">
        <v>15</v>
      </c>
      <c r="S405" s="5">
        <v>0</v>
      </c>
      <c r="T405">
        <f>VLOOKUP(L405,'MIS COMPROBANTES'!E:Q,13,0)</f>
        <v>994904.54</v>
      </c>
    </row>
    <row r="406" spans="1:20" x14ac:dyDescent="0.3">
      <c r="A406" s="3">
        <v>45436</v>
      </c>
      <c r="B406" s="1" t="s">
        <v>488</v>
      </c>
      <c r="C406" s="1" t="s">
        <v>489</v>
      </c>
      <c r="D406" s="1" t="s">
        <v>18</v>
      </c>
      <c r="E406" s="1" t="s">
        <v>732</v>
      </c>
      <c r="F406" s="4">
        <v>12081</v>
      </c>
      <c r="G406" s="1" t="s">
        <v>19</v>
      </c>
      <c r="H406" s="1" t="s">
        <v>490</v>
      </c>
      <c r="I406" s="1" t="s">
        <v>757</v>
      </c>
      <c r="J406" s="1">
        <v>2</v>
      </c>
      <c r="K406" s="1">
        <v>2550</v>
      </c>
      <c r="L406" s="7" t="str">
        <f t="shared" si="6"/>
        <v>2018057502322550</v>
      </c>
      <c r="M406" s="5">
        <v>21</v>
      </c>
      <c r="N406" s="5">
        <v>0</v>
      </c>
      <c r="O406" s="5">
        <v>32000</v>
      </c>
      <c r="P406" s="5">
        <v>6720</v>
      </c>
      <c r="Q406" s="5">
        <v>38720</v>
      </c>
      <c r="R406" s="1" t="s">
        <v>15</v>
      </c>
      <c r="S406" s="5">
        <v>0</v>
      </c>
      <c r="T406">
        <f>VLOOKUP(L406,'MIS COMPROBANTES'!E:Q,13,0)</f>
        <v>38720</v>
      </c>
    </row>
    <row r="407" spans="1:20" x14ac:dyDescent="0.3">
      <c r="A407" s="3">
        <v>45436</v>
      </c>
      <c r="B407" s="1" t="s">
        <v>70</v>
      </c>
      <c r="C407" s="1" t="s">
        <v>71</v>
      </c>
      <c r="D407" s="1" t="s">
        <v>18</v>
      </c>
      <c r="E407" s="1" t="s">
        <v>649</v>
      </c>
      <c r="F407" s="4">
        <v>12049</v>
      </c>
      <c r="G407" s="1" t="s">
        <v>19</v>
      </c>
      <c r="H407" s="1" t="s">
        <v>491</v>
      </c>
      <c r="I407" s="1" t="s">
        <v>757</v>
      </c>
      <c r="J407" s="1">
        <v>3</v>
      </c>
      <c r="K407" s="1">
        <v>100844</v>
      </c>
      <c r="L407" s="7" t="str">
        <f t="shared" si="6"/>
        <v>307039574783100844</v>
      </c>
      <c r="M407" s="5">
        <v>21</v>
      </c>
      <c r="N407" s="5">
        <v>0</v>
      </c>
      <c r="O407" s="5">
        <v>1117880.99</v>
      </c>
      <c r="P407" s="5">
        <v>234755.01</v>
      </c>
      <c r="Q407" s="5">
        <v>1374993.62</v>
      </c>
      <c r="R407" s="1" t="s">
        <v>15</v>
      </c>
      <c r="S407" s="5">
        <v>22357.62</v>
      </c>
      <c r="T407">
        <f>VLOOKUP(L407,'MIS COMPROBANTES'!E:Q,13,0)</f>
        <v>1374993.62</v>
      </c>
    </row>
    <row r="408" spans="1:20" x14ac:dyDescent="0.3">
      <c r="A408" s="3">
        <v>45436</v>
      </c>
      <c r="B408" s="1" t="s">
        <v>492</v>
      </c>
      <c r="C408" s="1" t="s">
        <v>493</v>
      </c>
      <c r="D408" s="1" t="s">
        <v>18</v>
      </c>
      <c r="E408" s="1" t="s">
        <v>733</v>
      </c>
      <c r="F408" s="4">
        <v>12231</v>
      </c>
      <c r="G408" s="1" t="s">
        <v>19</v>
      </c>
      <c r="H408" s="1" t="s">
        <v>494</v>
      </c>
      <c r="I408" s="1" t="s">
        <v>757</v>
      </c>
      <c r="J408" s="1">
        <v>6</v>
      </c>
      <c r="K408" s="1">
        <v>7006</v>
      </c>
      <c r="L408" s="7" t="str">
        <f t="shared" si="6"/>
        <v>2721494210667006</v>
      </c>
      <c r="M408" s="5">
        <v>21</v>
      </c>
      <c r="N408" s="5">
        <v>0</v>
      </c>
      <c r="O408" s="5">
        <v>15702.48</v>
      </c>
      <c r="P408" s="5">
        <v>3297.52</v>
      </c>
      <c r="Q408" s="5">
        <v>19000</v>
      </c>
      <c r="R408" s="1" t="s">
        <v>15</v>
      </c>
      <c r="S408" s="5">
        <v>0</v>
      </c>
      <c r="T408">
        <f>VLOOKUP(L408,'MIS COMPROBANTES'!E:Q,13,0)</f>
        <v>19000</v>
      </c>
    </row>
    <row r="409" spans="1:20" x14ac:dyDescent="0.3">
      <c r="A409" s="3">
        <v>45436</v>
      </c>
      <c r="B409" s="1" t="s">
        <v>51</v>
      </c>
      <c r="C409" s="1" t="s">
        <v>52</v>
      </c>
      <c r="D409" s="1" t="s">
        <v>18</v>
      </c>
      <c r="E409" s="1" t="s">
        <v>643</v>
      </c>
      <c r="F409" s="4">
        <v>12094</v>
      </c>
      <c r="G409" s="1" t="s">
        <v>19</v>
      </c>
      <c r="H409" s="1" t="s">
        <v>495</v>
      </c>
      <c r="I409" s="1" t="s">
        <v>757</v>
      </c>
      <c r="J409" s="1">
        <v>10</v>
      </c>
      <c r="K409" s="1">
        <v>44701</v>
      </c>
      <c r="L409" s="7" t="str">
        <f t="shared" si="6"/>
        <v>305529105121044701</v>
      </c>
      <c r="M409" s="5">
        <v>21</v>
      </c>
      <c r="N409" s="5">
        <v>0</v>
      </c>
      <c r="O409" s="5">
        <v>8172000</v>
      </c>
      <c r="P409" s="5">
        <v>1716120</v>
      </c>
      <c r="Q409" s="5">
        <v>10296720</v>
      </c>
      <c r="R409" s="1" t="s">
        <v>15</v>
      </c>
      <c r="S409" s="5">
        <v>163440</v>
      </c>
      <c r="T409">
        <f>VLOOKUP(L409,'MIS COMPROBANTES'!E:Q,13,0)</f>
        <v>10296720</v>
      </c>
    </row>
    <row r="410" spans="1:20" x14ac:dyDescent="0.3">
      <c r="A410" s="3">
        <v>45436</v>
      </c>
      <c r="B410" s="1" t="s">
        <v>51</v>
      </c>
      <c r="C410" s="1" t="s">
        <v>52</v>
      </c>
      <c r="D410" s="1" t="s">
        <v>18</v>
      </c>
      <c r="E410" s="1" t="s">
        <v>643</v>
      </c>
      <c r="F410" s="4">
        <v>12094</v>
      </c>
      <c r="G410" s="1" t="s">
        <v>19</v>
      </c>
      <c r="H410" s="1" t="s">
        <v>495</v>
      </c>
      <c r="I410" s="1" t="s">
        <v>757</v>
      </c>
      <c r="J410" s="1">
        <v>10</v>
      </c>
      <c r="K410" s="1">
        <v>44701</v>
      </c>
      <c r="L410" s="7" t="str">
        <f t="shared" si="6"/>
        <v>305529105121044701</v>
      </c>
      <c r="M410" s="5">
        <v>3</v>
      </c>
      <c r="N410" s="5">
        <v>0</v>
      </c>
      <c r="O410" s="5">
        <v>0</v>
      </c>
      <c r="P410" s="5">
        <v>245160</v>
      </c>
      <c r="Q410" s="5">
        <v>0</v>
      </c>
      <c r="R410" s="1" t="s">
        <v>15</v>
      </c>
      <c r="S410" s="5">
        <v>0</v>
      </c>
      <c r="T410">
        <f>VLOOKUP(L410,'MIS COMPROBANTES'!E:Q,13,0)</f>
        <v>10296720</v>
      </c>
    </row>
    <row r="411" spans="1:20" x14ac:dyDescent="0.3">
      <c r="A411" s="3">
        <v>45436</v>
      </c>
      <c r="B411" s="1" t="s">
        <v>458</v>
      </c>
      <c r="C411" s="1" t="s">
        <v>459</v>
      </c>
      <c r="D411" s="1" t="s">
        <v>18</v>
      </c>
      <c r="E411" s="1" t="s">
        <v>727</v>
      </c>
      <c r="F411" s="4">
        <v>12144</v>
      </c>
      <c r="G411" s="1" t="s">
        <v>19</v>
      </c>
      <c r="H411" s="1" t="s">
        <v>496</v>
      </c>
      <c r="I411" s="1" t="s">
        <v>757</v>
      </c>
      <c r="J411" s="1">
        <v>12</v>
      </c>
      <c r="K411" s="1">
        <v>53175</v>
      </c>
      <c r="L411" s="7" t="str">
        <f t="shared" si="6"/>
        <v>307089380211253175</v>
      </c>
      <c r="M411" s="5">
        <v>21</v>
      </c>
      <c r="N411" s="5">
        <v>0</v>
      </c>
      <c r="O411" s="5">
        <v>2694950</v>
      </c>
      <c r="P411" s="5">
        <v>565939.5</v>
      </c>
      <c r="Q411" s="5">
        <v>3314788.5</v>
      </c>
      <c r="R411" s="1" t="s">
        <v>15</v>
      </c>
      <c r="S411" s="5">
        <v>53899</v>
      </c>
      <c r="T411">
        <f>VLOOKUP(L411,'MIS COMPROBANTES'!E:Q,13,0)</f>
        <v>3314788.5</v>
      </c>
    </row>
    <row r="412" spans="1:20" x14ac:dyDescent="0.3">
      <c r="A412" s="3">
        <v>45436</v>
      </c>
      <c r="B412" s="1" t="s">
        <v>138</v>
      </c>
      <c r="C412" s="1" t="s">
        <v>139</v>
      </c>
      <c r="D412" s="1" t="s">
        <v>18</v>
      </c>
      <c r="E412" s="1" t="s">
        <v>667</v>
      </c>
      <c r="F412" s="4">
        <v>12092</v>
      </c>
      <c r="G412" s="1" t="s">
        <v>19</v>
      </c>
      <c r="H412" s="1" t="s">
        <v>497</v>
      </c>
      <c r="I412" s="1" t="s">
        <v>757</v>
      </c>
      <c r="J412" s="1">
        <v>90</v>
      </c>
      <c r="K412" s="1">
        <v>440251</v>
      </c>
      <c r="L412" s="7" t="str">
        <f t="shared" si="6"/>
        <v>3070705980690440251</v>
      </c>
      <c r="M412" s="5">
        <v>21</v>
      </c>
      <c r="N412" s="5">
        <v>0</v>
      </c>
      <c r="O412" s="5">
        <v>804677.5</v>
      </c>
      <c r="P412" s="5">
        <v>168982.28</v>
      </c>
      <c r="Q412" s="5">
        <v>1038033.99</v>
      </c>
      <c r="R412" s="1" t="s">
        <v>141</v>
      </c>
      <c r="S412" s="5">
        <v>40233.879999999997</v>
      </c>
      <c r="T412">
        <f>VLOOKUP(L412,'MIS COMPROBANTES'!E:Q,13,0)</f>
        <v>1038033.99</v>
      </c>
    </row>
    <row r="413" spans="1:20" x14ac:dyDescent="0.3">
      <c r="A413" s="3">
        <v>45436</v>
      </c>
      <c r="B413" s="1" t="s">
        <v>138</v>
      </c>
      <c r="C413" s="1" t="s">
        <v>139</v>
      </c>
      <c r="D413" s="1" t="s">
        <v>18</v>
      </c>
      <c r="E413" s="1" t="s">
        <v>667</v>
      </c>
      <c r="F413" s="4">
        <v>12092</v>
      </c>
      <c r="G413" s="1" t="s">
        <v>19</v>
      </c>
      <c r="H413" s="1" t="s">
        <v>497</v>
      </c>
      <c r="I413" s="1" t="s">
        <v>757</v>
      </c>
      <c r="J413" s="1">
        <v>90</v>
      </c>
      <c r="K413" s="1">
        <v>440251</v>
      </c>
      <c r="L413" s="7" t="str">
        <f t="shared" si="6"/>
        <v>3070705980690440251</v>
      </c>
      <c r="M413" s="5">
        <v>3</v>
      </c>
      <c r="N413" s="5">
        <v>0</v>
      </c>
      <c r="O413" s="5">
        <v>0</v>
      </c>
      <c r="P413" s="5">
        <v>24140.33</v>
      </c>
      <c r="Q413" s="5">
        <v>0</v>
      </c>
      <c r="R413" s="1" t="s">
        <v>141</v>
      </c>
      <c r="S413" s="5">
        <v>0</v>
      </c>
      <c r="T413">
        <f>VLOOKUP(L413,'MIS COMPROBANTES'!E:Q,13,0)</f>
        <v>1038033.99</v>
      </c>
    </row>
    <row r="414" spans="1:20" x14ac:dyDescent="0.3">
      <c r="A414" s="3">
        <v>45436</v>
      </c>
      <c r="B414" s="1" t="s">
        <v>155</v>
      </c>
      <c r="C414" s="1" t="s">
        <v>156</v>
      </c>
      <c r="D414" s="1" t="s">
        <v>18</v>
      </c>
      <c r="E414" s="1" t="s">
        <v>671</v>
      </c>
      <c r="F414" s="4">
        <v>12096</v>
      </c>
      <c r="G414" s="1" t="s">
        <v>19</v>
      </c>
      <c r="H414" s="1" t="s">
        <v>498</v>
      </c>
      <c r="I414" s="1" t="s">
        <v>757</v>
      </c>
      <c r="J414" s="1">
        <v>2009</v>
      </c>
      <c r="K414" s="1">
        <v>38114</v>
      </c>
      <c r="L414" s="7" t="str">
        <f t="shared" si="6"/>
        <v>30700869918200938114</v>
      </c>
      <c r="M414" s="5">
        <v>21</v>
      </c>
      <c r="N414" s="5">
        <v>0</v>
      </c>
      <c r="O414" s="5">
        <v>10824000</v>
      </c>
      <c r="P414" s="5">
        <v>2273040</v>
      </c>
      <c r="Q414" s="5">
        <v>13962960</v>
      </c>
      <c r="R414" s="1" t="s">
        <v>15</v>
      </c>
      <c r="S414" s="5">
        <v>541200</v>
      </c>
      <c r="T414">
        <f>VLOOKUP(L414,'MIS COMPROBANTES'!E:Q,13,0)</f>
        <v>13962960</v>
      </c>
    </row>
    <row r="415" spans="1:20" x14ac:dyDescent="0.3">
      <c r="A415" s="3">
        <v>45436</v>
      </c>
      <c r="B415" s="1" t="s">
        <v>155</v>
      </c>
      <c r="C415" s="1" t="s">
        <v>156</v>
      </c>
      <c r="D415" s="1" t="s">
        <v>18</v>
      </c>
      <c r="E415" s="1" t="s">
        <v>671</v>
      </c>
      <c r="F415" s="4">
        <v>12096</v>
      </c>
      <c r="G415" s="1" t="s">
        <v>19</v>
      </c>
      <c r="H415" s="1" t="s">
        <v>498</v>
      </c>
      <c r="I415" s="1" t="s">
        <v>757</v>
      </c>
      <c r="J415" s="1">
        <v>2009</v>
      </c>
      <c r="K415" s="1">
        <v>38114</v>
      </c>
      <c r="L415" s="7" t="str">
        <f t="shared" si="6"/>
        <v>30700869918200938114</v>
      </c>
      <c r="M415" s="5">
        <v>3</v>
      </c>
      <c r="N415" s="5">
        <v>0</v>
      </c>
      <c r="O415" s="5">
        <v>0</v>
      </c>
      <c r="P415" s="5">
        <v>324720</v>
      </c>
      <c r="Q415" s="5">
        <v>0</v>
      </c>
      <c r="R415" s="1" t="s">
        <v>15</v>
      </c>
      <c r="S415" s="5">
        <v>0</v>
      </c>
      <c r="T415">
        <f>VLOOKUP(L415,'MIS COMPROBANTES'!E:Q,13,0)</f>
        <v>13962960</v>
      </c>
    </row>
    <row r="416" spans="1:20" x14ac:dyDescent="0.3">
      <c r="A416" s="3">
        <v>45436</v>
      </c>
      <c r="B416" s="1" t="s">
        <v>22</v>
      </c>
      <c r="C416" s="1" t="s">
        <v>23</v>
      </c>
      <c r="D416" s="1" t="s">
        <v>18</v>
      </c>
      <c r="E416" s="1" t="s">
        <v>634</v>
      </c>
      <c r="F416" s="4">
        <v>12289</v>
      </c>
      <c r="G416" s="1" t="s">
        <v>19</v>
      </c>
      <c r="H416" s="1" t="s">
        <v>499</v>
      </c>
      <c r="I416" s="1" t="s">
        <v>757</v>
      </c>
      <c r="J416" s="1">
        <v>5403</v>
      </c>
      <c r="K416" s="1">
        <v>628</v>
      </c>
      <c r="L416" s="7" t="str">
        <f t="shared" si="6"/>
        <v>306955424765403628</v>
      </c>
      <c r="M416" s="5">
        <v>21</v>
      </c>
      <c r="N416" s="5">
        <v>9739.7099999999991</v>
      </c>
      <c r="O416" s="5">
        <v>115922.6</v>
      </c>
      <c r="P416" s="5">
        <v>24343.75</v>
      </c>
      <c r="Q416" s="5">
        <v>153483.74</v>
      </c>
      <c r="R416" s="1" t="s">
        <v>15</v>
      </c>
      <c r="S416" s="5">
        <v>0</v>
      </c>
      <c r="T416" t="e">
        <f>VLOOKUP(L416,'MIS COMPROBANTES'!E:Q,13,0)</f>
        <v>#N/A</v>
      </c>
    </row>
    <row r="417" spans="1:20" x14ac:dyDescent="0.3">
      <c r="A417" s="3">
        <v>45436</v>
      </c>
      <c r="B417" s="1" t="s">
        <v>22</v>
      </c>
      <c r="C417" s="1" t="s">
        <v>23</v>
      </c>
      <c r="D417" s="1" t="s">
        <v>18</v>
      </c>
      <c r="E417" s="1" t="s">
        <v>634</v>
      </c>
      <c r="F417" s="4">
        <v>12289</v>
      </c>
      <c r="G417" s="1" t="s">
        <v>19</v>
      </c>
      <c r="H417" s="1" t="s">
        <v>499</v>
      </c>
      <c r="I417" s="1" t="s">
        <v>757</v>
      </c>
      <c r="J417" s="1">
        <v>5403</v>
      </c>
      <c r="K417" s="1">
        <v>628</v>
      </c>
      <c r="L417" s="7" t="str">
        <f t="shared" si="6"/>
        <v>306955424765403628</v>
      </c>
      <c r="M417" s="5">
        <v>3</v>
      </c>
      <c r="N417" s="5">
        <v>0</v>
      </c>
      <c r="O417" s="5">
        <v>0</v>
      </c>
      <c r="P417" s="5">
        <v>3477.68</v>
      </c>
      <c r="Q417" s="5">
        <v>0</v>
      </c>
      <c r="R417" s="1" t="s">
        <v>15</v>
      </c>
      <c r="S417" s="5">
        <v>0</v>
      </c>
      <c r="T417" t="e">
        <f>VLOOKUP(L417,'MIS COMPROBANTES'!E:Q,13,0)</f>
        <v>#N/A</v>
      </c>
    </row>
    <row r="418" spans="1:20" x14ac:dyDescent="0.3">
      <c r="A418" s="3">
        <v>45437</v>
      </c>
      <c r="B418" s="1" t="s">
        <v>500</v>
      </c>
      <c r="C418" s="1" t="s">
        <v>501</v>
      </c>
      <c r="D418" s="1" t="s">
        <v>18</v>
      </c>
      <c r="E418" s="1" t="s">
        <v>734</v>
      </c>
      <c r="F418" s="4">
        <v>12195</v>
      </c>
      <c r="G418" s="1" t="s">
        <v>19</v>
      </c>
      <c r="H418" s="1" t="s">
        <v>502</v>
      </c>
      <c r="I418" s="1" t="s">
        <v>757</v>
      </c>
      <c r="J418" s="1">
        <v>1</v>
      </c>
      <c r="K418" s="1">
        <v>111</v>
      </c>
      <c r="L418" s="7" t="str">
        <f t="shared" si="6"/>
        <v>272370246271111</v>
      </c>
      <c r="M418" s="5">
        <v>21</v>
      </c>
      <c r="N418" s="5">
        <v>0</v>
      </c>
      <c r="O418" s="5">
        <v>376033.06</v>
      </c>
      <c r="P418" s="5">
        <v>78966.94</v>
      </c>
      <c r="Q418" s="5">
        <v>455000</v>
      </c>
      <c r="R418" s="1" t="s">
        <v>15</v>
      </c>
      <c r="S418" s="5">
        <v>0</v>
      </c>
      <c r="T418">
        <f>VLOOKUP(L418,'MIS COMPROBANTES'!E:Q,13,0)</f>
        <v>455000</v>
      </c>
    </row>
    <row r="419" spans="1:20" x14ac:dyDescent="0.3">
      <c r="A419" s="3">
        <v>45439</v>
      </c>
      <c r="B419" s="1" t="s">
        <v>240</v>
      </c>
      <c r="C419" s="1" t="s">
        <v>241</v>
      </c>
      <c r="D419" s="1" t="s">
        <v>18</v>
      </c>
      <c r="E419" s="1" t="s">
        <v>692</v>
      </c>
      <c r="F419" s="4">
        <v>12116</v>
      </c>
      <c r="G419" s="1" t="s">
        <v>19</v>
      </c>
      <c r="H419" s="1" t="s">
        <v>503</v>
      </c>
      <c r="I419" s="1">
        <v>0</v>
      </c>
      <c r="J419" s="1">
        <v>10</v>
      </c>
      <c r="K419" s="1">
        <v>154675</v>
      </c>
      <c r="L419" s="7" t="str">
        <f t="shared" si="6"/>
        <v>3064221935510154675</v>
      </c>
      <c r="M419" s="5">
        <v>0</v>
      </c>
      <c r="N419" s="5">
        <v>0.65</v>
      </c>
      <c r="O419" s="5">
        <v>0</v>
      </c>
      <c r="P419" s="5">
        <v>0</v>
      </c>
      <c r="Q419" s="5">
        <v>0.65</v>
      </c>
      <c r="R419" s="1" t="s">
        <v>15</v>
      </c>
      <c r="S419" s="5">
        <v>0</v>
      </c>
      <c r="T419">
        <f>VLOOKUP(L419,'MIS COMPROBANTES'!E:Q,13,0)</f>
        <v>2697393.24</v>
      </c>
    </row>
    <row r="420" spans="1:20" x14ac:dyDescent="0.3">
      <c r="A420" s="3">
        <v>45439</v>
      </c>
      <c r="B420" s="1" t="s">
        <v>44</v>
      </c>
      <c r="C420" s="1" t="s">
        <v>45</v>
      </c>
      <c r="D420" s="1" t="s">
        <v>18</v>
      </c>
      <c r="E420" s="1" t="s">
        <v>641</v>
      </c>
      <c r="F420" s="4">
        <v>12139</v>
      </c>
      <c r="G420" s="1" t="s">
        <v>19</v>
      </c>
      <c r="H420" s="1" t="s">
        <v>504</v>
      </c>
      <c r="I420" s="1">
        <v>0</v>
      </c>
      <c r="J420" s="1">
        <v>2024</v>
      </c>
      <c r="K420" s="1">
        <v>90016901</v>
      </c>
      <c r="L420" s="7" t="str">
        <f t="shared" si="6"/>
        <v>30500008454202490016901</v>
      </c>
      <c r="M420" s="5">
        <v>10.5</v>
      </c>
      <c r="N420" s="5">
        <v>14044.63</v>
      </c>
      <c r="O420" s="5">
        <v>310152.96999999997</v>
      </c>
      <c r="P420" s="5">
        <v>32566.07</v>
      </c>
      <c r="Q420" s="5">
        <v>367322.61</v>
      </c>
      <c r="R420" s="1" t="s">
        <v>15</v>
      </c>
      <c r="S420" s="5">
        <v>6067.46</v>
      </c>
      <c r="T420" t="e">
        <f>VLOOKUP(L420,'MIS COMPROBANTES'!E:Q,13,0)</f>
        <v>#N/A</v>
      </c>
    </row>
    <row r="421" spans="1:20" x14ac:dyDescent="0.3">
      <c r="A421" s="3">
        <v>45439</v>
      </c>
      <c r="B421" s="1" t="s">
        <v>44</v>
      </c>
      <c r="C421" s="1" t="s">
        <v>45</v>
      </c>
      <c r="D421" s="1" t="s">
        <v>18</v>
      </c>
      <c r="E421" s="1" t="s">
        <v>641</v>
      </c>
      <c r="F421" s="4">
        <v>12139</v>
      </c>
      <c r="G421" s="1" t="s">
        <v>19</v>
      </c>
      <c r="H421" s="1" t="s">
        <v>504</v>
      </c>
      <c r="I421" s="1">
        <v>0</v>
      </c>
      <c r="J421" s="1">
        <v>2024</v>
      </c>
      <c r="K421" s="1">
        <v>90016901</v>
      </c>
      <c r="L421" s="7" t="str">
        <f t="shared" si="6"/>
        <v>30500008454202490016901</v>
      </c>
      <c r="M421" s="5">
        <v>1.5</v>
      </c>
      <c r="N421" s="5">
        <v>0</v>
      </c>
      <c r="O421" s="5">
        <v>0</v>
      </c>
      <c r="P421" s="5">
        <v>4491.4799999999996</v>
      </c>
      <c r="Q421" s="5">
        <v>0</v>
      </c>
      <c r="R421" s="1" t="s">
        <v>15</v>
      </c>
      <c r="S421" s="5">
        <v>0</v>
      </c>
      <c r="T421" t="e">
        <f>VLOOKUP(L421,'MIS COMPROBANTES'!E:Q,13,0)</f>
        <v>#N/A</v>
      </c>
    </row>
    <row r="422" spans="1:20" x14ac:dyDescent="0.3">
      <c r="A422" s="3">
        <v>45439</v>
      </c>
      <c r="B422" s="1" t="s">
        <v>505</v>
      </c>
      <c r="C422" s="1" t="s">
        <v>506</v>
      </c>
      <c r="D422" s="1" t="s">
        <v>18</v>
      </c>
      <c r="E422" s="1" t="s">
        <v>735</v>
      </c>
      <c r="F422" s="4">
        <v>12230</v>
      </c>
      <c r="G422" s="1" t="s">
        <v>19</v>
      </c>
      <c r="H422" s="1" t="s">
        <v>507</v>
      </c>
      <c r="I422" s="1" t="s">
        <v>757</v>
      </c>
      <c r="J422" s="1">
        <v>2</v>
      </c>
      <c r="K422" s="1">
        <v>154</v>
      </c>
      <c r="L422" s="7" t="str">
        <f t="shared" si="6"/>
        <v>233070028092154</v>
      </c>
      <c r="M422" s="5">
        <v>21</v>
      </c>
      <c r="N422" s="5">
        <v>0</v>
      </c>
      <c r="O422" s="5">
        <v>103600</v>
      </c>
      <c r="P422" s="5">
        <v>21756</v>
      </c>
      <c r="Q422" s="5">
        <v>125356</v>
      </c>
      <c r="R422" s="1" t="s">
        <v>15</v>
      </c>
      <c r="S422" s="5">
        <v>0</v>
      </c>
      <c r="T422">
        <f>VLOOKUP(L422,'MIS COMPROBANTES'!E:Q,13,0)</f>
        <v>125356</v>
      </c>
    </row>
    <row r="423" spans="1:20" x14ac:dyDescent="0.3">
      <c r="A423" s="3">
        <v>45439</v>
      </c>
      <c r="B423" s="1" t="s">
        <v>249</v>
      </c>
      <c r="C423" s="1" t="s">
        <v>250</v>
      </c>
      <c r="D423" s="1" t="s">
        <v>18</v>
      </c>
      <c r="E423" s="1" t="s">
        <v>694</v>
      </c>
      <c r="F423" s="4">
        <v>12088</v>
      </c>
      <c r="G423" s="1" t="s">
        <v>19</v>
      </c>
      <c r="H423" s="1" t="s">
        <v>508</v>
      </c>
      <c r="I423" s="1" t="s">
        <v>757</v>
      </c>
      <c r="J423" s="1">
        <v>3</v>
      </c>
      <c r="K423" s="1">
        <v>3871</v>
      </c>
      <c r="L423" s="7" t="str">
        <f t="shared" si="6"/>
        <v>3071529613233871</v>
      </c>
      <c r="M423" s="5">
        <v>21</v>
      </c>
      <c r="N423" s="5">
        <v>0</v>
      </c>
      <c r="O423" s="5">
        <v>1834710.8</v>
      </c>
      <c r="P423" s="5">
        <v>385289.27</v>
      </c>
      <c r="Q423" s="5">
        <v>2220000.0699999998</v>
      </c>
      <c r="R423" s="1" t="s">
        <v>15</v>
      </c>
      <c r="S423" s="5">
        <v>0</v>
      </c>
      <c r="T423">
        <f>VLOOKUP(L423,'MIS COMPROBANTES'!E:Q,13,0)</f>
        <v>2220000.0699999998</v>
      </c>
    </row>
    <row r="424" spans="1:20" x14ac:dyDescent="0.3">
      <c r="A424" s="3">
        <v>45439</v>
      </c>
      <c r="B424" s="1" t="s">
        <v>509</v>
      </c>
      <c r="C424" s="1" t="s">
        <v>510</v>
      </c>
      <c r="D424" s="1" t="s">
        <v>18</v>
      </c>
      <c r="E424" s="1" t="s">
        <v>736</v>
      </c>
      <c r="F424" s="4">
        <v>12101</v>
      </c>
      <c r="G424" s="1" t="s">
        <v>19</v>
      </c>
      <c r="H424" s="1" t="s">
        <v>511</v>
      </c>
      <c r="I424" s="1" t="s">
        <v>757</v>
      </c>
      <c r="J424" s="1">
        <v>9</v>
      </c>
      <c r="K424" s="1">
        <v>40793</v>
      </c>
      <c r="L424" s="7" t="str">
        <f t="shared" si="6"/>
        <v>30585754869940793</v>
      </c>
      <c r="M424" s="5">
        <v>21</v>
      </c>
      <c r="N424" s="5">
        <v>0</v>
      </c>
      <c r="O424" s="5">
        <v>699504.14</v>
      </c>
      <c r="P424" s="5">
        <v>146895.87</v>
      </c>
      <c r="Q424" s="5">
        <v>902360.33</v>
      </c>
      <c r="R424" s="1" t="s">
        <v>15</v>
      </c>
      <c r="S424" s="5">
        <v>34975.199999999997</v>
      </c>
      <c r="T424">
        <f>VLOOKUP(L424,'MIS COMPROBANTES'!E:Q,13,0)</f>
        <v>902360.33</v>
      </c>
    </row>
    <row r="425" spans="1:20" x14ac:dyDescent="0.3">
      <c r="A425" s="3">
        <v>45439</v>
      </c>
      <c r="B425" s="1" t="s">
        <v>509</v>
      </c>
      <c r="C425" s="1" t="s">
        <v>510</v>
      </c>
      <c r="D425" s="1" t="s">
        <v>18</v>
      </c>
      <c r="E425" s="1" t="s">
        <v>736</v>
      </c>
      <c r="F425" s="4">
        <v>12101</v>
      </c>
      <c r="G425" s="1" t="s">
        <v>19</v>
      </c>
      <c r="H425" s="1" t="s">
        <v>511</v>
      </c>
      <c r="I425" s="1" t="s">
        <v>757</v>
      </c>
      <c r="J425" s="1">
        <v>9</v>
      </c>
      <c r="K425" s="1">
        <v>40793</v>
      </c>
      <c r="L425" s="7" t="str">
        <f t="shared" si="6"/>
        <v>30585754869940793</v>
      </c>
      <c r="M425" s="5">
        <v>3</v>
      </c>
      <c r="N425" s="5">
        <v>0</v>
      </c>
      <c r="O425" s="5">
        <v>0</v>
      </c>
      <c r="P425" s="5">
        <v>20985.119999999999</v>
      </c>
      <c r="Q425" s="5">
        <v>0</v>
      </c>
      <c r="R425" s="1" t="s">
        <v>15</v>
      </c>
      <c r="S425" s="5">
        <v>0</v>
      </c>
      <c r="T425">
        <f>VLOOKUP(L425,'MIS COMPROBANTES'!E:Q,13,0)</f>
        <v>902360.33</v>
      </c>
    </row>
    <row r="426" spans="1:20" x14ac:dyDescent="0.3">
      <c r="A426" s="3">
        <v>45439</v>
      </c>
      <c r="B426" s="1" t="s">
        <v>358</v>
      </c>
      <c r="C426" s="1" t="s">
        <v>359</v>
      </c>
      <c r="D426" s="1" t="s">
        <v>18</v>
      </c>
      <c r="E426" s="1" t="s">
        <v>714</v>
      </c>
      <c r="F426" s="4">
        <v>12102</v>
      </c>
      <c r="G426" s="1" t="s">
        <v>19</v>
      </c>
      <c r="H426" s="1" t="s">
        <v>512</v>
      </c>
      <c r="I426" s="1" t="s">
        <v>757</v>
      </c>
      <c r="J426" s="1">
        <v>10</v>
      </c>
      <c r="K426" s="1">
        <v>5771</v>
      </c>
      <c r="L426" s="7" t="str">
        <f t="shared" si="6"/>
        <v>30708784687105771</v>
      </c>
      <c r="M426" s="5">
        <v>21</v>
      </c>
      <c r="N426" s="5">
        <v>0</v>
      </c>
      <c r="O426" s="5">
        <v>1677450</v>
      </c>
      <c r="P426" s="5">
        <v>352264.5</v>
      </c>
      <c r="Q426" s="5">
        <v>2029714.5</v>
      </c>
      <c r="R426" s="1" t="s">
        <v>15</v>
      </c>
      <c r="S426" s="5">
        <v>0</v>
      </c>
      <c r="T426">
        <f>VLOOKUP(L426,'MIS COMPROBANTES'!E:Q,13,0)</f>
        <v>2029714.5</v>
      </c>
    </row>
    <row r="427" spans="1:20" x14ac:dyDescent="0.3">
      <c r="A427" s="3">
        <v>45439</v>
      </c>
      <c r="B427" s="1" t="s">
        <v>240</v>
      </c>
      <c r="C427" s="1" t="s">
        <v>241</v>
      </c>
      <c r="D427" s="1" t="s">
        <v>18</v>
      </c>
      <c r="E427" s="1" t="s">
        <v>692</v>
      </c>
      <c r="F427" s="4">
        <v>12115</v>
      </c>
      <c r="G427" s="1" t="s">
        <v>19</v>
      </c>
      <c r="H427" s="1" t="s">
        <v>513</v>
      </c>
      <c r="I427" s="1" t="s">
        <v>757</v>
      </c>
      <c r="J427" s="1">
        <v>10</v>
      </c>
      <c r="K427" s="1">
        <v>154675</v>
      </c>
      <c r="L427" s="7" t="str">
        <f t="shared" si="6"/>
        <v>3064221935510154675</v>
      </c>
      <c r="M427" s="5">
        <v>21</v>
      </c>
      <c r="N427" s="5">
        <v>0</v>
      </c>
      <c r="O427" s="5">
        <v>2091002.5</v>
      </c>
      <c r="P427" s="5">
        <v>439110.53</v>
      </c>
      <c r="Q427" s="5">
        <v>2697393.24</v>
      </c>
      <c r="R427" s="1" t="s">
        <v>15</v>
      </c>
      <c r="S427" s="5">
        <v>104550.13</v>
      </c>
      <c r="T427">
        <f>VLOOKUP(L427,'MIS COMPROBANTES'!E:Q,13,0)</f>
        <v>2697393.24</v>
      </c>
    </row>
    <row r="428" spans="1:20" x14ac:dyDescent="0.3">
      <c r="A428" s="3">
        <v>45439</v>
      </c>
      <c r="B428" s="1" t="s">
        <v>240</v>
      </c>
      <c r="C428" s="1" t="s">
        <v>241</v>
      </c>
      <c r="D428" s="1" t="s">
        <v>18</v>
      </c>
      <c r="E428" s="1" t="s">
        <v>692</v>
      </c>
      <c r="F428" s="4">
        <v>12115</v>
      </c>
      <c r="G428" s="1" t="s">
        <v>19</v>
      </c>
      <c r="H428" s="1" t="s">
        <v>513</v>
      </c>
      <c r="I428" s="1" t="s">
        <v>757</v>
      </c>
      <c r="J428" s="1">
        <v>10</v>
      </c>
      <c r="K428" s="1">
        <v>154675</v>
      </c>
      <c r="L428" s="7" t="str">
        <f t="shared" si="6"/>
        <v>3064221935510154675</v>
      </c>
      <c r="M428" s="5">
        <v>3</v>
      </c>
      <c r="N428" s="5">
        <v>0</v>
      </c>
      <c r="O428" s="5">
        <v>0</v>
      </c>
      <c r="P428" s="5">
        <v>62730.080000000002</v>
      </c>
      <c r="Q428" s="5">
        <v>0</v>
      </c>
      <c r="R428" s="1" t="s">
        <v>15</v>
      </c>
      <c r="S428" s="5">
        <v>0</v>
      </c>
      <c r="T428">
        <f>VLOOKUP(L428,'MIS COMPROBANTES'!E:Q,13,0)</f>
        <v>2697393.24</v>
      </c>
    </row>
    <row r="429" spans="1:20" x14ac:dyDescent="0.3">
      <c r="A429" s="3">
        <v>45439</v>
      </c>
      <c r="B429" s="1" t="s">
        <v>196</v>
      </c>
      <c r="C429" s="1" t="s">
        <v>197</v>
      </c>
      <c r="D429" s="1" t="s">
        <v>18</v>
      </c>
      <c r="E429" s="1" t="s">
        <v>682</v>
      </c>
      <c r="F429" s="4">
        <v>12135</v>
      </c>
      <c r="G429" s="1" t="s">
        <v>19</v>
      </c>
      <c r="H429" s="1" t="s">
        <v>514</v>
      </c>
      <c r="I429" s="1" t="s">
        <v>757</v>
      </c>
      <c r="J429" s="1">
        <v>115</v>
      </c>
      <c r="K429" s="1">
        <v>143093</v>
      </c>
      <c r="L429" s="7" t="str">
        <f t="shared" si="6"/>
        <v>30629646708115143093</v>
      </c>
      <c r="M429" s="5">
        <v>10.5</v>
      </c>
      <c r="N429" s="5">
        <v>0</v>
      </c>
      <c r="O429" s="5">
        <v>270322.28999999998</v>
      </c>
      <c r="P429" s="5">
        <v>28383.84</v>
      </c>
      <c r="Q429" s="5">
        <v>316277.08</v>
      </c>
      <c r="R429" s="1" t="s">
        <v>15</v>
      </c>
      <c r="S429" s="5">
        <v>13516.12</v>
      </c>
      <c r="T429">
        <f>VLOOKUP(L429,'MIS COMPROBANTES'!E:Q,13,0)</f>
        <v>316277.08</v>
      </c>
    </row>
    <row r="430" spans="1:20" x14ac:dyDescent="0.3">
      <c r="A430" s="3">
        <v>45439</v>
      </c>
      <c r="B430" s="1" t="s">
        <v>196</v>
      </c>
      <c r="C430" s="1" t="s">
        <v>197</v>
      </c>
      <c r="D430" s="1" t="s">
        <v>18</v>
      </c>
      <c r="E430" s="1" t="s">
        <v>682</v>
      </c>
      <c r="F430" s="4">
        <v>12135</v>
      </c>
      <c r="G430" s="1" t="s">
        <v>19</v>
      </c>
      <c r="H430" s="1" t="s">
        <v>514</v>
      </c>
      <c r="I430" s="1" t="s">
        <v>757</v>
      </c>
      <c r="J430" s="1">
        <v>115</v>
      </c>
      <c r="K430" s="1">
        <v>143093</v>
      </c>
      <c r="L430" s="7" t="str">
        <f t="shared" si="6"/>
        <v>30629646708115143093</v>
      </c>
      <c r="M430" s="5">
        <v>1.5</v>
      </c>
      <c r="N430" s="5">
        <v>0</v>
      </c>
      <c r="O430" s="5">
        <v>0</v>
      </c>
      <c r="P430" s="5">
        <v>4054.83</v>
      </c>
      <c r="Q430" s="5">
        <v>0</v>
      </c>
      <c r="R430" s="1" t="s">
        <v>15</v>
      </c>
      <c r="S430" s="5">
        <v>0</v>
      </c>
      <c r="T430">
        <f>VLOOKUP(L430,'MIS COMPROBANTES'!E:Q,13,0)</f>
        <v>316277.08</v>
      </c>
    </row>
    <row r="431" spans="1:20" x14ac:dyDescent="0.3">
      <c r="A431" s="3">
        <v>45439</v>
      </c>
      <c r="B431" s="1" t="s">
        <v>196</v>
      </c>
      <c r="C431" s="1" t="s">
        <v>197</v>
      </c>
      <c r="D431" s="1" t="s">
        <v>18</v>
      </c>
      <c r="E431" s="1" t="s">
        <v>682</v>
      </c>
      <c r="F431" s="4">
        <v>12148</v>
      </c>
      <c r="G431" s="1" t="s">
        <v>19</v>
      </c>
      <c r="H431" s="1" t="s">
        <v>515</v>
      </c>
      <c r="I431" s="1" t="s">
        <v>757</v>
      </c>
      <c r="J431" s="1">
        <v>115</v>
      </c>
      <c r="K431" s="1">
        <v>143094</v>
      </c>
      <c r="L431" s="7" t="str">
        <f t="shared" si="6"/>
        <v>30629646708115143094</v>
      </c>
      <c r="M431" s="5">
        <v>21</v>
      </c>
      <c r="N431" s="5">
        <v>0.01</v>
      </c>
      <c r="O431" s="5">
        <v>3695141.21</v>
      </c>
      <c r="P431" s="5">
        <v>775979.66</v>
      </c>
      <c r="Q431" s="5">
        <v>4766732.18</v>
      </c>
      <c r="R431" s="1" t="s">
        <v>15</v>
      </c>
      <c r="S431" s="5">
        <v>184757.06</v>
      </c>
      <c r="T431">
        <f>VLOOKUP(L431,'MIS COMPROBANTES'!E:Q,13,0)</f>
        <v>4766732.18</v>
      </c>
    </row>
    <row r="432" spans="1:20" x14ac:dyDescent="0.3">
      <c r="A432" s="3">
        <v>45439</v>
      </c>
      <c r="B432" s="1" t="s">
        <v>196</v>
      </c>
      <c r="C432" s="1" t="s">
        <v>197</v>
      </c>
      <c r="D432" s="1" t="s">
        <v>18</v>
      </c>
      <c r="E432" s="1" t="s">
        <v>682</v>
      </c>
      <c r="F432" s="4">
        <v>12148</v>
      </c>
      <c r="G432" s="1" t="s">
        <v>19</v>
      </c>
      <c r="H432" s="1" t="s">
        <v>515</v>
      </c>
      <c r="I432" s="1" t="s">
        <v>757</v>
      </c>
      <c r="J432" s="1">
        <v>115</v>
      </c>
      <c r="K432" s="1">
        <v>143094</v>
      </c>
      <c r="L432" s="7" t="str">
        <f t="shared" si="6"/>
        <v>30629646708115143094</v>
      </c>
      <c r="M432" s="5">
        <v>3</v>
      </c>
      <c r="N432" s="5">
        <v>0</v>
      </c>
      <c r="O432" s="5">
        <v>0</v>
      </c>
      <c r="P432" s="5">
        <v>110854.24</v>
      </c>
      <c r="Q432" s="5">
        <v>0</v>
      </c>
      <c r="R432" s="1" t="s">
        <v>15</v>
      </c>
      <c r="S432" s="5">
        <v>0</v>
      </c>
      <c r="T432">
        <f>VLOOKUP(L432,'MIS COMPROBANTES'!E:Q,13,0)</f>
        <v>4766732.18</v>
      </c>
    </row>
    <row r="433" spans="1:20" x14ac:dyDescent="0.3">
      <c r="A433" s="3">
        <v>45439</v>
      </c>
      <c r="B433" s="1" t="s">
        <v>196</v>
      </c>
      <c r="C433" s="1" t="s">
        <v>197</v>
      </c>
      <c r="D433" s="1" t="s">
        <v>18</v>
      </c>
      <c r="E433" s="1" t="s">
        <v>682</v>
      </c>
      <c r="F433" s="4">
        <v>12394</v>
      </c>
      <c r="G433" s="1" t="s">
        <v>19</v>
      </c>
      <c r="H433" s="1" t="s">
        <v>516</v>
      </c>
      <c r="I433" s="1" t="s">
        <v>757</v>
      </c>
      <c r="J433" s="1">
        <v>115</v>
      </c>
      <c r="K433" s="1">
        <v>143095</v>
      </c>
      <c r="L433" s="7" t="str">
        <f t="shared" si="6"/>
        <v>30629646708115143095</v>
      </c>
      <c r="M433" s="5">
        <v>21</v>
      </c>
      <c r="N433" s="5">
        <v>0</v>
      </c>
      <c r="O433" s="5">
        <v>37651.14</v>
      </c>
      <c r="P433" s="5">
        <v>7906.74</v>
      </c>
      <c r="Q433" s="5">
        <v>46687.41</v>
      </c>
      <c r="R433" s="1" t="s">
        <v>15</v>
      </c>
      <c r="S433" s="5">
        <v>0</v>
      </c>
      <c r="T433">
        <f>VLOOKUP(L433,'MIS COMPROBANTES'!E:Q,13,0)</f>
        <v>46687.41</v>
      </c>
    </row>
    <row r="434" spans="1:20" x14ac:dyDescent="0.3">
      <c r="A434" s="3">
        <v>45439</v>
      </c>
      <c r="B434" s="1" t="s">
        <v>196</v>
      </c>
      <c r="C434" s="1" t="s">
        <v>197</v>
      </c>
      <c r="D434" s="1" t="s">
        <v>18</v>
      </c>
      <c r="E434" s="1" t="s">
        <v>682</v>
      </c>
      <c r="F434" s="4">
        <v>12394</v>
      </c>
      <c r="G434" s="1" t="s">
        <v>19</v>
      </c>
      <c r="H434" s="1" t="s">
        <v>516</v>
      </c>
      <c r="I434" s="1" t="s">
        <v>757</v>
      </c>
      <c r="J434" s="1">
        <v>115</v>
      </c>
      <c r="K434" s="1">
        <v>143095</v>
      </c>
      <c r="L434" s="7" t="str">
        <f t="shared" si="6"/>
        <v>30629646708115143095</v>
      </c>
      <c r="M434" s="5">
        <v>3</v>
      </c>
      <c r="N434" s="5">
        <v>0</v>
      </c>
      <c r="O434" s="5">
        <v>0</v>
      </c>
      <c r="P434" s="5">
        <v>1129.53</v>
      </c>
      <c r="Q434" s="5">
        <v>0</v>
      </c>
      <c r="R434" s="1" t="s">
        <v>15</v>
      </c>
      <c r="S434" s="5">
        <v>0</v>
      </c>
      <c r="T434">
        <f>VLOOKUP(L434,'MIS COMPROBANTES'!E:Q,13,0)</f>
        <v>46687.41</v>
      </c>
    </row>
    <row r="435" spans="1:20" x14ac:dyDescent="0.3">
      <c r="A435" s="3">
        <v>45439</v>
      </c>
      <c r="B435" s="1" t="s">
        <v>296</v>
      </c>
      <c r="C435" s="1" t="s">
        <v>297</v>
      </c>
      <c r="D435" s="1" t="s">
        <v>18</v>
      </c>
      <c r="E435" s="1" t="s">
        <v>704</v>
      </c>
      <c r="F435" s="4">
        <v>12090</v>
      </c>
      <c r="G435" s="1" t="s">
        <v>19</v>
      </c>
      <c r="H435" s="1" t="s">
        <v>517</v>
      </c>
      <c r="I435" s="1" t="s">
        <v>757</v>
      </c>
      <c r="J435" s="1">
        <v>161</v>
      </c>
      <c r="K435" s="1">
        <v>198599</v>
      </c>
      <c r="L435" s="7" t="str">
        <f t="shared" si="6"/>
        <v>30566108352161198599</v>
      </c>
      <c r="M435" s="5">
        <v>21</v>
      </c>
      <c r="N435" s="5">
        <v>0</v>
      </c>
      <c r="O435" s="5">
        <v>2051932.69</v>
      </c>
      <c r="P435" s="5">
        <v>430905.86</v>
      </c>
      <c r="Q435" s="5">
        <v>2585435.1800000002</v>
      </c>
      <c r="R435" s="1" t="s">
        <v>15</v>
      </c>
      <c r="S435" s="5">
        <v>102596.63</v>
      </c>
      <c r="T435">
        <f>VLOOKUP(L435,'MIS COMPROBANTES'!E:Q,13,0)</f>
        <v>2585435.1800000002</v>
      </c>
    </row>
    <row r="436" spans="1:20" x14ac:dyDescent="0.3">
      <c r="A436" s="3">
        <v>45439</v>
      </c>
      <c r="B436" s="1" t="s">
        <v>267</v>
      </c>
      <c r="C436" s="1" t="s">
        <v>268</v>
      </c>
      <c r="D436" s="1" t="s">
        <v>18</v>
      </c>
      <c r="E436" s="1" t="s">
        <v>699</v>
      </c>
      <c r="F436" s="4">
        <v>12093</v>
      </c>
      <c r="G436" s="1" t="s">
        <v>19</v>
      </c>
      <c r="H436" s="1" t="s">
        <v>518</v>
      </c>
      <c r="I436" s="1" t="s">
        <v>757</v>
      </c>
      <c r="J436" s="1">
        <v>316</v>
      </c>
      <c r="K436" s="1">
        <v>161059</v>
      </c>
      <c r="L436" s="7" t="str">
        <f t="shared" si="6"/>
        <v>30507950848316161059</v>
      </c>
      <c r="M436" s="5">
        <v>21</v>
      </c>
      <c r="N436" s="5">
        <v>0</v>
      </c>
      <c r="O436" s="5">
        <v>9950743.2300000004</v>
      </c>
      <c r="P436" s="5">
        <v>2089656.08</v>
      </c>
      <c r="Q436" s="5">
        <v>12836458.77</v>
      </c>
      <c r="R436" s="1" t="s">
        <v>15</v>
      </c>
      <c r="S436" s="5">
        <v>497537.16</v>
      </c>
      <c r="T436">
        <f>VLOOKUP(L436,'MIS COMPROBANTES'!E:Q,13,0)</f>
        <v>12836458.77</v>
      </c>
    </row>
    <row r="437" spans="1:20" x14ac:dyDescent="0.3">
      <c r="A437" s="3">
        <v>45439</v>
      </c>
      <c r="B437" s="1" t="s">
        <v>267</v>
      </c>
      <c r="C437" s="1" t="s">
        <v>268</v>
      </c>
      <c r="D437" s="1" t="s">
        <v>18</v>
      </c>
      <c r="E437" s="1" t="s">
        <v>699</v>
      </c>
      <c r="F437" s="4">
        <v>12093</v>
      </c>
      <c r="G437" s="1" t="s">
        <v>19</v>
      </c>
      <c r="H437" s="1" t="s">
        <v>518</v>
      </c>
      <c r="I437" s="1" t="s">
        <v>757</v>
      </c>
      <c r="J437" s="1">
        <v>316</v>
      </c>
      <c r="K437" s="1">
        <v>161059</v>
      </c>
      <c r="L437" s="7" t="str">
        <f t="shared" si="6"/>
        <v>30507950848316161059</v>
      </c>
      <c r="M437" s="5">
        <v>3</v>
      </c>
      <c r="N437" s="5">
        <v>0</v>
      </c>
      <c r="O437" s="5">
        <v>0</v>
      </c>
      <c r="P437" s="5">
        <v>298522.3</v>
      </c>
      <c r="Q437" s="5">
        <v>0</v>
      </c>
      <c r="R437" s="1" t="s">
        <v>15</v>
      </c>
      <c r="S437" s="5">
        <v>0</v>
      </c>
      <c r="T437">
        <f>VLOOKUP(L437,'MIS COMPROBANTES'!E:Q,13,0)</f>
        <v>12836458.77</v>
      </c>
    </row>
    <row r="438" spans="1:20" x14ac:dyDescent="0.3">
      <c r="A438" s="3">
        <v>45439</v>
      </c>
      <c r="B438" s="1" t="s">
        <v>142</v>
      </c>
      <c r="C438" s="1" t="s">
        <v>143</v>
      </c>
      <c r="D438" s="1" t="s">
        <v>18</v>
      </c>
      <c r="E438" s="1" t="s">
        <v>668</v>
      </c>
      <c r="F438" s="4">
        <v>12111</v>
      </c>
      <c r="G438" s="1" t="s">
        <v>19</v>
      </c>
      <c r="H438" s="1" t="s">
        <v>519</v>
      </c>
      <c r="I438" s="1" t="s">
        <v>757</v>
      </c>
      <c r="J438" s="1">
        <v>539</v>
      </c>
      <c r="K438" s="1">
        <v>40950</v>
      </c>
      <c r="L438" s="7" t="str">
        <f t="shared" si="6"/>
        <v>3066319759953940950</v>
      </c>
      <c r="M438" s="5">
        <v>21</v>
      </c>
      <c r="N438" s="5">
        <v>0</v>
      </c>
      <c r="O438" s="5">
        <v>759763.47</v>
      </c>
      <c r="P438" s="5">
        <v>159550.34</v>
      </c>
      <c r="Q438" s="5">
        <v>934509.08</v>
      </c>
      <c r="R438" s="1" t="s">
        <v>15</v>
      </c>
      <c r="S438" s="5">
        <v>15195.27</v>
      </c>
      <c r="T438">
        <f>VLOOKUP(L438,'MIS COMPROBANTES'!E:Q,13,0)</f>
        <v>934509.06</v>
      </c>
    </row>
    <row r="439" spans="1:20" x14ac:dyDescent="0.3">
      <c r="A439" s="3">
        <v>45439</v>
      </c>
      <c r="B439" s="1" t="s">
        <v>47</v>
      </c>
      <c r="C439" s="1" t="s">
        <v>48</v>
      </c>
      <c r="D439" s="1" t="s">
        <v>18</v>
      </c>
      <c r="E439" s="1" t="s">
        <v>642</v>
      </c>
      <c r="F439" s="4">
        <v>12155</v>
      </c>
      <c r="G439" s="1" t="s">
        <v>19</v>
      </c>
      <c r="H439" s="1" t="s">
        <v>520</v>
      </c>
      <c r="I439" s="1" t="s">
        <v>757</v>
      </c>
      <c r="J439" s="1">
        <v>2024</v>
      </c>
      <c r="K439" s="1">
        <v>33218722</v>
      </c>
      <c r="L439" s="7" t="str">
        <f t="shared" si="6"/>
        <v>30604731018202433218722</v>
      </c>
      <c r="M439" s="5">
        <v>10.5</v>
      </c>
      <c r="N439" s="5">
        <v>1810329.24</v>
      </c>
      <c r="O439" s="5">
        <v>1930963.14</v>
      </c>
      <c r="P439" s="5">
        <v>202751.13</v>
      </c>
      <c r="Q439" s="5">
        <v>4011627.22</v>
      </c>
      <c r="R439" s="1" t="s">
        <v>15</v>
      </c>
      <c r="S439" s="5">
        <v>38619.26</v>
      </c>
      <c r="T439" t="e">
        <f>VLOOKUP(L439,'MIS COMPROBANTES'!E:Q,13,0)</f>
        <v>#N/A</v>
      </c>
    </row>
    <row r="440" spans="1:20" x14ac:dyDescent="0.3">
      <c r="A440" s="3">
        <v>45439</v>
      </c>
      <c r="B440" s="1" t="s">
        <v>47</v>
      </c>
      <c r="C440" s="1" t="s">
        <v>48</v>
      </c>
      <c r="D440" s="1" t="s">
        <v>18</v>
      </c>
      <c r="E440" s="1" t="s">
        <v>642</v>
      </c>
      <c r="F440" s="4">
        <v>12155</v>
      </c>
      <c r="G440" s="1" t="s">
        <v>19</v>
      </c>
      <c r="H440" s="1" t="s">
        <v>520</v>
      </c>
      <c r="I440" s="1" t="s">
        <v>757</v>
      </c>
      <c r="J440" s="1">
        <v>2024</v>
      </c>
      <c r="K440" s="1">
        <v>33218722</v>
      </c>
      <c r="L440" s="7" t="str">
        <f t="shared" si="6"/>
        <v>30604731018202433218722</v>
      </c>
      <c r="M440" s="5">
        <v>1.5</v>
      </c>
      <c r="N440" s="5">
        <v>0</v>
      </c>
      <c r="O440" s="5">
        <v>0</v>
      </c>
      <c r="P440" s="5">
        <v>28964.45</v>
      </c>
      <c r="Q440" s="5">
        <v>0</v>
      </c>
      <c r="R440" s="1" t="s">
        <v>15</v>
      </c>
      <c r="S440" s="5">
        <v>0</v>
      </c>
      <c r="T440" t="e">
        <f>VLOOKUP(L440,'MIS COMPROBANTES'!E:Q,13,0)</f>
        <v>#N/A</v>
      </c>
    </row>
    <row r="441" spans="1:20" x14ac:dyDescent="0.3">
      <c r="A441" s="3">
        <v>45439</v>
      </c>
      <c r="B441" s="1" t="s">
        <v>174</v>
      </c>
      <c r="C441" s="1" t="s">
        <v>175</v>
      </c>
      <c r="D441" s="1" t="s">
        <v>18</v>
      </c>
      <c r="E441" s="1" t="s">
        <v>676</v>
      </c>
      <c r="F441" s="4">
        <v>12201</v>
      </c>
      <c r="G441" s="1" t="s">
        <v>19</v>
      </c>
      <c r="H441" s="1" t="s">
        <v>521</v>
      </c>
      <c r="I441" s="1" t="s">
        <v>757</v>
      </c>
      <c r="J441" s="1">
        <v>7150</v>
      </c>
      <c r="K441" s="1">
        <v>30435</v>
      </c>
      <c r="L441" s="7" t="str">
        <f t="shared" si="6"/>
        <v>30678774495715030435</v>
      </c>
      <c r="M441" s="5">
        <v>21</v>
      </c>
      <c r="N441" s="5">
        <v>5788.4</v>
      </c>
      <c r="O441" s="5">
        <v>69596.350000000006</v>
      </c>
      <c r="P441" s="5">
        <v>14615.23</v>
      </c>
      <c r="Q441" s="5">
        <v>91507.68</v>
      </c>
      <c r="R441" s="1" t="s">
        <v>15</v>
      </c>
      <c r="S441" s="5">
        <v>1507.7</v>
      </c>
      <c r="T441">
        <f>VLOOKUP(L441,'MIS COMPROBANTES'!E:Q,13,0)</f>
        <v>91507.69</v>
      </c>
    </row>
    <row r="442" spans="1:20" x14ac:dyDescent="0.3">
      <c r="A442" s="3">
        <v>45439</v>
      </c>
      <c r="B442" s="1" t="s">
        <v>522</v>
      </c>
      <c r="C442" s="1" t="s">
        <v>523</v>
      </c>
      <c r="D442" s="1" t="s">
        <v>102</v>
      </c>
      <c r="E442" s="1" t="s">
        <v>737</v>
      </c>
      <c r="F442" s="4">
        <v>12080</v>
      </c>
      <c r="G442" s="1" t="s">
        <v>19</v>
      </c>
      <c r="H442" s="1" t="s">
        <v>524</v>
      </c>
      <c r="I442" s="1" t="s">
        <v>758</v>
      </c>
      <c r="J442" s="1">
        <v>7</v>
      </c>
      <c r="K442" s="1">
        <v>74</v>
      </c>
      <c r="L442" s="7" t="str">
        <f t="shared" si="6"/>
        <v>27316244918774</v>
      </c>
      <c r="M442" s="5">
        <v>0</v>
      </c>
      <c r="N442" s="5">
        <v>300000</v>
      </c>
      <c r="O442" s="5">
        <v>0</v>
      </c>
      <c r="P442" s="5">
        <v>0</v>
      </c>
      <c r="Q442" s="5">
        <v>300000</v>
      </c>
      <c r="R442" s="1" t="s">
        <v>15</v>
      </c>
      <c r="S442" s="5">
        <v>0</v>
      </c>
      <c r="T442">
        <f>VLOOKUP(L442,'MIS COMPROBANTES'!E:Q,13,0)</f>
        <v>300000</v>
      </c>
    </row>
    <row r="443" spans="1:20" x14ac:dyDescent="0.3">
      <c r="A443" s="3">
        <v>45439</v>
      </c>
      <c r="B443" s="1" t="s">
        <v>522</v>
      </c>
      <c r="C443" s="1" t="s">
        <v>523</v>
      </c>
      <c r="D443" s="1" t="s">
        <v>102</v>
      </c>
      <c r="E443" s="1" t="s">
        <v>737</v>
      </c>
      <c r="F443" s="4">
        <v>12079</v>
      </c>
      <c r="G443" s="1" t="s">
        <v>19</v>
      </c>
      <c r="H443" s="1" t="s">
        <v>525</v>
      </c>
      <c r="I443" s="1" t="s">
        <v>758</v>
      </c>
      <c r="J443" s="1">
        <v>7</v>
      </c>
      <c r="K443" s="1">
        <v>75</v>
      </c>
      <c r="L443" s="7" t="str">
        <f t="shared" si="6"/>
        <v>27316244918775</v>
      </c>
      <c r="M443" s="5">
        <v>0</v>
      </c>
      <c r="N443" s="5">
        <v>100000</v>
      </c>
      <c r="O443" s="5">
        <v>0</v>
      </c>
      <c r="P443" s="5">
        <v>0</v>
      </c>
      <c r="Q443" s="5">
        <v>100000</v>
      </c>
      <c r="R443" s="1" t="s">
        <v>15</v>
      </c>
      <c r="S443" s="5">
        <v>0</v>
      </c>
      <c r="T443">
        <f>VLOOKUP(L443,'MIS COMPROBANTES'!E:Q,13,0)</f>
        <v>100000</v>
      </c>
    </row>
    <row r="444" spans="1:20" x14ac:dyDescent="0.3">
      <c r="A444" s="3">
        <v>45439</v>
      </c>
      <c r="B444" s="1" t="s">
        <v>458</v>
      </c>
      <c r="C444" s="1" t="s">
        <v>459</v>
      </c>
      <c r="D444" s="1" t="s">
        <v>18</v>
      </c>
      <c r="E444" s="1" t="s">
        <v>727</v>
      </c>
      <c r="F444" s="4">
        <v>12128</v>
      </c>
      <c r="G444" s="1" t="s">
        <v>27</v>
      </c>
      <c r="H444" s="1" t="s">
        <v>526</v>
      </c>
      <c r="I444" s="1" t="s">
        <v>757</v>
      </c>
      <c r="J444" s="1">
        <v>12</v>
      </c>
      <c r="K444" s="1">
        <v>4217</v>
      </c>
      <c r="L444" s="7" t="str">
        <f t="shared" si="6"/>
        <v>30708938021124217</v>
      </c>
      <c r="M444" s="5">
        <v>21</v>
      </c>
      <c r="N444" s="5">
        <v>0</v>
      </c>
      <c r="O444" s="5">
        <v>-80848.5</v>
      </c>
      <c r="P444" s="5">
        <v>-16978.189999999999</v>
      </c>
      <c r="Q444" s="5">
        <v>-99443.66</v>
      </c>
      <c r="R444" s="1" t="s">
        <v>15</v>
      </c>
      <c r="S444" s="5">
        <v>-1616.97</v>
      </c>
      <c r="T444">
        <f>VLOOKUP(L444,'MIS COMPROBANTES'!E:Q,13,0)</f>
        <v>99443.66</v>
      </c>
    </row>
    <row r="445" spans="1:20" x14ac:dyDescent="0.3">
      <c r="A445" s="3">
        <v>45439</v>
      </c>
      <c r="B445" s="1" t="s">
        <v>85</v>
      </c>
      <c r="C445" s="1" t="s">
        <v>86</v>
      </c>
      <c r="D445" s="1" t="s">
        <v>18</v>
      </c>
      <c r="E445" s="1" t="s">
        <v>653</v>
      </c>
      <c r="F445" s="4">
        <v>12119</v>
      </c>
      <c r="G445" s="1" t="s">
        <v>27</v>
      </c>
      <c r="H445" s="1" t="s">
        <v>527</v>
      </c>
      <c r="I445" s="1" t="s">
        <v>757</v>
      </c>
      <c r="J445" s="1">
        <v>218</v>
      </c>
      <c r="K445" s="1">
        <v>27962</v>
      </c>
      <c r="L445" s="7" t="str">
        <f t="shared" si="6"/>
        <v>3050129032321827962</v>
      </c>
      <c r="M445" s="5">
        <v>21</v>
      </c>
      <c r="N445" s="5">
        <v>0</v>
      </c>
      <c r="O445" s="5">
        <v>-264393.5</v>
      </c>
      <c r="P445" s="5">
        <v>-55522.64</v>
      </c>
      <c r="Q445" s="5">
        <v>-327847.95</v>
      </c>
      <c r="R445" s="1" t="s">
        <v>15</v>
      </c>
      <c r="S445" s="5">
        <v>0</v>
      </c>
      <c r="T445">
        <f>VLOOKUP(L445,'MIS COMPROBANTES'!E:Q,13,0)</f>
        <v>327847.95</v>
      </c>
    </row>
    <row r="446" spans="1:20" x14ac:dyDescent="0.3">
      <c r="A446" s="3">
        <v>45439</v>
      </c>
      <c r="B446" s="1" t="s">
        <v>85</v>
      </c>
      <c r="C446" s="1" t="s">
        <v>86</v>
      </c>
      <c r="D446" s="1" t="s">
        <v>18</v>
      </c>
      <c r="E446" s="1" t="s">
        <v>653</v>
      </c>
      <c r="F446" s="4">
        <v>12119</v>
      </c>
      <c r="G446" s="1" t="s">
        <v>27</v>
      </c>
      <c r="H446" s="1" t="s">
        <v>527</v>
      </c>
      <c r="I446" s="1" t="s">
        <v>757</v>
      </c>
      <c r="J446" s="1">
        <v>218</v>
      </c>
      <c r="K446" s="1">
        <v>27962</v>
      </c>
      <c r="L446" s="7" t="str">
        <f t="shared" si="6"/>
        <v>3050129032321827962</v>
      </c>
      <c r="M446" s="5">
        <v>3</v>
      </c>
      <c r="N446" s="5">
        <v>0</v>
      </c>
      <c r="O446" s="5">
        <v>0</v>
      </c>
      <c r="P446" s="5">
        <v>-7931.81</v>
      </c>
      <c r="Q446" s="5">
        <v>0</v>
      </c>
      <c r="R446" s="1" t="s">
        <v>15</v>
      </c>
      <c r="S446" s="5">
        <v>0</v>
      </c>
      <c r="T446">
        <f>VLOOKUP(L446,'MIS COMPROBANTES'!E:Q,13,0)</f>
        <v>327847.95</v>
      </c>
    </row>
    <row r="447" spans="1:20" x14ac:dyDescent="0.3">
      <c r="A447" s="3">
        <v>45440</v>
      </c>
      <c r="B447" s="1" t="s">
        <v>528</v>
      </c>
      <c r="C447" s="1" t="s">
        <v>529</v>
      </c>
      <c r="D447" s="1" t="s">
        <v>18</v>
      </c>
      <c r="E447" s="1" t="s">
        <v>738</v>
      </c>
      <c r="F447" s="4">
        <v>12189</v>
      </c>
      <c r="G447" s="1" t="s">
        <v>19</v>
      </c>
      <c r="H447" s="1" t="s">
        <v>530</v>
      </c>
      <c r="I447" s="1" t="s">
        <v>757</v>
      </c>
      <c r="J447" s="1">
        <v>1</v>
      </c>
      <c r="K447" s="1">
        <v>5830</v>
      </c>
      <c r="L447" s="7" t="str">
        <f t="shared" si="6"/>
        <v>2018411111015830</v>
      </c>
      <c r="M447" s="5">
        <v>21</v>
      </c>
      <c r="N447" s="5">
        <v>0</v>
      </c>
      <c r="O447" s="5">
        <v>6528.93</v>
      </c>
      <c r="P447" s="5">
        <v>1371.07</v>
      </c>
      <c r="Q447" s="5">
        <v>7900</v>
      </c>
      <c r="R447" s="1" t="s">
        <v>15</v>
      </c>
      <c r="S447" s="5">
        <v>0</v>
      </c>
      <c r="T447">
        <f>VLOOKUP(L447,'MIS COMPROBANTES'!E:Q,13,0)</f>
        <v>7900</v>
      </c>
    </row>
    <row r="448" spans="1:20" x14ac:dyDescent="0.3">
      <c r="A448" s="3">
        <v>45440</v>
      </c>
      <c r="B448" s="1" t="s">
        <v>528</v>
      </c>
      <c r="C448" s="1" t="s">
        <v>529</v>
      </c>
      <c r="D448" s="1" t="s">
        <v>18</v>
      </c>
      <c r="E448" s="1" t="s">
        <v>738</v>
      </c>
      <c r="F448" s="4">
        <v>12190</v>
      </c>
      <c r="G448" s="1" t="s">
        <v>19</v>
      </c>
      <c r="H448" s="1" t="s">
        <v>531</v>
      </c>
      <c r="I448" s="1" t="s">
        <v>757</v>
      </c>
      <c r="J448" s="1">
        <v>1</v>
      </c>
      <c r="K448" s="1">
        <v>5831</v>
      </c>
      <c r="L448" s="7" t="str">
        <f t="shared" si="6"/>
        <v>2018411111015831</v>
      </c>
      <c r="M448" s="5">
        <v>21</v>
      </c>
      <c r="N448" s="5">
        <v>0</v>
      </c>
      <c r="O448" s="5">
        <v>99173.55</v>
      </c>
      <c r="P448" s="5">
        <v>20826.45</v>
      </c>
      <c r="Q448" s="5">
        <v>120000</v>
      </c>
      <c r="R448" s="1" t="s">
        <v>15</v>
      </c>
      <c r="S448" s="5">
        <v>0</v>
      </c>
      <c r="T448">
        <f>VLOOKUP(L448,'MIS COMPROBANTES'!E:Q,13,0)</f>
        <v>120000</v>
      </c>
    </row>
    <row r="449" spans="1:20" x14ac:dyDescent="0.3">
      <c r="A449" s="3">
        <v>45440</v>
      </c>
      <c r="B449" s="1" t="s">
        <v>532</v>
      </c>
      <c r="C449" s="1" t="s">
        <v>533</v>
      </c>
      <c r="D449" s="1" t="s">
        <v>18</v>
      </c>
      <c r="E449" s="1" t="s">
        <v>739</v>
      </c>
      <c r="F449" s="4">
        <v>12134</v>
      </c>
      <c r="G449" s="1" t="s">
        <v>19</v>
      </c>
      <c r="H449" s="1" t="s">
        <v>534</v>
      </c>
      <c r="I449" s="1" t="s">
        <v>757</v>
      </c>
      <c r="J449" s="1">
        <v>3</v>
      </c>
      <c r="K449" s="1">
        <v>5267</v>
      </c>
      <c r="L449" s="7" t="str">
        <f t="shared" si="6"/>
        <v>3371419199935267</v>
      </c>
      <c r="M449" s="5">
        <v>21</v>
      </c>
      <c r="N449" s="5">
        <v>0</v>
      </c>
      <c r="O449" s="5">
        <v>669850</v>
      </c>
      <c r="P449" s="5">
        <v>140668.5</v>
      </c>
      <c r="Q449" s="5">
        <v>810518.5</v>
      </c>
      <c r="R449" s="1" t="s">
        <v>15</v>
      </c>
      <c r="S449" s="5">
        <v>0</v>
      </c>
      <c r="T449">
        <f>VLOOKUP(L449,'MIS COMPROBANTES'!E:Q,13,0)</f>
        <v>810518.5</v>
      </c>
    </row>
    <row r="450" spans="1:20" x14ac:dyDescent="0.3">
      <c r="A450" s="3">
        <v>45440</v>
      </c>
      <c r="B450" s="1" t="s">
        <v>535</v>
      </c>
      <c r="C450" s="1" t="s">
        <v>536</v>
      </c>
      <c r="D450" s="1" t="s">
        <v>18</v>
      </c>
      <c r="E450" s="1" t="s">
        <v>740</v>
      </c>
      <c r="F450" s="4">
        <v>12103</v>
      </c>
      <c r="G450" s="1" t="s">
        <v>19</v>
      </c>
      <c r="H450" s="1" t="s">
        <v>537</v>
      </c>
      <c r="I450" s="1" t="s">
        <v>757</v>
      </c>
      <c r="J450" s="1">
        <v>9</v>
      </c>
      <c r="K450" s="1">
        <v>16989</v>
      </c>
      <c r="L450" s="7" t="str">
        <f t="shared" si="6"/>
        <v>30525346389916989</v>
      </c>
      <c r="M450" s="5">
        <v>10.5</v>
      </c>
      <c r="N450" s="5">
        <v>0</v>
      </c>
      <c r="O450" s="5">
        <v>1559989.41</v>
      </c>
      <c r="P450" s="5">
        <v>163798.89000000001</v>
      </c>
      <c r="Q450" s="5">
        <v>1778387.93</v>
      </c>
      <c r="R450" s="1" t="s">
        <v>15</v>
      </c>
      <c r="S450" s="5">
        <v>31199.79</v>
      </c>
      <c r="T450">
        <f>VLOOKUP(L450,'MIS COMPROBANTES'!E:Q,13,0)</f>
        <v>1778387.93</v>
      </c>
    </row>
    <row r="451" spans="1:20" x14ac:dyDescent="0.3">
      <c r="A451" s="3">
        <v>45440</v>
      </c>
      <c r="B451" s="1" t="s">
        <v>535</v>
      </c>
      <c r="C451" s="1" t="s">
        <v>536</v>
      </c>
      <c r="D451" s="1" t="s">
        <v>18</v>
      </c>
      <c r="E451" s="1" t="s">
        <v>740</v>
      </c>
      <c r="F451" s="4">
        <v>12103</v>
      </c>
      <c r="G451" s="1" t="s">
        <v>19</v>
      </c>
      <c r="H451" s="1" t="s">
        <v>537</v>
      </c>
      <c r="I451" s="1" t="s">
        <v>757</v>
      </c>
      <c r="J451" s="1">
        <v>9</v>
      </c>
      <c r="K451" s="1">
        <v>16989</v>
      </c>
      <c r="L451" s="7" t="str">
        <f t="shared" ref="L451:L514" si="7">CONCATENATE(E451,J451,K451)</f>
        <v>30525346389916989</v>
      </c>
      <c r="M451" s="5">
        <v>1.5</v>
      </c>
      <c r="N451" s="5">
        <v>0</v>
      </c>
      <c r="O451" s="5">
        <v>0</v>
      </c>
      <c r="P451" s="5">
        <v>23399.84</v>
      </c>
      <c r="Q451" s="5">
        <v>0</v>
      </c>
      <c r="R451" s="1" t="s">
        <v>15</v>
      </c>
      <c r="S451" s="5">
        <v>0</v>
      </c>
      <c r="T451">
        <f>VLOOKUP(L451,'MIS COMPROBANTES'!E:Q,13,0)</f>
        <v>1778387.93</v>
      </c>
    </row>
    <row r="452" spans="1:20" x14ac:dyDescent="0.3">
      <c r="A452" s="3">
        <v>45440</v>
      </c>
      <c r="B452" s="1" t="s">
        <v>229</v>
      </c>
      <c r="C452" s="1" t="s">
        <v>230</v>
      </c>
      <c r="D452" s="1" t="s">
        <v>18</v>
      </c>
      <c r="E452" s="1" t="s">
        <v>689</v>
      </c>
      <c r="F452" s="4">
        <v>12098</v>
      </c>
      <c r="G452" s="1" t="s">
        <v>19</v>
      </c>
      <c r="H452" s="1" t="s">
        <v>538</v>
      </c>
      <c r="I452" s="1" t="s">
        <v>757</v>
      </c>
      <c r="J452" s="1">
        <v>32</v>
      </c>
      <c r="K452" s="1">
        <v>82475</v>
      </c>
      <c r="L452" s="7" t="str">
        <f t="shared" si="7"/>
        <v>305012142793282475</v>
      </c>
      <c r="M452" s="5">
        <v>21</v>
      </c>
      <c r="N452" s="5">
        <v>0</v>
      </c>
      <c r="O452" s="5">
        <v>1267651.6399999999</v>
      </c>
      <c r="P452" s="5">
        <v>266206.84000000003</v>
      </c>
      <c r="Q452" s="5">
        <v>1635270.61</v>
      </c>
      <c r="R452" s="1" t="s">
        <v>15</v>
      </c>
      <c r="S452" s="5">
        <v>63382.58</v>
      </c>
      <c r="T452">
        <f>VLOOKUP(L452,'MIS COMPROBANTES'!E:Q,13,0)</f>
        <v>1635270.61</v>
      </c>
    </row>
    <row r="453" spans="1:20" x14ac:dyDescent="0.3">
      <c r="A453" s="3">
        <v>45440</v>
      </c>
      <c r="B453" s="1" t="s">
        <v>229</v>
      </c>
      <c r="C453" s="1" t="s">
        <v>230</v>
      </c>
      <c r="D453" s="1" t="s">
        <v>18</v>
      </c>
      <c r="E453" s="1" t="s">
        <v>689</v>
      </c>
      <c r="F453" s="4">
        <v>12098</v>
      </c>
      <c r="G453" s="1" t="s">
        <v>19</v>
      </c>
      <c r="H453" s="1" t="s">
        <v>538</v>
      </c>
      <c r="I453" s="1" t="s">
        <v>757</v>
      </c>
      <c r="J453" s="1">
        <v>32</v>
      </c>
      <c r="K453" s="1">
        <v>82475</v>
      </c>
      <c r="L453" s="7" t="str">
        <f t="shared" si="7"/>
        <v>305012142793282475</v>
      </c>
      <c r="M453" s="5">
        <v>3</v>
      </c>
      <c r="N453" s="5">
        <v>0</v>
      </c>
      <c r="O453" s="5">
        <v>0</v>
      </c>
      <c r="P453" s="5">
        <v>38029.550000000003</v>
      </c>
      <c r="Q453" s="5">
        <v>0</v>
      </c>
      <c r="R453" s="1" t="s">
        <v>15</v>
      </c>
      <c r="S453" s="5">
        <v>0</v>
      </c>
      <c r="T453">
        <f>VLOOKUP(L453,'MIS COMPROBANTES'!E:Q,13,0)</f>
        <v>1635270.61</v>
      </c>
    </row>
    <row r="454" spans="1:20" x14ac:dyDescent="0.3">
      <c r="A454" s="3">
        <v>45440</v>
      </c>
      <c r="B454" s="1" t="s">
        <v>82</v>
      </c>
      <c r="C454" s="1" t="s">
        <v>83</v>
      </c>
      <c r="D454" s="1" t="s">
        <v>18</v>
      </c>
      <c r="E454" s="1" t="s">
        <v>652</v>
      </c>
      <c r="F454" s="4">
        <v>12257</v>
      </c>
      <c r="G454" s="1" t="s">
        <v>19</v>
      </c>
      <c r="H454" s="1" t="s">
        <v>539</v>
      </c>
      <c r="I454" s="1" t="s">
        <v>757</v>
      </c>
      <c r="J454" s="1">
        <v>46</v>
      </c>
      <c r="K454" s="1">
        <v>401705</v>
      </c>
      <c r="L454" s="7" t="str">
        <f t="shared" si="7"/>
        <v>3053214979346401705</v>
      </c>
      <c r="M454" s="5">
        <v>21</v>
      </c>
      <c r="N454" s="5">
        <v>0</v>
      </c>
      <c r="O454" s="5">
        <v>1126800</v>
      </c>
      <c r="P454" s="5">
        <v>236628</v>
      </c>
      <c r="Q454" s="5">
        <v>1419768</v>
      </c>
      <c r="R454" s="1" t="s">
        <v>15</v>
      </c>
      <c r="S454" s="5">
        <v>22536</v>
      </c>
      <c r="T454">
        <f>VLOOKUP(L454,'MIS COMPROBANTES'!E:Q,13,0)</f>
        <v>1419768</v>
      </c>
    </row>
    <row r="455" spans="1:20" x14ac:dyDescent="0.3">
      <c r="A455" s="3">
        <v>45440</v>
      </c>
      <c r="B455" s="1" t="s">
        <v>82</v>
      </c>
      <c r="C455" s="1" t="s">
        <v>83</v>
      </c>
      <c r="D455" s="1" t="s">
        <v>18</v>
      </c>
      <c r="E455" s="1" t="s">
        <v>652</v>
      </c>
      <c r="F455" s="4">
        <v>12257</v>
      </c>
      <c r="G455" s="1" t="s">
        <v>19</v>
      </c>
      <c r="H455" s="1" t="s">
        <v>539</v>
      </c>
      <c r="I455" s="1" t="s">
        <v>757</v>
      </c>
      <c r="J455" s="1">
        <v>46</v>
      </c>
      <c r="K455" s="1">
        <v>401705</v>
      </c>
      <c r="L455" s="7" t="str">
        <f t="shared" si="7"/>
        <v>3053214979346401705</v>
      </c>
      <c r="M455" s="5">
        <v>3</v>
      </c>
      <c r="N455" s="5">
        <v>0</v>
      </c>
      <c r="O455" s="5">
        <v>0</v>
      </c>
      <c r="P455" s="5">
        <v>33804</v>
      </c>
      <c r="Q455" s="5">
        <v>0</v>
      </c>
      <c r="R455" s="1" t="s">
        <v>15</v>
      </c>
      <c r="S455" s="5">
        <v>0</v>
      </c>
      <c r="T455">
        <f>VLOOKUP(L455,'MIS COMPROBANTES'!E:Q,13,0)</f>
        <v>1419768</v>
      </c>
    </row>
    <row r="456" spans="1:20" x14ac:dyDescent="0.3">
      <c r="A456" s="3">
        <v>45440</v>
      </c>
      <c r="B456" s="1" t="s">
        <v>85</v>
      </c>
      <c r="C456" s="1" t="s">
        <v>86</v>
      </c>
      <c r="D456" s="1" t="s">
        <v>18</v>
      </c>
      <c r="E456" s="1" t="s">
        <v>653</v>
      </c>
      <c r="F456" s="4">
        <v>12106</v>
      </c>
      <c r="G456" s="1" t="s">
        <v>19</v>
      </c>
      <c r="H456" s="1" t="s">
        <v>540</v>
      </c>
      <c r="I456" s="1" t="s">
        <v>757</v>
      </c>
      <c r="J456" s="1">
        <v>218</v>
      </c>
      <c r="K456" s="1">
        <v>161465</v>
      </c>
      <c r="L456" s="7" t="str">
        <f t="shared" si="7"/>
        <v>30501290323218161465</v>
      </c>
      <c r="M456" s="5">
        <v>21</v>
      </c>
      <c r="N456" s="5">
        <v>0</v>
      </c>
      <c r="O456" s="5">
        <v>4395523.2300000004</v>
      </c>
      <c r="P456" s="5">
        <v>923059.88</v>
      </c>
      <c r="Q456" s="5">
        <v>5670224.9699999997</v>
      </c>
      <c r="R456" s="1" t="s">
        <v>15</v>
      </c>
      <c r="S456" s="5">
        <v>219776.16</v>
      </c>
      <c r="T456">
        <f>VLOOKUP(L456,'MIS COMPROBANTES'!E:Q,13,0)</f>
        <v>5670224.9699999997</v>
      </c>
    </row>
    <row r="457" spans="1:20" x14ac:dyDescent="0.3">
      <c r="A457" s="3">
        <v>45440</v>
      </c>
      <c r="B457" s="1" t="s">
        <v>85</v>
      </c>
      <c r="C457" s="1" t="s">
        <v>86</v>
      </c>
      <c r="D457" s="1" t="s">
        <v>18</v>
      </c>
      <c r="E457" s="1" t="s">
        <v>653</v>
      </c>
      <c r="F457" s="4">
        <v>12106</v>
      </c>
      <c r="G457" s="1" t="s">
        <v>19</v>
      </c>
      <c r="H457" s="1" t="s">
        <v>540</v>
      </c>
      <c r="I457" s="1" t="s">
        <v>757</v>
      </c>
      <c r="J457" s="1">
        <v>218</v>
      </c>
      <c r="K457" s="1">
        <v>161465</v>
      </c>
      <c r="L457" s="7" t="str">
        <f t="shared" si="7"/>
        <v>30501290323218161465</v>
      </c>
      <c r="M457" s="5">
        <v>3</v>
      </c>
      <c r="N457" s="5">
        <v>0</v>
      </c>
      <c r="O457" s="5">
        <v>0</v>
      </c>
      <c r="P457" s="5">
        <v>131865.70000000001</v>
      </c>
      <c r="Q457" s="5">
        <v>0</v>
      </c>
      <c r="R457" s="1" t="s">
        <v>15</v>
      </c>
      <c r="S457" s="5">
        <v>0</v>
      </c>
      <c r="T457">
        <f>VLOOKUP(L457,'MIS COMPROBANTES'!E:Q,13,0)</f>
        <v>5670224.9699999997</v>
      </c>
    </row>
    <row r="458" spans="1:20" x14ac:dyDescent="0.3">
      <c r="A458" s="3">
        <v>45440</v>
      </c>
      <c r="B458" s="1" t="s">
        <v>85</v>
      </c>
      <c r="C458" s="1" t="s">
        <v>86</v>
      </c>
      <c r="D458" s="1" t="s">
        <v>18</v>
      </c>
      <c r="E458" s="1" t="s">
        <v>653</v>
      </c>
      <c r="F458" s="4">
        <v>12107</v>
      </c>
      <c r="G458" s="1" t="s">
        <v>19</v>
      </c>
      <c r="H458" s="1" t="s">
        <v>541</v>
      </c>
      <c r="I458" s="1" t="s">
        <v>757</v>
      </c>
      <c r="J458" s="1">
        <v>218</v>
      </c>
      <c r="K458" s="1">
        <v>161470</v>
      </c>
      <c r="L458" s="7" t="str">
        <f t="shared" si="7"/>
        <v>30501290323218161470</v>
      </c>
      <c r="M458" s="5">
        <v>21</v>
      </c>
      <c r="N458" s="5">
        <v>0</v>
      </c>
      <c r="O458" s="5">
        <v>3389564.63</v>
      </c>
      <c r="P458" s="5">
        <v>711808.58</v>
      </c>
      <c r="Q458" s="5">
        <v>4372538.38</v>
      </c>
      <c r="R458" s="1" t="s">
        <v>15</v>
      </c>
      <c r="S458" s="5">
        <v>169478.23</v>
      </c>
      <c r="T458">
        <f>VLOOKUP(L458,'MIS COMPROBANTES'!E:Q,13,0)</f>
        <v>4372538.38</v>
      </c>
    </row>
    <row r="459" spans="1:20" x14ac:dyDescent="0.3">
      <c r="A459" s="3">
        <v>45440</v>
      </c>
      <c r="B459" s="1" t="s">
        <v>85</v>
      </c>
      <c r="C459" s="1" t="s">
        <v>86</v>
      </c>
      <c r="D459" s="1" t="s">
        <v>18</v>
      </c>
      <c r="E459" s="1" t="s">
        <v>653</v>
      </c>
      <c r="F459" s="4">
        <v>12107</v>
      </c>
      <c r="G459" s="1" t="s">
        <v>19</v>
      </c>
      <c r="H459" s="1" t="s">
        <v>541</v>
      </c>
      <c r="I459" s="1" t="s">
        <v>757</v>
      </c>
      <c r="J459" s="1">
        <v>218</v>
      </c>
      <c r="K459" s="1">
        <v>161470</v>
      </c>
      <c r="L459" s="7" t="str">
        <f t="shared" si="7"/>
        <v>30501290323218161470</v>
      </c>
      <c r="M459" s="5">
        <v>3</v>
      </c>
      <c r="N459" s="5">
        <v>0</v>
      </c>
      <c r="O459" s="5">
        <v>0</v>
      </c>
      <c r="P459" s="5">
        <v>101686.94</v>
      </c>
      <c r="Q459" s="5">
        <v>0</v>
      </c>
      <c r="R459" s="1" t="s">
        <v>15</v>
      </c>
      <c r="S459" s="5">
        <v>0</v>
      </c>
      <c r="T459">
        <f>VLOOKUP(L459,'MIS COMPROBANTES'!E:Q,13,0)</f>
        <v>4372538.38</v>
      </c>
    </row>
    <row r="460" spans="1:20" x14ac:dyDescent="0.3">
      <c r="A460" s="3">
        <v>45440</v>
      </c>
      <c r="B460" s="1" t="s">
        <v>64</v>
      </c>
      <c r="C460" s="1" t="s">
        <v>65</v>
      </c>
      <c r="D460" s="1" t="s">
        <v>18</v>
      </c>
      <c r="E460" s="1" t="s">
        <v>647</v>
      </c>
      <c r="F460" s="4">
        <v>12280</v>
      </c>
      <c r="G460" s="1" t="s">
        <v>19</v>
      </c>
      <c r="H460" s="1" t="s">
        <v>542</v>
      </c>
      <c r="I460" s="1" t="s">
        <v>757</v>
      </c>
      <c r="J460" s="1">
        <v>2002</v>
      </c>
      <c r="K460" s="1">
        <v>288887</v>
      </c>
      <c r="L460" s="7" t="str">
        <f t="shared" si="7"/>
        <v>305007682622002288887</v>
      </c>
      <c r="M460" s="5">
        <v>21</v>
      </c>
      <c r="N460" s="5">
        <v>0</v>
      </c>
      <c r="O460" s="5">
        <v>2903209.55</v>
      </c>
      <c r="P460" s="5">
        <v>609674.01</v>
      </c>
      <c r="Q460" s="5">
        <v>3745140.34</v>
      </c>
      <c r="R460" s="1" t="s">
        <v>15</v>
      </c>
      <c r="S460" s="5">
        <v>145160.49</v>
      </c>
      <c r="T460">
        <f>VLOOKUP(L460,'MIS COMPROBANTES'!E:Q,13,0)</f>
        <v>3745140.34</v>
      </c>
    </row>
    <row r="461" spans="1:20" x14ac:dyDescent="0.3">
      <c r="A461" s="3">
        <v>45440</v>
      </c>
      <c r="B461" s="1" t="s">
        <v>64</v>
      </c>
      <c r="C461" s="1" t="s">
        <v>65</v>
      </c>
      <c r="D461" s="1" t="s">
        <v>18</v>
      </c>
      <c r="E461" s="1" t="s">
        <v>647</v>
      </c>
      <c r="F461" s="4">
        <v>12280</v>
      </c>
      <c r="G461" s="1" t="s">
        <v>19</v>
      </c>
      <c r="H461" s="1" t="s">
        <v>542</v>
      </c>
      <c r="I461" s="1" t="s">
        <v>757</v>
      </c>
      <c r="J461" s="1">
        <v>2002</v>
      </c>
      <c r="K461" s="1">
        <v>288887</v>
      </c>
      <c r="L461" s="7" t="str">
        <f t="shared" si="7"/>
        <v>305007682622002288887</v>
      </c>
      <c r="M461" s="5">
        <v>3</v>
      </c>
      <c r="N461" s="5">
        <v>0</v>
      </c>
      <c r="O461" s="5">
        <v>0</v>
      </c>
      <c r="P461" s="5">
        <v>87096.29</v>
      </c>
      <c r="Q461" s="5">
        <v>0</v>
      </c>
      <c r="R461" s="1" t="s">
        <v>15</v>
      </c>
      <c r="S461" s="5">
        <v>0</v>
      </c>
      <c r="T461">
        <f>VLOOKUP(L461,'MIS COMPROBANTES'!E:Q,13,0)</f>
        <v>3745140.34</v>
      </c>
    </row>
    <row r="462" spans="1:20" x14ac:dyDescent="0.3">
      <c r="A462" s="3">
        <v>45440</v>
      </c>
      <c r="B462" s="1" t="s">
        <v>414</v>
      </c>
      <c r="C462" s="1" t="s">
        <v>415</v>
      </c>
      <c r="D462" s="1" t="s">
        <v>416</v>
      </c>
      <c r="E462" s="1" t="s">
        <v>722</v>
      </c>
      <c r="F462" s="4">
        <v>12334</v>
      </c>
      <c r="G462" s="1" t="s">
        <v>19</v>
      </c>
      <c r="H462" s="1" t="s">
        <v>543</v>
      </c>
      <c r="I462" s="1" t="s">
        <v>757</v>
      </c>
      <c r="J462" s="1">
        <v>2024</v>
      </c>
      <c r="K462" s="1">
        <v>15528524</v>
      </c>
      <c r="L462" s="7" t="str">
        <f t="shared" si="7"/>
        <v>33999242109202415528524</v>
      </c>
      <c r="M462" s="5">
        <v>0</v>
      </c>
      <c r="N462" s="5">
        <v>0.01</v>
      </c>
      <c r="O462" s="5">
        <v>0</v>
      </c>
      <c r="P462" s="5">
        <v>0</v>
      </c>
      <c r="Q462" s="5">
        <v>263700.01</v>
      </c>
      <c r="R462" s="1" t="s">
        <v>15</v>
      </c>
      <c r="S462" s="5">
        <v>263700</v>
      </c>
      <c r="T462" t="e">
        <f>VLOOKUP(L462,'MIS COMPROBANTES'!E:Q,13,0)</f>
        <v>#N/A</v>
      </c>
    </row>
    <row r="463" spans="1:20" x14ac:dyDescent="0.3">
      <c r="A463" s="3">
        <v>45440</v>
      </c>
      <c r="B463" s="1" t="s">
        <v>236</v>
      </c>
      <c r="C463" s="1" t="s">
        <v>237</v>
      </c>
      <c r="D463" s="1" t="s">
        <v>18</v>
      </c>
      <c r="E463" s="1" t="s">
        <v>691</v>
      </c>
      <c r="F463" s="4">
        <v>12105</v>
      </c>
      <c r="G463" s="1" t="s">
        <v>19</v>
      </c>
      <c r="H463" s="1" t="s">
        <v>544</v>
      </c>
      <c r="I463" s="1" t="s">
        <v>757</v>
      </c>
      <c r="J463" s="1">
        <v>6004</v>
      </c>
      <c r="K463" s="1">
        <v>3636249</v>
      </c>
      <c r="L463" s="7" t="str">
        <f t="shared" si="7"/>
        <v>3050111624260043636249</v>
      </c>
      <c r="M463" s="5">
        <v>21</v>
      </c>
      <c r="N463" s="5">
        <v>0</v>
      </c>
      <c r="O463" s="5">
        <v>251284.62</v>
      </c>
      <c r="P463" s="5">
        <v>52769.77</v>
      </c>
      <c r="Q463" s="5">
        <v>316618.62</v>
      </c>
      <c r="R463" s="1" t="s">
        <v>15</v>
      </c>
      <c r="S463" s="5">
        <v>5025.6899999999996</v>
      </c>
      <c r="T463">
        <f>VLOOKUP(L463,'MIS COMPROBANTES'!E:Q,13,0)</f>
        <v>316618.62</v>
      </c>
    </row>
    <row r="464" spans="1:20" x14ac:dyDescent="0.3">
      <c r="A464" s="3">
        <v>45440</v>
      </c>
      <c r="B464" s="1" t="s">
        <v>236</v>
      </c>
      <c r="C464" s="1" t="s">
        <v>237</v>
      </c>
      <c r="D464" s="1" t="s">
        <v>18</v>
      </c>
      <c r="E464" s="1" t="s">
        <v>691</v>
      </c>
      <c r="F464" s="4">
        <v>12105</v>
      </c>
      <c r="G464" s="1" t="s">
        <v>19</v>
      </c>
      <c r="H464" s="1" t="s">
        <v>544</v>
      </c>
      <c r="I464" s="1" t="s">
        <v>757</v>
      </c>
      <c r="J464" s="1">
        <v>6004</v>
      </c>
      <c r="K464" s="1">
        <v>3636249</v>
      </c>
      <c r="L464" s="7" t="str">
        <f t="shared" si="7"/>
        <v>3050111624260043636249</v>
      </c>
      <c r="M464" s="5">
        <v>3</v>
      </c>
      <c r="N464" s="5">
        <v>0</v>
      </c>
      <c r="O464" s="5">
        <v>0</v>
      </c>
      <c r="P464" s="5">
        <v>7538.54</v>
      </c>
      <c r="Q464" s="5">
        <v>0</v>
      </c>
      <c r="R464" s="1" t="s">
        <v>15</v>
      </c>
      <c r="S464" s="5">
        <v>0</v>
      </c>
      <c r="T464">
        <f>VLOOKUP(L464,'MIS COMPROBANTES'!E:Q,13,0)</f>
        <v>316618.62</v>
      </c>
    </row>
    <row r="465" spans="1:20" x14ac:dyDescent="0.3">
      <c r="A465" s="3">
        <v>45440</v>
      </c>
      <c r="B465" s="1" t="s">
        <v>41</v>
      </c>
      <c r="C465" s="1" t="s">
        <v>42</v>
      </c>
      <c r="D465" s="1" t="s">
        <v>18</v>
      </c>
      <c r="E465" s="1" t="s">
        <v>640</v>
      </c>
      <c r="F465" s="4">
        <v>12104</v>
      </c>
      <c r="G465" s="1" t="s">
        <v>19</v>
      </c>
      <c r="H465" s="1" t="s">
        <v>545</v>
      </c>
      <c r="I465" s="1" t="s">
        <v>757</v>
      </c>
      <c r="J465" s="1">
        <v>6156</v>
      </c>
      <c r="K465" s="1">
        <v>6784569</v>
      </c>
      <c r="L465" s="7" t="str">
        <f t="shared" si="7"/>
        <v>3054724233161566784569</v>
      </c>
      <c r="M465" s="5">
        <v>21</v>
      </c>
      <c r="N465" s="5">
        <v>0</v>
      </c>
      <c r="O465" s="5">
        <v>105640.1</v>
      </c>
      <c r="P465" s="5">
        <v>22184.42</v>
      </c>
      <c r="Q465" s="5">
        <v>132141.79</v>
      </c>
      <c r="R465" s="1" t="s">
        <v>15</v>
      </c>
      <c r="S465" s="5">
        <v>2112.8000000000002</v>
      </c>
      <c r="T465">
        <f>VLOOKUP(L465,'MIS COMPROBANTES'!E:Q,13,0)</f>
        <v>132141.79</v>
      </c>
    </row>
    <row r="466" spans="1:20" x14ac:dyDescent="0.3">
      <c r="A466" s="3">
        <v>45440</v>
      </c>
      <c r="B466" s="1" t="s">
        <v>41</v>
      </c>
      <c r="C466" s="1" t="s">
        <v>42</v>
      </c>
      <c r="D466" s="1" t="s">
        <v>18</v>
      </c>
      <c r="E466" s="1" t="s">
        <v>640</v>
      </c>
      <c r="F466" s="4">
        <v>12104</v>
      </c>
      <c r="G466" s="1" t="s">
        <v>19</v>
      </c>
      <c r="H466" s="1" t="s">
        <v>545</v>
      </c>
      <c r="I466" s="1" t="s">
        <v>757</v>
      </c>
      <c r="J466" s="1">
        <v>6156</v>
      </c>
      <c r="K466" s="1">
        <v>6784569</v>
      </c>
      <c r="L466" s="7" t="str">
        <f t="shared" si="7"/>
        <v>3054724233161566784569</v>
      </c>
      <c r="M466" s="5">
        <v>3</v>
      </c>
      <c r="N466" s="5">
        <v>0</v>
      </c>
      <c r="O466" s="5">
        <v>0</v>
      </c>
      <c r="P466" s="5">
        <v>2204.4699999999998</v>
      </c>
      <c r="Q466" s="5">
        <v>0</v>
      </c>
      <c r="R466" s="1" t="s">
        <v>15</v>
      </c>
      <c r="S466" s="5">
        <v>0</v>
      </c>
      <c r="T466">
        <f>VLOOKUP(L466,'MIS COMPROBANTES'!E:Q,13,0)</f>
        <v>132141.79</v>
      </c>
    </row>
    <row r="467" spans="1:20" x14ac:dyDescent="0.3">
      <c r="A467" s="3">
        <v>45440</v>
      </c>
      <c r="B467" s="1" t="s">
        <v>414</v>
      </c>
      <c r="C467" s="1" t="s">
        <v>415</v>
      </c>
      <c r="D467" s="1" t="s">
        <v>416</v>
      </c>
      <c r="E467" s="1" t="s">
        <v>722</v>
      </c>
      <c r="F467" s="4">
        <v>12332</v>
      </c>
      <c r="G467" s="1" t="s">
        <v>19</v>
      </c>
      <c r="H467" s="1" t="s">
        <v>546</v>
      </c>
      <c r="I467" s="1" t="s">
        <v>757</v>
      </c>
      <c r="J467" s="1">
        <v>20241</v>
      </c>
      <c r="K467" s="1">
        <v>53794993</v>
      </c>
      <c r="L467" s="7" t="str">
        <f t="shared" si="7"/>
        <v>339992421092024153794993</v>
      </c>
      <c r="M467" s="5">
        <v>0</v>
      </c>
      <c r="N467" s="5">
        <v>473077.62</v>
      </c>
      <c r="O467" s="5">
        <v>0</v>
      </c>
      <c r="P467" s="5">
        <v>0</v>
      </c>
      <c r="Q467" s="5">
        <v>482539.12</v>
      </c>
      <c r="R467" s="1" t="s">
        <v>15</v>
      </c>
      <c r="S467" s="5">
        <v>9461.5</v>
      </c>
      <c r="T467" t="e">
        <f>VLOOKUP(L467,'MIS COMPROBANTES'!E:Q,13,0)</f>
        <v>#N/A</v>
      </c>
    </row>
    <row r="468" spans="1:20" x14ac:dyDescent="0.3">
      <c r="A468" s="3">
        <v>45440</v>
      </c>
      <c r="B468" s="1" t="s">
        <v>358</v>
      </c>
      <c r="C468" s="1" t="s">
        <v>359</v>
      </c>
      <c r="D468" s="1" t="s">
        <v>18</v>
      </c>
      <c r="E468" s="1" t="s">
        <v>714</v>
      </c>
      <c r="F468" s="4">
        <v>12157</v>
      </c>
      <c r="G468" s="1" t="s">
        <v>27</v>
      </c>
      <c r="H468" s="1" t="s">
        <v>547</v>
      </c>
      <c r="I468" s="1" t="s">
        <v>757</v>
      </c>
      <c r="J468" s="1">
        <v>10</v>
      </c>
      <c r="K468" s="1">
        <v>1164</v>
      </c>
      <c r="L468" s="7" t="str">
        <f t="shared" si="7"/>
        <v>30708784687101164</v>
      </c>
      <c r="M468" s="5">
        <v>21</v>
      </c>
      <c r="N468" s="5">
        <v>0</v>
      </c>
      <c r="O468" s="5">
        <v>-457680</v>
      </c>
      <c r="P468" s="5">
        <v>-96112.8</v>
      </c>
      <c r="Q468" s="5">
        <v>-553792.80000000005</v>
      </c>
      <c r="R468" s="1" t="s">
        <v>15</v>
      </c>
      <c r="S468" s="5">
        <v>0</v>
      </c>
      <c r="T468">
        <f>VLOOKUP(L468,'MIS COMPROBANTES'!E:Q,13,0)</f>
        <v>553792.80000000005</v>
      </c>
    </row>
    <row r="469" spans="1:20" x14ac:dyDescent="0.3">
      <c r="A469" s="3">
        <v>45440</v>
      </c>
      <c r="B469" s="1" t="s">
        <v>358</v>
      </c>
      <c r="C469" s="1" t="s">
        <v>359</v>
      </c>
      <c r="D469" s="1" t="s">
        <v>18</v>
      </c>
      <c r="E469" s="1" t="s">
        <v>714</v>
      </c>
      <c r="F469" s="4">
        <v>12246</v>
      </c>
      <c r="G469" s="1" t="s">
        <v>27</v>
      </c>
      <c r="H469" s="1" t="s">
        <v>548</v>
      </c>
      <c r="I469" s="1" t="s">
        <v>757</v>
      </c>
      <c r="J469" s="1">
        <v>10</v>
      </c>
      <c r="K469" s="1">
        <v>1165</v>
      </c>
      <c r="L469" s="7" t="str">
        <f t="shared" si="7"/>
        <v>30708784687101165</v>
      </c>
      <c r="M469" s="5">
        <v>21</v>
      </c>
      <c r="N469" s="5">
        <v>0</v>
      </c>
      <c r="O469" s="5">
        <v>-5362</v>
      </c>
      <c r="P469" s="5">
        <v>-1126.02</v>
      </c>
      <c r="Q469" s="5">
        <v>-6488.02</v>
      </c>
      <c r="R469" s="1" t="s">
        <v>15</v>
      </c>
      <c r="S469" s="5">
        <v>0</v>
      </c>
      <c r="T469">
        <f>VLOOKUP(L469,'MIS COMPROBANTES'!E:Q,13,0)</f>
        <v>6488.02</v>
      </c>
    </row>
    <row r="470" spans="1:20" x14ac:dyDescent="0.3">
      <c r="A470" s="3">
        <v>45441</v>
      </c>
      <c r="B470" s="1" t="s">
        <v>414</v>
      </c>
      <c r="C470" s="1" t="s">
        <v>415</v>
      </c>
      <c r="D470" s="1" t="s">
        <v>416</v>
      </c>
      <c r="E470" s="1" t="s">
        <v>722</v>
      </c>
      <c r="F470" s="4">
        <v>12159</v>
      </c>
      <c r="G470" s="1" t="s">
        <v>19</v>
      </c>
      <c r="H470" s="1" t="s">
        <v>549</v>
      </c>
      <c r="I470" s="1">
        <v>0</v>
      </c>
      <c r="J470" s="1">
        <v>2024</v>
      </c>
      <c r="K470" s="1">
        <v>23991311</v>
      </c>
      <c r="L470" s="7" t="str">
        <f t="shared" si="7"/>
        <v>33999242109202423991311</v>
      </c>
      <c r="M470" s="5">
        <v>0</v>
      </c>
      <c r="N470" s="5">
        <v>49952</v>
      </c>
      <c r="O470" s="5">
        <v>0</v>
      </c>
      <c r="P470" s="5">
        <v>0</v>
      </c>
      <c r="Q470" s="5">
        <v>49952</v>
      </c>
      <c r="R470" s="1" t="s">
        <v>15</v>
      </c>
      <c r="S470" s="5">
        <v>0</v>
      </c>
      <c r="T470" t="e">
        <f>VLOOKUP(L470,'MIS COMPROBANTES'!E:Q,13,0)</f>
        <v>#N/A</v>
      </c>
    </row>
    <row r="471" spans="1:20" x14ac:dyDescent="0.3">
      <c r="A471" s="3">
        <v>45441</v>
      </c>
      <c r="B471" s="1" t="s">
        <v>414</v>
      </c>
      <c r="C471" s="1" t="s">
        <v>415</v>
      </c>
      <c r="D471" s="1" t="s">
        <v>416</v>
      </c>
      <c r="E471" s="1" t="s">
        <v>722</v>
      </c>
      <c r="F471" s="4">
        <v>12160</v>
      </c>
      <c r="G471" s="1" t="s">
        <v>19</v>
      </c>
      <c r="H471" s="1" t="s">
        <v>550</v>
      </c>
      <c r="I471" s="1">
        <v>0</v>
      </c>
      <c r="J471" s="1">
        <v>2024</v>
      </c>
      <c r="K471" s="1">
        <v>52400917</v>
      </c>
      <c r="L471" s="7" t="str">
        <f t="shared" si="7"/>
        <v>33999242109202452400917</v>
      </c>
      <c r="M471" s="5">
        <v>0</v>
      </c>
      <c r="N471" s="5">
        <v>79967.53</v>
      </c>
      <c r="O471" s="5">
        <v>0</v>
      </c>
      <c r="P471" s="5">
        <v>0</v>
      </c>
      <c r="Q471" s="5">
        <v>79967.53</v>
      </c>
      <c r="R471" s="1" t="s">
        <v>15</v>
      </c>
      <c r="S471" s="5">
        <v>0</v>
      </c>
      <c r="T471" t="e">
        <f>VLOOKUP(L471,'MIS COMPROBANTES'!E:Q,13,0)</f>
        <v>#N/A</v>
      </c>
    </row>
    <row r="472" spans="1:20" x14ac:dyDescent="0.3">
      <c r="A472" s="3">
        <v>45441</v>
      </c>
      <c r="B472" s="1" t="s">
        <v>488</v>
      </c>
      <c r="C472" s="1" t="s">
        <v>489</v>
      </c>
      <c r="D472" s="1" t="s">
        <v>18</v>
      </c>
      <c r="E472" s="1" t="s">
        <v>732</v>
      </c>
      <c r="F472" s="4">
        <v>12192</v>
      </c>
      <c r="G472" s="1" t="s">
        <v>19</v>
      </c>
      <c r="H472" s="1" t="s">
        <v>551</v>
      </c>
      <c r="I472" s="1" t="s">
        <v>757</v>
      </c>
      <c r="J472" s="1">
        <v>2</v>
      </c>
      <c r="K472" s="1">
        <v>2557</v>
      </c>
      <c r="L472" s="7" t="str">
        <f t="shared" si="7"/>
        <v>2018057502322557</v>
      </c>
      <c r="M472" s="5">
        <v>21</v>
      </c>
      <c r="N472" s="5">
        <v>0</v>
      </c>
      <c r="O472" s="5">
        <v>76800</v>
      </c>
      <c r="P472" s="5">
        <v>16128</v>
      </c>
      <c r="Q472" s="5">
        <v>92928</v>
      </c>
      <c r="R472" s="1" t="s">
        <v>15</v>
      </c>
      <c r="S472" s="5">
        <v>0</v>
      </c>
      <c r="T472">
        <f>VLOOKUP(L472,'MIS COMPROBANTES'!E:Q,13,0)</f>
        <v>92928</v>
      </c>
    </row>
    <row r="473" spans="1:20" x14ac:dyDescent="0.3">
      <c r="A473" s="3">
        <v>45441</v>
      </c>
      <c r="B473" s="1" t="s">
        <v>70</v>
      </c>
      <c r="C473" s="1" t="s">
        <v>71</v>
      </c>
      <c r="D473" s="1" t="s">
        <v>18</v>
      </c>
      <c r="E473" s="1" t="s">
        <v>649</v>
      </c>
      <c r="F473" s="4">
        <v>12143</v>
      </c>
      <c r="G473" s="1" t="s">
        <v>19</v>
      </c>
      <c r="H473" s="1" t="s">
        <v>552</v>
      </c>
      <c r="I473" s="1" t="s">
        <v>757</v>
      </c>
      <c r="J473" s="1">
        <v>3</v>
      </c>
      <c r="K473" s="1">
        <v>100978</v>
      </c>
      <c r="L473" s="7" t="str">
        <f t="shared" si="7"/>
        <v>307039574783100978</v>
      </c>
      <c r="M473" s="5">
        <v>21</v>
      </c>
      <c r="N473" s="5">
        <v>0</v>
      </c>
      <c r="O473" s="5">
        <v>381297.52</v>
      </c>
      <c r="P473" s="5">
        <v>80072.479999999996</v>
      </c>
      <c r="Q473" s="5">
        <v>468995.95</v>
      </c>
      <c r="R473" s="1" t="s">
        <v>15</v>
      </c>
      <c r="S473" s="5">
        <v>7625.95</v>
      </c>
      <c r="T473">
        <f>VLOOKUP(L473,'MIS COMPROBANTES'!E:Q,13,0)</f>
        <v>468995.95</v>
      </c>
    </row>
    <row r="474" spans="1:20" x14ac:dyDescent="0.3">
      <c r="A474" s="3">
        <v>45441</v>
      </c>
      <c r="B474" s="1" t="s">
        <v>370</v>
      </c>
      <c r="C474" s="1" t="s">
        <v>371</v>
      </c>
      <c r="D474" s="1" t="s">
        <v>18</v>
      </c>
      <c r="E474" s="1" t="s">
        <v>715</v>
      </c>
      <c r="F474" s="4">
        <v>12211</v>
      </c>
      <c r="G474" s="1" t="s">
        <v>19</v>
      </c>
      <c r="H474" s="1" t="s">
        <v>553</v>
      </c>
      <c r="I474" s="1" t="s">
        <v>757</v>
      </c>
      <c r="J474" s="1">
        <v>3</v>
      </c>
      <c r="K474" s="1">
        <v>109602</v>
      </c>
      <c r="L474" s="7" t="str">
        <f t="shared" si="7"/>
        <v>337106312693109602</v>
      </c>
      <c r="M474" s="5">
        <v>21</v>
      </c>
      <c r="N474" s="5">
        <v>9551.9599999999991</v>
      </c>
      <c r="O474" s="5">
        <v>120209.96</v>
      </c>
      <c r="P474" s="5">
        <v>25244.09</v>
      </c>
      <c r="Q474" s="5">
        <v>157410.21</v>
      </c>
      <c r="R474" s="1" t="s">
        <v>15</v>
      </c>
      <c r="S474" s="5">
        <v>2404.1999999999998</v>
      </c>
      <c r="T474" t="e">
        <f>VLOOKUP(L474,'MIS COMPROBANTES'!E:Q,13,0)</f>
        <v>#N/A</v>
      </c>
    </row>
    <row r="475" spans="1:20" x14ac:dyDescent="0.3">
      <c r="A475" s="3">
        <v>45441</v>
      </c>
      <c r="B475" s="1" t="s">
        <v>358</v>
      </c>
      <c r="C475" s="1" t="s">
        <v>359</v>
      </c>
      <c r="D475" s="1" t="s">
        <v>18</v>
      </c>
      <c r="E475" s="1" t="s">
        <v>714</v>
      </c>
      <c r="F475" s="4">
        <v>12250</v>
      </c>
      <c r="G475" s="1" t="s">
        <v>19</v>
      </c>
      <c r="H475" s="1" t="s">
        <v>554</v>
      </c>
      <c r="I475" s="1" t="s">
        <v>757</v>
      </c>
      <c r="J475" s="1">
        <v>10</v>
      </c>
      <c r="K475" s="1">
        <v>5775</v>
      </c>
      <c r="L475" s="7" t="str">
        <f t="shared" si="7"/>
        <v>30708784687105775</v>
      </c>
      <c r="M475" s="5">
        <v>21</v>
      </c>
      <c r="N475" s="5">
        <v>0</v>
      </c>
      <c r="O475" s="5">
        <v>457680</v>
      </c>
      <c r="P475" s="5">
        <v>96112.8</v>
      </c>
      <c r="Q475" s="5">
        <v>553792.80000000005</v>
      </c>
      <c r="R475" s="1" t="s">
        <v>15</v>
      </c>
      <c r="S475" s="5">
        <v>0</v>
      </c>
      <c r="T475">
        <f>VLOOKUP(L475,'MIS COMPROBANTES'!E:Q,13,0)</f>
        <v>553792.80000000005</v>
      </c>
    </row>
    <row r="476" spans="1:20" x14ac:dyDescent="0.3">
      <c r="A476" s="3">
        <v>45441</v>
      </c>
      <c r="B476" s="1" t="s">
        <v>196</v>
      </c>
      <c r="C476" s="1" t="s">
        <v>197</v>
      </c>
      <c r="D476" s="1" t="s">
        <v>18</v>
      </c>
      <c r="E476" s="1" t="s">
        <v>682</v>
      </c>
      <c r="F476" s="4">
        <v>12249</v>
      </c>
      <c r="G476" s="1" t="s">
        <v>19</v>
      </c>
      <c r="H476" s="1" t="s">
        <v>555</v>
      </c>
      <c r="I476" s="1" t="s">
        <v>757</v>
      </c>
      <c r="J476" s="1">
        <v>115</v>
      </c>
      <c r="K476" s="1">
        <v>143250</v>
      </c>
      <c r="L476" s="7" t="str">
        <f t="shared" si="7"/>
        <v>30629646708115143250</v>
      </c>
      <c r="M476" s="5">
        <v>21</v>
      </c>
      <c r="N476" s="5">
        <v>0</v>
      </c>
      <c r="O476" s="5">
        <v>1316239.19</v>
      </c>
      <c r="P476" s="5">
        <v>276410.23</v>
      </c>
      <c r="Q476" s="5">
        <v>1697948.56</v>
      </c>
      <c r="R476" s="1" t="s">
        <v>15</v>
      </c>
      <c r="S476" s="5">
        <v>65811.960000000006</v>
      </c>
      <c r="T476">
        <f>VLOOKUP(L476,'MIS COMPROBANTES'!E:Q,13,0)</f>
        <v>1697948.56</v>
      </c>
    </row>
    <row r="477" spans="1:20" x14ac:dyDescent="0.3">
      <c r="A477" s="3">
        <v>45441</v>
      </c>
      <c r="B477" s="1" t="s">
        <v>196</v>
      </c>
      <c r="C477" s="1" t="s">
        <v>197</v>
      </c>
      <c r="D477" s="1" t="s">
        <v>18</v>
      </c>
      <c r="E477" s="1" t="s">
        <v>682</v>
      </c>
      <c r="F477" s="4">
        <v>12249</v>
      </c>
      <c r="G477" s="1" t="s">
        <v>19</v>
      </c>
      <c r="H477" s="1" t="s">
        <v>555</v>
      </c>
      <c r="I477" s="1" t="s">
        <v>757</v>
      </c>
      <c r="J477" s="1">
        <v>115</v>
      </c>
      <c r="K477" s="1">
        <v>143250</v>
      </c>
      <c r="L477" s="7" t="str">
        <f t="shared" si="7"/>
        <v>30629646708115143250</v>
      </c>
      <c r="M477" s="5">
        <v>3</v>
      </c>
      <c r="N477" s="5">
        <v>0</v>
      </c>
      <c r="O477" s="5">
        <v>0</v>
      </c>
      <c r="P477" s="5">
        <v>39487.18</v>
      </c>
      <c r="Q477" s="5">
        <v>0</v>
      </c>
      <c r="R477" s="1" t="s">
        <v>15</v>
      </c>
      <c r="S477" s="5">
        <v>0</v>
      </c>
      <c r="T477">
        <f>VLOOKUP(L477,'MIS COMPROBANTES'!E:Q,13,0)</f>
        <v>1697948.56</v>
      </c>
    </row>
    <row r="478" spans="1:20" x14ac:dyDescent="0.3">
      <c r="A478" s="3">
        <v>45441</v>
      </c>
      <c r="B478" s="1" t="s">
        <v>556</v>
      </c>
      <c r="C478" s="1" t="s">
        <v>557</v>
      </c>
      <c r="D478" s="1" t="s">
        <v>18</v>
      </c>
      <c r="E478" s="1" t="s">
        <v>741</v>
      </c>
      <c r="F478" s="4">
        <v>12237</v>
      </c>
      <c r="G478" s="1" t="s">
        <v>19</v>
      </c>
      <c r="H478" s="1" t="s">
        <v>558</v>
      </c>
      <c r="I478" s="1" t="s">
        <v>757</v>
      </c>
      <c r="J478" s="1">
        <v>1004</v>
      </c>
      <c r="K478" s="1">
        <v>5330</v>
      </c>
      <c r="L478" s="7" t="str">
        <f t="shared" si="7"/>
        <v>3071205462610045330</v>
      </c>
      <c r="M478" s="5">
        <v>21</v>
      </c>
      <c r="N478" s="5">
        <v>0</v>
      </c>
      <c r="O478" s="5">
        <v>15353280</v>
      </c>
      <c r="P478" s="5">
        <v>3224188.8</v>
      </c>
      <c r="Q478" s="5">
        <v>19805731.199999999</v>
      </c>
      <c r="R478" s="1" t="s">
        <v>15</v>
      </c>
      <c r="S478" s="5">
        <v>767664</v>
      </c>
      <c r="T478">
        <f>VLOOKUP(L478,'MIS COMPROBANTES'!E:Q,13,0)</f>
        <v>19805731.199999999</v>
      </c>
    </row>
    <row r="479" spans="1:20" x14ac:dyDescent="0.3">
      <c r="A479" s="3">
        <v>45441</v>
      </c>
      <c r="B479" s="1" t="s">
        <v>556</v>
      </c>
      <c r="C479" s="1" t="s">
        <v>557</v>
      </c>
      <c r="D479" s="1" t="s">
        <v>18</v>
      </c>
      <c r="E479" s="1" t="s">
        <v>741</v>
      </c>
      <c r="F479" s="4">
        <v>12237</v>
      </c>
      <c r="G479" s="1" t="s">
        <v>19</v>
      </c>
      <c r="H479" s="1" t="s">
        <v>558</v>
      </c>
      <c r="I479" s="1" t="s">
        <v>757</v>
      </c>
      <c r="J479" s="1">
        <v>1004</v>
      </c>
      <c r="K479" s="1">
        <v>5330</v>
      </c>
      <c r="L479" s="7" t="str">
        <f t="shared" si="7"/>
        <v>3071205462610045330</v>
      </c>
      <c r="M479" s="5">
        <v>3</v>
      </c>
      <c r="N479" s="5">
        <v>0</v>
      </c>
      <c r="O479" s="5">
        <v>0</v>
      </c>
      <c r="P479" s="5">
        <v>460598.4</v>
      </c>
      <c r="Q479" s="5">
        <v>0</v>
      </c>
      <c r="R479" s="1" t="s">
        <v>15</v>
      </c>
      <c r="S479" s="5">
        <v>0</v>
      </c>
      <c r="T479">
        <f>VLOOKUP(L479,'MIS COMPROBANTES'!E:Q,13,0)</f>
        <v>19805731.199999999</v>
      </c>
    </row>
    <row r="480" spans="1:20" x14ac:dyDescent="0.3">
      <c r="A480" s="3">
        <v>45441</v>
      </c>
      <c r="B480" s="1" t="s">
        <v>559</v>
      </c>
      <c r="C480" s="1" t="s">
        <v>560</v>
      </c>
      <c r="D480" s="1" t="s">
        <v>18</v>
      </c>
      <c r="E480" s="1" t="s">
        <v>742</v>
      </c>
      <c r="F480" s="4">
        <v>12323</v>
      </c>
      <c r="G480" s="1" t="s">
        <v>19</v>
      </c>
      <c r="H480" s="1" t="s">
        <v>561</v>
      </c>
      <c r="I480" s="1" t="s">
        <v>757</v>
      </c>
      <c r="J480" s="1">
        <v>1411</v>
      </c>
      <c r="K480" s="1">
        <v>6735</v>
      </c>
      <c r="L480" s="7" t="str">
        <f t="shared" si="7"/>
        <v>3053774574214116735</v>
      </c>
      <c r="M480" s="5">
        <v>21</v>
      </c>
      <c r="N480" s="5">
        <v>0</v>
      </c>
      <c r="O480" s="5">
        <v>149747.60999999999</v>
      </c>
      <c r="P480" s="5">
        <v>31447</v>
      </c>
      <c r="Q480" s="5">
        <v>188681.99</v>
      </c>
      <c r="R480" s="1" t="s">
        <v>562</v>
      </c>
      <c r="S480" s="5">
        <v>7487.38</v>
      </c>
      <c r="T480">
        <f>VLOOKUP(L480,'MIS COMPROBANTES'!E:Q,13,0)</f>
        <v>188681.99</v>
      </c>
    </row>
    <row r="481" spans="1:20" x14ac:dyDescent="0.3">
      <c r="A481" s="3">
        <v>45441</v>
      </c>
      <c r="B481" s="1" t="s">
        <v>249</v>
      </c>
      <c r="C481" s="1" t="s">
        <v>250</v>
      </c>
      <c r="D481" s="1" t="s">
        <v>18</v>
      </c>
      <c r="E481" s="1" t="s">
        <v>694</v>
      </c>
      <c r="F481" s="4">
        <v>12089</v>
      </c>
      <c r="G481" s="1" t="s">
        <v>27</v>
      </c>
      <c r="H481" s="1" t="s">
        <v>563</v>
      </c>
      <c r="I481" s="1" t="s">
        <v>757</v>
      </c>
      <c r="J481" s="1">
        <v>3</v>
      </c>
      <c r="K481" s="1">
        <v>132</v>
      </c>
      <c r="L481" s="7" t="str">
        <f t="shared" si="7"/>
        <v>307152961323132</v>
      </c>
      <c r="M481" s="5">
        <v>21</v>
      </c>
      <c r="N481" s="5">
        <v>0</v>
      </c>
      <c r="O481" s="5">
        <v>-137603.31</v>
      </c>
      <c r="P481" s="5">
        <v>-28896.7</v>
      </c>
      <c r="Q481" s="5">
        <v>-166500.01</v>
      </c>
      <c r="R481" s="1" t="s">
        <v>15</v>
      </c>
      <c r="S481" s="5">
        <v>0</v>
      </c>
      <c r="T481">
        <f>VLOOKUP(L481,'MIS COMPROBANTES'!E:Q,13,0)</f>
        <v>166500.01</v>
      </c>
    </row>
    <row r="482" spans="1:20" x14ac:dyDescent="0.3">
      <c r="A482" s="3">
        <v>45441</v>
      </c>
      <c r="B482" s="1" t="s">
        <v>125</v>
      </c>
      <c r="C482" s="1" t="s">
        <v>126</v>
      </c>
      <c r="D482" s="1" t="s">
        <v>18</v>
      </c>
      <c r="E482" s="1" t="s">
        <v>663</v>
      </c>
      <c r="F482" s="4">
        <v>12131</v>
      </c>
      <c r="G482" s="1" t="s">
        <v>27</v>
      </c>
      <c r="H482" s="1" t="s">
        <v>564</v>
      </c>
      <c r="I482" s="1" t="s">
        <v>757</v>
      </c>
      <c r="J482" s="1">
        <v>4</v>
      </c>
      <c r="K482" s="1">
        <v>312</v>
      </c>
      <c r="L482" s="7" t="str">
        <f t="shared" si="7"/>
        <v>202433486774312</v>
      </c>
      <c r="M482" s="5">
        <v>21</v>
      </c>
      <c r="N482" s="5">
        <v>0</v>
      </c>
      <c r="O482" s="5">
        <v>-834377</v>
      </c>
      <c r="P482" s="5">
        <v>-58884</v>
      </c>
      <c r="Q482" s="5">
        <v>-951428.59</v>
      </c>
      <c r="R482" s="1" t="s">
        <v>15</v>
      </c>
      <c r="S482" s="5">
        <v>0</v>
      </c>
      <c r="T482">
        <f>VLOOKUP(L482,'MIS COMPROBANTES'!E:Q,13,0)</f>
        <v>951428.59</v>
      </c>
    </row>
    <row r="483" spans="1:20" x14ac:dyDescent="0.3">
      <c r="A483" s="3">
        <v>45441</v>
      </c>
      <c r="B483" s="1" t="s">
        <v>125</v>
      </c>
      <c r="C483" s="1" t="s">
        <v>126</v>
      </c>
      <c r="D483" s="1" t="s">
        <v>18</v>
      </c>
      <c r="E483" s="1" t="s">
        <v>663</v>
      </c>
      <c r="F483" s="4">
        <v>12131</v>
      </c>
      <c r="G483" s="1" t="s">
        <v>27</v>
      </c>
      <c r="H483" s="1" t="s">
        <v>564</v>
      </c>
      <c r="I483" s="1" t="s">
        <v>757</v>
      </c>
      <c r="J483" s="1">
        <v>4</v>
      </c>
      <c r="K483" s="1">
        <v>312</v>
      </c>
      <c r="L483" s="7" t="str">
        <f t="shared" si="7"/>
        <v>202433486774312</v>
      </c>
      <c r="M483" s="5">
        <v>10.5</v>
      </c>
      <c r="N483" s="5">
        <v>0</v>
      </c>
      <c r="O483" s="5">
        <v>0</v>
      </c>
      <c r="P483" s="5">
        <v>-58167.59</v>
      </c>
      <c r="Q483" s="5">
        <v>0</v>
      </c>
      <c r="R483" s="1" t="s">
        <v>15</v>
      </c>
      <c r="S483" s="5">
        <v>0</v>
      </c>
      <c r="T483">
        <f>VLOOKUP(L483,'MIS COMPROBANTES'!E:Q,13,0)</f>
        <v>951428.59</v>
      </c>
    </row>
    <row r="484" spans="1:20" x14ac:dyDescent="0.3">
      <c r="A484" s="3">
        <v>45441</v>
      </c>
      <c r="B484" s="1" t="s">
        <v>79</v>
      </c>
      <c r="C484" s="1" t="s">
        <v>80</v>
      </c>
      <c r="D484" s="1" t="s">
        <v>18</v>
      </c>
      <c r="E484" s="1" t="s">
        <v>651</v>
      </c>
      <c r="F484" s="4">
        <v>12109</v>
      </c>
      <c r="G484" s="1" t="s">
        <v>27</v>
      </c>
      <c r="H484" s="1" t="s">
        <v>565</v>
      </c>
      <c r="I484" s="1" t="s">
        <v>757</v>
      </c>
      <c r="J484" s="1">
        <v>28</v>
      </c>
      <c r="K484" s="1">
        <v>951</v>
      </c>
      <c r="L484" s="7" t="str">
        <f t="shared" si="7"/>
        <v>3064661852128951</v>
      </c>
      <c r="M484" s="5">
        <v>21</v>
      </c>
      <c r="N484" s="5">
        <v>0</v>
      </c>
      <c r="O484" s="5">
        <v>-195573.43</v>
      </c>
      <c r="P484" s="5">
        <v>-41070.42</v>
      </c>
      <c r="Q484" s="5">
        <v>-236643.85</v>
      </c>
      <c r="R484" s="1" t="s">
        <v>15</v>
      </c>
      <c r="S484" s="5">
        <v>0</v>
      </c>
      <c r="T484">
        <f>VLOOKUP(L484,'MIS COMPROBANTES'!E:Q,13,0)</f>
        <v>236643.85</v>
      </c>
    </row>
    <row r="485" spans="1:20" x14ac:dyDescent="0.3">
      <c r="A485" s="3">
        <v>45442</v>
      </c>
      <c r="B485" s="1" t="s">
        <v>44</v>
      </c>
      <c r="C485" s="1" t="s">
        <v>45</v>
      </c>
      <c r="D485" s="1" t="s">
        <v>18</v>
      </c>
      <c r="E485" s="1" t="s">
        <v>641</v>
      </c>
      <c r="F485" s="4">
        <v>12140</v>
      </c>
      <c r="G485" s="1" t="s">
        <v>19</v>
      </c>
      <c r="H485" s="1" t="s">
        <v>566</v>
      </c>
      <c r="I485" s="1">
        <v>0</v>
      </c>
      <c r="J485" s="1">
        <v>2024</v>
      </c>
      <c r="K485" s="1">
        <v>90011101</v>
      </c>
      <c r="L485" s="7" t="str">
        <f t="shared" si="7"/>
        <v>30500008454202490011101</v>
      </c>
      <c r="M485" s="5">
        <v>10.5</v>
      </c>
      <c r="N485" s="5">
        <v>16258.85</v>
      </c>
      <c r="O485" s="5">
        <v>359049.35</v>
      </c>
      <c r="P485" s="5">
        <v>37700.19</v>
      </c>
      <c r="Q485" s="5">
        <v>425575.12</v>
      </c>
      <c r="R485" s="1" t="s">
        <v>15</v>
      </c>
      <c r="S485" s="5">
        <v>7180.98</v>
      </c>
      <c r="T485" t="e">
        <f>VLOOKUP(L485,'MIS COMPROBANTES'!E:Q,13,0)</f>
        <v>#N/A</v>
      </c>
    </row>
    <row r="486" spans="1:20" x14ac:dyDescent="0.3">
      <c r="A486" s="3">
        <v>45442</v>
      </c>
      <c r="B486" s="1" t="s">
        <v>44</v>
      </c>
      <c r="C486" s="1" t="s">
        <v>45</v>
      </c>
      <c r="D486" s="1" t="s">
        <v>18</v>
      </c>
      <c r="E486" s="1" t="s">
        <v>641</v>
      </c>
      <c r="F486" s="4">
        <v>12140</v>
      </c>
      <c r="G486" s="1" t="s">
        <v>19</v>
      </c>
      <c r="H486" s="1" t="s">
        <v>566</v>
      </c>
      <c r="I486" s="1">
        <v>0</v>
      </c>
      <c r="J486" s="1">
        <v>2024</v>
      </c>
      <c r="K486" s="1">
        <v>90011101</v>
      </c>
      <c r="L486" s="7" t="str">
        <f t="shared" si="7"/>
        <v>30500008454202490011101</v>
      </c>
      <c r="M486" s="5">
        <v>1.5</v>
      </c>
      <c r="N486" s="5">
        <v>0</v>
      </c>
      <c r="O486" s="5">
        <v>0</v>
      </c>
      <c r="P486" s="5">
        <v>5385.75</v>
      </c>
      <c r="Q486" s="5">
        <v>0</v>
      </c>
      <c r="R486" s="1" t="s">
        <v>15</v>
      </c>
      <c r="S486" s="5">
        <v>0</v>
      </c>
      <c r="T486" t="e">
        <f>VLOOKUP(L486,'MIS COMPROBANTES'!E:Q,13,0)</f>
        <v>#N/A</v>
      </c>
    </row>
    <row r="487" spans="1:20" x14ac:dyDescent="0.3">
      <c r="A487" s="3">
        <v>45442</v>
      </c>
      <c r="B487" s="1" t="s">
        <v>567</v>
      </c>
      <c r="C487" s="1" t="s">
        <v>568</v>
      </c>
      <c r="D487" s="1" t="s">
        <v>18</v>
      </c>
      <c r="E487" s="1" t="s">
        <v>743</v>
      </c>
      <c r="F487" s="4">
        <v>12203</v>
      </c>
      <c r="G487" s="1" t="s">
        <v>19</v>
      </c>
      <c r="H487" s="1" t="s">
        <v>569</v>
      </c>
      <c r="I487" s="1" t="s">
        <v>757</v>
      </c>
      <c r="J487" s="1">
        <v>6</v>
      </c>
      <c r="K487" s="1">
        <v>35176</v>
      </c>
      <c r="L487" s="7" t="str">
        <f t="shared" si="7"/>
        <v>30709459399635176</v>
      </c>
      <c r="M487" s="5">
        <v>10.5</v>
      </c>
      <c r="N487" s="5">
        <v>0</v>
      </c>
      <c r="O487" s="5">
        <v>199641.63</v>
      </c>
      <c r="P487" s="5">
        <v>20962.37</v>
      </c>
      <c r="Q487" s="5">
        <v>220604</v>
      </c>
      <c r="R487" s="1" t="s">
        <v>15</v>
      </c>
      <c r="S487" s="5">
        <v>0</v>
      </c>
      <c r="T487">
        <f>VLOOKUP(L487,'MIS COMPROBANTES'!E:Q,13,0)</f>
        <v>220604</v>
      </c>
    </row>
    <row r="488" spans="1:20" x14ac:dyDescent="0.3">
      <c r="A488" s="3">
        <v>45442</v>
      </c>
      <c r="B488" s="1" t="s">
        <v>35</v>
      </c>
      <c r="C488" s="1" t="s">
        <v>36</v>
      </c>
      <c r="D488" s="1" t="s">
        <v>18</v>
      </c>
      <c r="E488" s="1" t="s">
        <v>638</v>
      </c>
      <c r="F488" s="4">
        <v>12213</v>
      </c>
      <c r="G488" s="1" t="s">
        <v>19</v>
      </c>
      <c r="H488" s="1" t="s">
        <v>570</v>
      </c>
      <c r="I488" s="1" t="s">
        <v>757</v>
      </c>
      <c r="J488" s="1">
        <v>8</v>
      </c>
      <c r="K488" s="1">
        <v>116763</v>
      </c>
      <c r="L488" s="7" t="str">
        <f t="shared" si="7"/>
        <v>337079014098116763</v>
      </c>
      <c r="M488" s="5">
        <v>21</v>
      </c>
      <c r="N488" s="5">
        <v>7550.44</v>
      </c>
      <c r="O488" s="5">
        <v>84991.52</v>
      </c>
      <c r="P488" s="5">
        <v>17848.22</v>
      </c>
      <c r="Q488" s="5">
        <v>110390.18</v>
      </c>
      <c r="R488" s="1" t="s">
        <v>15</v>
      </c>
      <c r="S488" s="5">
        <v>0</v>
      </c>
      <c r="T488" t="e">
        <f>VLOOKUP(L488,'MIS COMPROBANTES'!E:Q,13,0)</f>
        <v>#N/A</v>
      </c>
    </row>
    <row r="489" spans="1:20" x14ac:dyDescent="0.3">
      <c r="A489" s="3">
        <v>45442</v>
      </c>
      <c r="B489" s="1" t="s">
        <v>571</v>
      </c>
      <c r="C489" s="1" t="s">
        <v>572</v>
      </c>
      <c r="D489" s="1" t="s">
        <v>18</v>
      </c>
      <c r="E489" s="1" t="s">
        <v>744</v>
      </c>
      <c r="F489" s="4">
        <v>12212</v>
      </c>
      <c r="G489" s="1" t="s">
        <v>19</v>
      </c>
      <c r="H489" s="1" t="s">
        <v>573</v>
      </c>
      <c r="I489" s="1" t="s">
        <v>757</v>
      </c>
      <c r="J489" s="1">
        <v>10</v>
      </c>
      <c r="K489" s="1">
        <v>48487</v>
      </c>
      <c r="L489" s="7" t="str">
        <f t="shared" si="7"/>
        <v>307145792701048487</v>
      </c>
      <c r="M489" s="5">
        <v>21</v>
      </c>
      <c r="N489" s="5">
        <v>4116.8900000000003</v>
      </c>
      <c r="O489" s="5">
        <v>37919.82</v>
      </c>
      <c r="P489" s="5">
        <v>7963.16</v>
      </c>
      <c r="Q489" s="5">
        <v>50758.27</v>
      </c>
      <c r="R489" s="1" t="s">
        <v>15</v>
      </c>
      <c r="S489" s="5">
        <v>758.4</v>
      </c>
      <c r="T489" t="e">
        <f>VLOOKUP(L489,'MIS COMPROBANTES'!E:Q,13,0)</f>
        <v>#N/A</v>
      </c>
    </row>
    <row r="490" spans="1:20" x14ac:dyDescent="0.3">
      <c r="A490" s="3">
        <v>45442</v>
      </c>
      <c r="B490" s="1" t="s">
        <v>574</v>
      </c>
      <c r="C490" s="1" t="s">
        <v>575</v>
      </c>
      <c r="D490" s="1" t="s">
        <v>18</v>
      </c>
      <c r="E490" s="1" t="s">
        <v>745</v>
      </c>
      <c r="F490" s="4">
        <v>12225</v>
      </c>
      <c r="G490" s="1" t="s">
        <v>19</v>
      </c>
      <c r="H490" s="1" t="s">
        <v>576</v>
      </c>
      <c r="I490" s="1" t="s">
        <v>757</v>
      </c>
      <c r="J490" s="1">
        <v>10</v>
      </c>
      <c r="K490" s="1">
        <v>76932</v>
      </c>
      <c r="L490" s="7" t="str">
        <f t="shared" si="7"/>
        <v>307091141031076932</v>
      </c>
      <c r="M490" s="5">
        <v>21</v>
      </c>
      <c r="N490" s="5">
        <v>2353.15</v>
      </c>
      <c r="O490" s="5">
        <v>14584.2</v>
      </c>
      <c r="P490" s="5">
        <v>3062.68</v>
      </c>
      <c r="Q490" s="5">
        <v>20000.03</v>
      </c>
      <c r="R490" s="1" t="s">
        <v>15</v>
      </c>
      <c r="S490" s="5">
        <v>0</v>
      </c>
      <c r="T490" t="e">
        <f>VLOOKUP(L490,'MIS COMPROBANTES'!E:Q,13,0)</f>
        <v>#N/A</v>
      </c>
    </row>
    <row r="491" spans="1:20" x14ac:dyDescent="0.3">
      <c r="A491" s="3">
        <v>45442</v>
      </c>
      <c r="B491" s="1" t="s">
        <v>458</v>
      </c>
      <c r="C491" s="1" t="s">
        <v>459</v>
      </c>
      <c r="D491" s="1" t="s">
        <v>18</v>
      </c>
      <c r="E491" s="1" t="s">
        <v>727</v>
      </c>
      <c r="F491" s="4">
        <v>12197</v>
      </c>
      <c r="G491" s="1" t="s">
        <v>19</v>
      </c>
      <c r="H491" s="1" t="s">
        <v>577</v>
      </c>
      <c r="I491" s="1" t="s">
        <v>757</v>
      </c>
      <c r="J491" s="1">
        <v>12</v>
      </c>
      <c r="K491" s="1">
        <v>53433</v>
      </c>
      <c r="L491" s="7" t="str">
        <f t="shared" si="7"/>
        <v>307089380211253433</v>
      </c>
      <c r="M491" s="5">
        <v>21</v>
      </c>
      <c r="N491" s="5">
        <v>0</v>
      </c>
      <c r="O491" s="5">
        <v>5389900</v>
      </c>
      <c r="P491" s="5">
        <v>1131879</v>
      </c>
      <c r="Q491" s="5">
        <v>6629577</v>
      </c>
      <c r="R491" s="1" t="s">
        <v>15</v>
      </c>
      <c r="S491" s="5">
        <v>107798</v>
      </c>
      <c r="T491">
        <f>VLOOKUP(L491,'MIS COMPROBANTES'!E:Q,13,0)</f>
        <v>6629577</v>
      </c>
    </row>
    <row r="492" spans="1:20" x14ac:dyDescent="0.3">
      <c r="A492" s="3">
        <v>45442</v>
      </c>
      <c r="B492" s="1" t="s">
        <v>578</v>
      </c>
      <c r="C492" s="1" t="s">
        <v>579</v>
      </c>
      <c r="D492" s="1" t="s">
        <v>18</v>
      </c>
      <c r="E492" s="1" t="s">
        <v>746</v>
      </c>
      <c r="F492" s="4">
        <v>12325</v>
      </c>
      <c r="G492" s="1" t="s">
        <v>19</v>
      </c>
      <c r="H492" s="1" t="s">
        <v>580</v>
      </c>
      <c r="I492" s="1" t="s">
        <v>757</v>
      </c>
      <c r="J492" s="1">
        <v>110</v>
      </c>
      <c r="K492" s="1">
        <v>88830</v>
      </c>
      <c r="L492" s="7" t="str">
        <f t="shared" si="7"/>
        <v>3071130359211088830</v>
      </c>
      <c r="M492" s="5">
        <v>21</v>
      </c>
      <c r="N492" s="5">
        <v>0</v>
      </c>
      <c r="O492" s="5">
        <v>9635167.5</v>
      </c>
      <c r="P492" s="5">
        <v>2023385.18</v>
      </c>
      <c r="Q492" s="5">
        <v>12429366.109999999</v>
      </c>
      <c r="R492" s="1" t="s">
        <v>15</v>
      </c>
      <c r="S492" s="5">
        <v>481758.39</v>
      </c>
      <c r="T492">
        <f>VLOOKUP(L492,'MIS COMPROBANTES'!E:Q,13,0)</f>
        <v>12429366.109999999</v>
      </c>
    </row>
    <row r="493" spans="1:20" x14ac:dyDescent="0.3">
      <c r="A493" s="3">
        <v>45442</v>
      </c>
      <c r="B493" s="1" t="s">
        <v>578</v>
      </c>
      <c r="C493" s="1" t="s">
        <v>579</v>
      </c>
      <c r="D493" s="1" t="s">
        <v>18</v>
      </c>
      <c r="E493" s="1" t="s">
        <v>746</v>
      </c>
      <c r="F493" s="4">
        <v>12325</v>
      </c>
      <c r="G493" s="1" t="s">
        <v>19</v>
      </c>
      <c r="H493" s="1" t="s">
        <v>580</v>
      </c>
      <c r="I493" s="1" t="s">
        <v>757</v>
      </c>
      <c r="J493" s="1">
        <v>110</v>
      </c>
      <c r="K493" s="1">
        <v>88830</v>
      </c>
      <c r="L493" s="7" t="str">
        <f t="shared" si="7"/>
        <v>3071130359211088830</v>
      </c>
      <c r="M493" s="5">
        <v>3</v>
      </c>
      <c r="N493" s="5">
        <v>0</v>
      </c>
      <c r="O493" s="5">
        <v>0</v>
      </c>
      <c r="P493" s="5">
        <v>289055.03999999998</v>
      </c>
      <c r="Q493" s="5">
        <v>0</v>
      </c>
      <c r="R493" s="1" t="s">
        <v>15</v>
      </c>
      <c r="S493" s="5">
        <v>0</v>
      </c>
      <c r="T493">
        <f>VLOOKUP(L493,'MIS COMPROBANTES'!E:Q,13,0)</f>
        <v>12429366.109999999</v>
      </c>
    </row>
    <row r="494" spans="1:20" x14ac:dyDescent="0.3">
      <c r="A494" s="3">
        <v>45442</v>
      </c>
      <c r="B494" s="1" t="s">
        <v>296</v>
      </c>
      <c r="C494" s="1" t="s">
        <v>297</v>
      </c>
      <c r="D494" s="1" t="s">
        <v>18</v>
      </c>
      <c r="E494" s="1" t="s">
        <v>704</v>
      </c>
      <c r="F494" s="4">
        <v>12256</v>
      </c>
      <c r="G494" s="1" t="s">
        <v>19</v>
      </c>
      <c r="H494" s="1" t="s">
        <v>581</v>
      </c>
      <c r="I494" s="1" t="s">
        <v>757</v>
      </c>
      <c r="J494" s="1">
        <v>161</v>
      </c>
      <c r="K494" s="1">
        <v>198868</v>
      </c>
      <c r="L494" s="7" t="str">
        <f t="shared" si="7"/>
        <v>30566108352161198868</v>
      </c>
      <c r="M494" s="5">
        <v>21</v>
      </c>
      <c r="N494" s="5">
        <v>0</v>
      </c>
      <c r="O494" s="5">
        <v>4103865.39</v>
      </c>
      <c r="P494" s="5">
        <v>861811.73</v>
      </c>
      <c r="Q494" s="5">
        <v>5170870.3899999997</v>
      </c>
      <c r="R494" s="1" t="s">
        <v>15</v>
      </c>
      <c r="S494" s="5">
        <v>205193.27</v>
      </c>
      <c r="T494">
        <f>VLOOKUP(L494,'MIS COMPROBANTES'!E:Q,13,0)</f>
        <v>5170870.3899999997</v>
      </c>
    </row>
    <row r="495" spans="1:20" x14ac:dyDescent="0.3">
      <c r="A495" s="3">
        <v>45442</v>
      </c>
      <c r="B495" s="1" t="s">
        <v>168</v>
      </c>
      <c r="C495" s="1" t="s">
        <v>169</v>
      </c>
      <c r="D495" s="1" t="s">
        <v>18</v>
      </c>
      <c r="E495" s="1" t="s">
        <v>674</v>
      </c>
      <c r="F495" s="4">
        <v>12402</v>
      </c>
      <c r="G495" s="1" t="s">
        <v>19</v>
      </c>
      <c r="H495" s="1" t="s">
        <v>582</v>
      </c>
      <c r="I495" s="1" t="s">
        <v>757</v>
      </c>
      <c r="J495" s="1">
        <v>622</v>
      </c>
      <c r="K495" s="1">
        <v>282905</v>
      </c>
      <c r="L495" s="7" t="str">
        <f t="shared" si="7"/>
        <v>30682032630622282905</v>
      </c>
      <c r="M495" s="5">
        <v>21</v>
      </c>
      <c r="N495" s="5">
        <v>0</v>
      </c>
      <c r="O495" s="5">
        <v>119221.42</v>
      </c>
      <c r="P495" s="5">
        <v>25036.5</v>
      </c>
      <c r="Q495" s="5">
        <v>153795.63</v>
      </c>
      <c r="R495" s="1" t="s">
        <v>15</v>
      </c>
      <c r="S495" s="5">
        <v>5961.07</v>
      </c>
      <c r="T495">
        <f>VLOOKUP(L495,'MIS COMPROBANTES'!E:Q,13,0)</f>
        <v>153795.63</v>
      </c>
    </row>
    <row r="496" spans="1:20" x14ac:dyDescent="0.3">
      <c r="A496" s="3">
        <v>45442</v>
      </c>
      <c r="B496" s="1" t="s">
        <v>168</v>
      </c>
      <c r="C496" s="1" t="s">
        <v>169</v>
      </c>
      <c r="D496" s="1" t="s">
        <v>18</v>
      </c>
      <c r="E496" s="1" t="s">
        <v>674</v>
      </c>
      <c r="F496" s="4">
        <v>12402</v>
      </c>
      <c r="G496" s="1" t="s">
        <v>19</v>
      </c>
      <c r="H496" s="1" t="s">
        <v>582</v>
      </c>
      <c r="I496" s="1" t="s">
        <v>757</v>
      </c>
      <c r="J496" s="1">
        <v>622</v>
      </c>
      <c r="K496" s="1">
        <v>282905</v>
      </c>
      <c r="L496" s="7" t="str">
        <f t="shared" si="7"/>
        <v>30682032630622282905</v>
      </c>
      <c r="M496" s="5">
        <v>3</v>
      </c>
      <c r="N496" s="5">
        <v>0</v>
      </c>
      <c r="O496" s="5">
        <v>0</v>
      </c>
      <c r="P496" s="5">
        <v>3576.64</v>
      </c>
      <c r="Q496" s="5">
        <v>0</v>
      </c>
      <c r="R496" s="1" t="s">
        <v>15</v>
      </c>
      <c r="S496" s="5">
        <v>0</v>
      </c>
      <c r="T496">
        <f>VLOOKUP(L496,'MIS COMPROBANTES'!E:Q,13,0)</f>
        <v>153795.63</v>
      </c>
    </row>
    <row r="497" spans="1:20" x14ac:dyDescent="0.3">
      <c r="A497" s="3">
        <v>45442</v>
      </c>
      <c r="B497" s="1" t="s">
        <v>168</v>
      </c>
      <c r="C497" s="1" t="s">
        <v>169</v>
      </c>
      <c r="D497" s="1" t="s">
        <v>18</v>
      </c>
      <c r="E497" s="1" t="s">
        <v>674</v>
      </c>
      <c r="F497" s="4">
        <v>12259</v>
      </c>
      <c r="G497" s="1" t="s">
        <v>19</v>
      </c>
      <c r="H497" s="1" t="s">
        <v>583</v>
      </c>
      <c r="I497" s="1" t="s">
        <v>757</v>
      </c>
      <c r="J497" s="1">
        <v>622</v>
      </c>
      <c r="K497" s="1">
        <v>282906</v>
      </c>
      <c r="L497" s="7" t="str">
        <f t="shared" si="7"/>
        <v>30682032630622282906</v>
      </c>
      <c r="M497" s="5">
        <v>21</v>
      </c>
      <c r="N497" s="5">
        <v>0</v>
      </c>
      <c r="O497" s="5">
        <v>597151.62</v>
      </c>
      <c r="P497" s="5">
        <v>125401.84</v>
      </c>
      <c r="Q497" s="5">
        <v>770325.59</v>
      </c>
      <c r="R497" s="1" t="s">
        <v>15</v>
      </c>
      <c r="S497" s="5">
        <v>29857.58</v>
      </c>
      <c r="T497">
        <f>VLOOKUP(L497,'MIS COMPROBANTES'!E:Q,13,0)</f>
        <v>770325.59</v>
      </c>
    </row>
    <row r="498" spans="1:20" x14ac:dyDescent="0.3">
      <c r="A498" s="3">
        <v>45442</v>
      </c>
      <c r="B498" s="1" t="s">
        <v>168</v>
      </c>
      <c r="C498" s="1" t="s">
        <v>169</v>
      </c>
      <c r="D498" s="1" t="s">
        <v>18</v>
      </c>
      <c r="E498" s="1" t="s">
        <v>674</v>
      </c>
      <c r="F498" s="4">
        <v>12259</v>
      </c>
      <c r="G498" s="1" t="s">
        <v>19</v>
      </c>
      <c r="H498" s="1" t="s">
        <v>583</v>
      </c>
      <c r="I498" s="1" t="s">
        <v>757</v>
      </c>
      <c r="J498" s="1">
        <v>622</v>
      </c>
      <c r="K498" s="1">
        <v>282906</v>
      </c>
      <c r="L498" s="7" t="str">
        <f t="shared" si="7"/>
        <v>30682032630622282906</v>
      </c>
      <c r="M498" s="5">
        <v>3</v>
      </c>
      <c r="N498" s="5">
        <v>0</v>
      </c>
      <c r="O498" s="5">
        <v>0</v>
      </c>
      <c r="P498" s="5">
        <v>17914.55</v>
      </c>
      <c r="Q498" s="5">
        <v>0</v>
      </c>
      <c r="R498" s="1" t="s">
        <v>15</v>
      </c>
      <c r="S498" s="5">
        <v>0</v>
      </c>
      <c r="T498">
        <f>VLOOKUP(L498,'MIS COMPROBANTES'!E:Q,13,0)</f>
        <v>770325.59</v>
      </c>
    </row>
    <row r="499" spans="1:20" x14ac:dyDescent="0.3">
      <c r="A499" s="3">
        <v>45442</v>
      </c>
      <c r="B499" s="1" t="s">
        <v>236</v>
      </c>
      <c r="C499" s="1" t="s">
        <v>237</v>
      </c>
      <c r="D499" s="1" t="s">
        <v>18</v>
      </c>
      <c r="E499" s="1" t="s">
        <v>691</v>
      </c>
      <c r="F499" s="4">
        <v>12255</v>
      </c>
      <c r="G499" s="1" t="s">
        <v>19</v>
      </c>
      <c r="H499" s="1" t="s">
        <v>584</v>
      </c>
      <c r="I499" s="1" t="s">
        <v>757</v>
      </c>
      <c r="J499" s="1">
        <v>6004</v>
      </c>
      <c r="K499" s="1">
        <v>3639149</v>
      </c>
      <c r="L499" s="7" t="str">
        <f t="shared" si="7"/>
        <v>3050111624260043639149</v>
      </c>
      <c r="M499" s="5">
        <v>21</v>
      </c>
      <c r="N499" s="5">
        <v>0</v>
      </c>
      <c r="O499" s="5">
        <v>1597479.2</v>
      </c>
      <c r="P499" s="5">
        <v>335470.63</v>
      </c>
      <c r="Q499" s="5">
        <v>2012823.79</v>
      </c>
      <c r="R499" s="1" t="s">
        <v>15</v>
      </c>
      <c r="S499" s="5">
        <v>31949.58</v>
      </c>
      <c r="T499">
        <f>VLOOKUP(L499,'MIS COMPROBANTES'!E:Q,13,0)</f>
        <v>2012823.79</v>
      </c>
    </row>
    <row r="500" spans="1:20" x14ac:dyDescent="0.3">
      <c r="A500" s="3">
        <v>45442</v>
      </c>
      <c r="B500" s="1" t="s">
        <v>236</v>
      </c>
      <c r="C500" s="1" t="s">
        <v>237</v>
      </c>
      <c r="D500" s="1" t="s">
        <v>18</v>
      </c>
      <c r="E500" s="1" t="s">
        <v>691</v>
      </c>
      <c r="F500" s="4">
        <v>12255</v>
      </c>
      <c r="G500" s="1" t="s">
        <v>19</v>
      </c>
      <c r="H500" s="1" t="s">
        <v>584</v>
      </c>
      <c r="I500" s="1" t="s">
        <v>757</v>
      </c>
      <c r="J500" s="1">
        <v>6004</v>
      </c>
      <c r="K500" s="1">
        <v>3639149</v>
      </c>
      <c r="L500" s="7" t="str">
        <f t="shared" si="7"/>
        <v>3050111624260043639149</v>
      </c>
      <c r="M500" s="5">
        <v>3</v>
      </c>
      <c r="N500" s="5">
        <v>0</v>
      </c>
      <c r="O500" s="5">
        <v>0</v>
      </c>
      <c r="P500" s="5">
        <v>47924.38</v>
      </c>
      <c r="Q500" s="5">
        <v>0</v>
      </c>
      <c r="R500" s="1" t="s">
        <v>15</v>
      </c>
      <c r="S500" s="5">
        <v>0</v>
      </c>
      <c r="T500">
        <f>VLOOKUP(L500,'MIS COMPROBANTES'!E:Q,13,0)</f>
        <v>2012823.79</v>
      </c>
    </row>
    <row r="501" spans="1:20" x14ac:dyDescent="0.3">
      <c r="A501" s="3">
        <v>45442</v>
      </c>
      <c r="B501" s="1" t="s">
        <v>578</v>
      </c>
      <c r="C501" s="1" t="s">
        <v>579</v>
      </c>
      <c r="D501" s="1" t="s">
        <v>18</v>
      </c>
      <c r="E501" s="1" t="s">
        <v>746</v>
      </c>
      <c r="F501" s="4">
        <v>12326</v>
      </c>
      <c r="G501" s="1" t="s">
        <v>27</v>
      </c>
      <c r="H501" s="1" t="s">
        <v>585</v>
      </c>
      <c r="I501" s="1" t="s">
        <v>757</v>
      </c>
      <c r="J501" s="1">
        <v>110</v>
      </c>
      <c r="K501" s="1">
        <v>95351</v>
      </c>
      <c r="L501" s="7" t="str">
        <f t="shared" si="7"/>
        <v>3071130359211095351</v>
      </c>
      <c r="M501" s="5">
        <v>21</v>
      </c>
      <c r="N501" s="5">
        <v>0</v>
      </c>
      <c r="O501" s="5">
        <v>-1148229.1499999999</v>
      </c>
      <c r="P501" s="5">
        <v>-241128.13</v>
      </c>
      <c r="Q501" s="5">
        <v>-1423804.15</v>
      </c>
      <c r="R501" s="1" t="s">
        <v>15</v>
      </c>
      <c r="S501" s="5">
        <v>0</v>
      </c>
      <c r="T501">
        <f>VLOOKUP(L501,'MIS COMPROBANTES'!E:Q,13,0)</f>
        <v>1423804.15</v>
      </c>
    </row>
    <row r="502" spans="1:20" x14ac:dyDescent="0.3">
      <c r="A502" s="3">
        <v>45442</v>
      </c>
      <c r="B502" s="1" t="s">
        <v>578</v>
      </c>
      <c r="C502" s="1" t="s">
        <v>579</v>
      </c>
      <c r="D502" s="1" t="s">
        <v>18</v>
      </c>
      <c r="E502" s="1" t="s">
        <v>746</v>
      </c>
      <c r="F502" s="4">
        <v>12326</v>
      </c>
      <c r="G502" s="1" t="s">
        <v>27</v>
      </c>
      <c r="H502" s="1" t="s">
        <v>585</v>
      </c>
      <c r="I502" s="1" t="s">
        <v>757</v>
      </c>
      <c r="J502" s="1">
        <v>110</v>
      </c>
      <c r="K502" s="1">
        <v>95351</v>
      </c>
      <c r="L502" s="7" t="str">
        <f t="shared" si="7"/>
        <v>3071130359211095351</v>
      </c>
      <c r="M502" s="5">
        <v>3</v>
      </c>
      <c r="N502" s="5">
        <v>0</v>
      </c>
      <c r="O502" s="5">
        <v>0</v>
      </c>
      <c r="P502" s="5">
        <v>-34446.870000000003</v>
      </c>
      <c r="Q502" s="5">
        <v>0</v>
      </c>
      <c r="R502" s="1" t="s">
        <v>15</v>
      </c>
      <c r="S502" s="5">
        <v>0</v>
      </c>
      <c r="T502">
        <f>VLOOKUP(L502,'MIS COMPROBANTES'!E:Q,13,0)</f>
        <v>1423804.15</v>
      </c>
    </row>
    <row r="503" spans="1:20" x14ac:dyDescent="0.3">
      <c r="A503" s="3">
        <v>45442</v>
      </c>
      <c r="B503" s="1" t="s">
        <v>85</v>
      </c>
      <c r="C503" s="1" t="s">
        <v>86</v>
      </c>
      <c r="D503" s="1" t="s">
        <v>18</v>
      </c>
      <c r="E503" s="1" t="s">
        <v>653</v>
      </c>
      <c r="F503" s="4">
        <v>12120</v>
      </c>
      <c r="G503" s="1" t="s">
        <v>27</v>
      </c>
      <c r="H503" s="1" t="s">
        <v>586</v>
      </c>
      <c r="I503" s="1" t="s">
        <v>757</v>
      </c>
      <c r="J503" s="1">
        <v>218</v>
      </c>
      <c r="K503" s="1">
        <v>27980</v>
      </c>
      <c r="L503" s="7" t="str">
        <f t="shared" si="7"/>
        <v>3050129032321827980</v>
      </c>
      <c r="M503" s="5">
        <v>21</v>
      </c>
      <c r="N503" s="5">
        <v>0</v>
      </c>
      <c r="O503" s="5">
        <v>-90490.69</v>
      </c>
      <c r="P503" s="5">
        <v>-19003.05</v>
      </c>
      <c r="Q503" s="5">
        <v>-112208.46</v>
      </c>
      <c r="R503" s="1" t="s">
        <v>15</v>
      </c>
      <c r="S503" s="5">
        <v>0</v>
      </c>
      <c r="T503">
        <f>VLOOKUP(L503,'MIS COMPROBANTES'!E:Q,13,0)</f>
        <v>112208.46</v>
      </c>
    </row>
    <row r="504" spans="1:20" x14ac:dyDescent="0.3">
      <c r="A504" s="3">
        <v>45442</v>
      </c>
      <c r="B504" s="1" t="s">
        <v>85</v>
      </c>
      <c r="C504" s="1" t="s">
        <v>86</v>
      </c>
      <c r="D504" s="1" t="s">
        <v>18</v>
      </c>
      <c r="E504" s="1" t="s">
        <v>653</v>
      </c>
      <c r="F504" s="4">
        <v>12120</v>
      </c>
      <c r="G504" s="1" t="s">
        <v>27</v>
      </c>
      <c r="H504" s="1" t="s">
        <v>586</v>
      </c>
      <c r="I504" s="1" t="s">
        <v>757</v>
      </c>
      <c r="J504" s="1">
        <v>218</v>
      </c>
      <c r="K504" s="1">
        <v>27980</v>
      </c>
      <c r="L504" s="7" t="str">
        <f t="shared" si="7"/>
        <v>3050129032321827980</v>
      </c>
      <c r="M504" s="5">
        <v>3</v>
      </c>
      <c r="N504" s="5">
        <v>0</v>
      </c>
      <c r="O504" s="5">
        <v>0</v>
      </c>
      <c r="P504" s="5">
        <v>-2714.72</v>
      </c>
      <c r="Q504" s="5">
        <v>0</v>
      </c>
      <c r="R504" s="1" t="s">
        <v>15</v>
      </c>
      <c r="S504" s="5">
        <v>0</v>
      </c>
      <c r="T504">
        <f>VLOOKUP(L504,'MIS COMPROBANTES'!E:Q,13,0)</f>
        <v>112208.46</v>
      </c>
    </row>
    <row r="505" spans="1:20" x14ac:dyDescent="0.3">
      <c r="A505" s="3">
        <v>45443</v>
      </c>
      <c r="B505" s="1" t="s">
        <v>16</v>
      </c>
      <c r="C505" s="1" t="s">
        <v>17</v>
      </c>
      <c r="D505" s="1" t="s">
        <v>18</v>
      </c>
      <c r="E505" s="1" t="s">
        <v>633</v>
      </c>
      <c r="F505" s="4">
        <v>12156</v>
      </c>
      <c r="G505" s="1" t="s">
        <v>19</v>
      </c>
      <c r="H505" s="1" t="s">
        <v>587</v>
      </c>
      <c r="I505" s="1">
        <v>0</v>
      </c>
      <c r="J505" s="1">
        <v>2024</v>
      </c>
      <c r="K505" s="1">
        <v>31052024</v>
      </c>
      <c r="L505" s="7" t="str">
        <f t="shared" si="7"/>
        <v>30500001735202431052024</v>
      </c>
      <c r="M505" s="5">
        <v>21</v>
      </c>
      <c r="N505" s="5">
        <v>44.52</v>
      </c>
      <c r="O505" s="5">
        <v>28323.97</v>
      </c>
      <c r="P505" s="5">
        <v>5070.24</v>
      </c>
      <c r="Q505" s="5">
        <v>35205.18</v>
      </c>
      <c r="R505" s="1" t="s">
        <v>15</v>
      </c>
      <c r="S505" s="5">
        <v>556.1</v>
      </c>
      <c r="T505" t="e">
        <f>VLOOKUP(L505,'MIS COMPROBANTES'!E:Q,13,0)</f>
        <v>#N/A</v>
      </c>
    </row>
    <row r="506" spans="1:20" x14ac:dyDescent="0.3">
      <c r="A506" s="3">
        <v>45443</v>
      </c>
      <c r="B506" s="1" t="s">
        <v>16</v>
      </c>
      <c r="C506" s="1" t="s">
        <v>17</v>
      </c>
      <c r="D506" s="1" t="s">
        <v>18</v>
      </c>
      <c r="E506" s="1" t="s">
        <v>633</v>
      </c>
      <c r="F506" s="4">
        <v>12156</v>
      </c>
      <c r="G506" s="1" t="s">
        <v>19</v>
      </c>
      <c r="H506" s="1" t="s">
        <v>587</v>
      </c>
      <c r="I506" s="1">
        <v>0</v>
      </c>
      <c r="J506" s="1">
        <v>2024</v>
      </c>
      <c r="K506" s="1">
        <v>31052024</v>
      </c>
      <c r="L506" s="7" t="str">
        <f t="shared" si="7"/>
        <v>30500001735202431052024</v>
      </c>
      <c r="M506" s="5">
        <v>10.5</v>
      </c>
      <c r="N506" s="5">
        <v>0</v>
      </c>
      <c r="O506" s="5">
        <v>0</v>
      </c>
      <c r="P506" s="5">
        <v>438.9</v>
      </c>
      <c r="Q506" s="5">
        <v>0</v>
      </c>
      <c r="R506" s="1" t="s">
        <v>15</v>
      </c>
      <c r="S506" s="5">
        <v>0</v>
      </c>
      <c r="T506" t="e">
        <f>VLOOKUP(L506,'MIS COMPROBANTES'!E:Q,13,0)</f>
        <v>#N/A</v>
      </c>
    </row>
    <row r="507" spans="1:20" x14ac:dyDescent="0.3">
      <c r="A507" s="3">
        <v>45443</v>
      </c>
      <c r="B507" s="1" t="s">
        <v>16</v>
      </c>
      <c r="C507" s="1" t="s">
        <v>17</v>
      </c>
      <c r="D507" s="1" t="s">
        <v>18</v>
      </c>
      <c r="E507" s="1" t="s">
        <v>633</v>
      </c>
      <c r="F507" s="4">
        <v>12156</v>
      </c>
      <c r="G507" s="1" t="s">
        <v>19</v>
      </c>
      <c r="H507" s="1" t="s">
        <v>587</v>
      </c>
      <c r="I507" s="1">
        <v>0</v>
      </c>
      <c r="J507" s="1">
        <v>2024</v>
      </c>
      <c r="K507" s="1">
        <v>31052024</v>
      </c>
      <c r="L507" s="7" t="str">
        <f t="shared" si="7"/>
        <v>30500001735202431052024</v>
      </c>
      <c r="M507" s="5">
        <v>3</v>
      </c>
      <c r="N507" s="5">
        <v>0</v>
      </c>
      <c r="O507" s="5">
        <v>0</v>
      </c>
      <c r="P507" s="5">
        <v>708.75</v>
      </c>
      <c r="Q507" s="5">
        <v>0</v>
      </c>
      <c r="R507" s="1" t="s">
        <v>15</v>
      </c>
      <c r="S507" s="5">
        <v>0</v>
      </c>
      <c r="T507" t="e">
        <f>VLOOKUP(L507,'MIS COMPROBANTES'!E:Q,13,0)</f>
        <v>#N/A</v>
      </c>
    </row>
    <row r="508" spans="1:20" x14ac:dyDescent="0.3">
      <c r="A508" s="3">
        <v>45443</v>
      </c>
      <c r="B508" s="1" t="s">
        <v>16</v>
      </c>
      <c r="C508" s="1" t="s">
        <v>17</v>
      </c>
      <c r="D508" s="1" t="s">
        <v>18</v>
      </c>
      <c r="E508" s="1" t="s">
        <v>633</v>
      </c>
      <c r="F508" s="4">
        <v>12156</v>
      </c>
      <c r="G508" s="1" t="s">
        <v>19</v>
      </c>
      <c r="H508" s="1" t="s">
        <v>587</v>
      </c>
      <c r="I508" s="1">
        <v>0</v>
      </c>
      <c r="J508" s="1">
        <v>2024</v>
      </c>
      <c r="K508" s="1">
        <v>31052024</v>
      </c>
      <c r="L508" s="7" t="str">
        <f t="shared" si="7"/>
        <v>30500001735202431052024</v>
      </c>
      <c r="M508" s="5">
        <v>1.5</v>
      </c>
      <c r="N508" s="5">
        <v>0</v>
      </c>
      <c r="O508" s="5">
        <v>0</v>
      </c>
      <c r="P508" s="5">
        <v>62.7</v>
      </c>
      <c r="Q508" s="5">
        <v>0</v>
      </c>
      <c r="R508" s="1" t="s">
        <v>15</v>
      </c>
      <c r="S508" s="5">
        <v>0</v>
      </c>
      <c r="T508" t="e">
        <f>VLOOKUP(L508,'MIS COMPROBANTES'!E:Q,13,0)</f>
        <v>#N/A</v>
      </c>
    </row>
    <row r="509" spans="1:20" x14ac:dyDescent="0.3">
      <c r="A509" s="3">
        <v>45443</v>
      </c>
      <c r="B509" s="1" t="s">
        <v>44</v>
      </c>
      <c r="C509" s="1" t="s">
        <v>45</v>
      </c>
      <c r="D509" s="1" t="s">
        <v>18</v>
      </c>
      <c r="E509" s="1" t="s">
        <v>641</v>
      </c>
      <c r="F509" s="4">
        <v>12308</v>
      </c>
      <c r="G509" s="1" t="s">
        <v>19</v>
      </c>
      <c r="H509" s="1" t="s">
        <v>587</v>
      </c>
      <c r="I509" s="1">
        <v>0</v>
      </c>
      <c r="J509" s="1">
        <v>2024</v>
      </c>
      <c r="K509" s="1">
        <v>31052024</v>
      </c>
      <c r="L509" s="7" t="str">
        <f t="shared" si="7"/>
        <v>30500008454202431052024</v>
      </c>
      <c r="M509" s="5">
        <v>21</v>
      </c>
      <c r="N509" s="5">
        <v>452.41</v>
      </c>
      <c r="O509" s="5">
        <v>432328.23</v>
      </c>
      <c r="P509" s="5">
        <v>82308.94</v>
      </c>
      <c r="Q509" s="5">
        <v>539209.42000000004</v>
      </c>
      <c r="R509" s="1" t="s">
        <v>15</v>
      </c>
      <c r="S509" s="5">
        <v>8156.52</v>
      </c>
      <c r="T509" t="e">
        <f>VLOOKUP(L509,'MIS COMPROBANTES'!E:Q,13,0)</f>
        <v>#N/A</v>
      </c>
    </row>
    <row r="510" spans="1:20" x14ac:dyDescent="0.3">
      <c r="A510" s="3">
        <v>45443</v>
      </c>
      <c r="B510" s="1" t="s">
        <v>44</v>
      </c>
      <c r="C510" s="1" t="s">
        <v>45</v>
      </c>
      <c r="D510" s="1" t="s">
        <v>18</v>
      </c>
      <c r="E510" s="1" t="s">
        <v>641</v>
      </c>
      <c r="F510" s="4">
        <v>12308</v>
      </c>
      <c r="G510" s="1" t="s">
        <v>19</v>
      </c>
      <c r="H510" s="1" t="s">
        <v>587</v>
      </c>
      <c r="I510" s="1">
        <v>0</v>
      </c>
      <c r="J510" s="1">
        <v>2024</v>
      </c>
      <c r="K510" s="1">
        <v>31052024</v>
      </c>
      <c r="L510" s="7" t="str">
        <f t="shared" si="7"/>
        <v>30500008454202431052024</v>
      </c>
      <c r="M510" s="5">
        <v>10.5</v>
      </c>
      <c r="N510" s="5">
        <v>0</v>
      </c>
      <c r="O510" s="5">
        <v>0</v>
      </c>
      <c r="P510" s="5">
        <v>4240</v>
      </c>
      <c r="Q510" s="5">
        <v>0</v>
      </c>
      <c r="R510" s="1" t="s">
        <v>15</v>
      </c>
      <c r="S510" s="5">
        <v>0</v>
      </c>
      <c r="T510" t="e">
        <f>VLOOKUP(L510,'MIS COMPROBANTES'!E:Q,13,0)</f>
        <v>#N/A</v>
      </c>
    </row>
    <row r="511" spans="1:20" x14ac:dyDescent="0.3">
      <c r="A511" s="3">
        <v>45443</v>
      </c>
      <c r="B511" s="1" t="s">
        <v>44</v>
      </c>
      <c r="C511" s="1" t="s">
        <v>45</v>
      </c>
      <c r="D511" s="1" t="s">
        <v>18</v>
      </c>
      <c r="E511" s="1" t="s">
        <v>641</v>
      </c>
      <c r="F511" s="4">
        <v>12308</v>
      </c>
      <c r="G511" s="1" t="s">
        <v>19</v>
      </c>
      <c r="H511" s="1" t="s">
        <v>587</v>
      </c>
      <c r="I511" s="1">
        <v>0</v>
      </c>
      <c r="J511" s="1">
        <v>2024</v>
      </c>
      <c r="K511" s="1">
        <v>31052024</v>
      </c>
      <c r="L511" s="7" t="str">
        <f t="shared" si="7"/>
        <v>30500008454202431052024</v>
      </c>
      <c r="M511" s="5">
        <v>3</v>
      </c>
      <c r="N511" s="5">
        <v>0</v>
      </c>
      <c r="O511" s="5">
        <v>0</v>
      </c>
      <c r="P511" s="5">
        <v>11723.32</v>
      </c>
      <c r="Q511" s="5">
        <v>0</v>
      </c>
      <c r="R511" s="1" t="s">
        <v>15</v>
      </c>
      <c r="S511" s="5">
        <v>0</v>
      </c>
      <c r="T511" t="e">
        <f>VLOOKUP(L511,'MIS COMPROBANTES'!E:Q,13,0)</f>
        <v>#N/A</v>
      </c>
    </row>
    <row r="512" spans="1:20" x14ac:dyDescent="0.3">
      <c r="A512" s="3">
        <v>45443</v>
      </c>
      <c r="B512" s="1" t="s">
        <v>47</v>
      </c>
      <c r="C512" s="1" t="s">
        <v>48</v>
      </c>
      <c r="D512" s="1" t="s">
        <v>18</v>
      </c>
      <c r="E512" s="1" t="s">
        <v>642</v>
      </c>
      <c r="F512" s="4">
        <v>12317</v>
      </c>
      <c r="G512" s="1" t="s">
        <v>19</v>
      </c>
      <c r="H512" s="1" t="s">
        <v>587</v>
      </c>
      <c r="I512" s="1">
        <v>0</v>
      </c>
      <c r="J512" s="1">
        <v>2024</v>
      </c>
      <c r="K512" s="1">
        <v>31052024</v>
      </c>
      <c r="L512" s="7" t="str">
        <f t="shared" si="7"/>
        <v>30604731018202431052024</v>
      </c>
      <c r="M512" s="5">
        <v>21</v>
      </c>
      <c r="N512" s="5">
        <v>25777.66</v>
      </c>
      <c r="O512" s="5">
        <v>32184.23</v>
      </c>
      <c r="P512" s="5">
        <v>6549.69</v>
      </c>
      <c r="Q512" s="5">
        <v>65491.98</v>
      </c>
      <c r="R512" s="1" t="s">
        <v>15</v>
      </c>
      <c r="S512" s="5">
        <v>0</v>
      </c>
      <c r="T512" t="e">
        <f>VLOOKUP(L512,'MIS COMPROBANTES'!E:Q,13,0)</f>
        <v>#N/A</v>
      </c>
    </row>
    <row r="513" spans="1:20" x14ac:dyDescent="0.3">
      <c r="A513" s="3">
        <v>45443</v>
      </c>
      <c r="B513" s="1" t="s">
        <v>47</v>
      </c>
      <c r="C513" s="1" t="s">
        <v>48</v>
      </c>
      <c r="D513" s="1" t="s">
        <v>18</v>
      </c>
      <c r="E513" s="1" t="s">
        <v>642</v>
      </c>
      <c r="F513" s="4">
        <v>12317</v>
      </c>
      <c r="G513" s="1" t="s">
        <v>19</v>
      </c>
      <c r="H513" s="1" t="s">
        <v>587</v>
      </c>
      <c r="I513" s="1">
        <v>0</v>
      </c>
      <c r="J513" s="1">
        <v>2024</v>
      </c>
      <c r="K513" s="1">
        <v>31052024</v>
      </c>
      <c r="L513" s="7" t="str">
        <f t="shared" si="7"/>
        <v>30604731018202431052024</v>
      </c>
      <c r="M513" s="5">
        <v>10.5</v>
      </c>
      <c r="N513" s="5">
        <v>0</v>
      </c>
      <c r="O513" s="5">
        <v>0</v>
      </c>
      <c r="P513" s="5">
        <v>104.49</v>
      </c>
      <c r="Q513" s="5">
        <v>0</v>
      </c>
      <c r="R513" s="1" t="s">
        <v>15</v>
      </c>
      <c r="S513" s="5">
        <v>0</v>
      </c>
      <c r="T513" t="e">
        <f>VLOOKUP(L513,'MIS COMPROBANTES'!E:Q,13,0)</f>
        <v>#N/A</v>
      </c>
    </row>
    <row r="514" spans="1:20" x14ac:dyDescent="0.3">
      <c r="A514" s="3">
        <v>45443</v>
      </c>
      <c r="B514" s="1" t="s">
        <v>47</v>
      </c>
      <c r="C514" s="1" t="s">
        <v>48</v>
      </c>
      <c r="D514" s="1" t="s">
        <v>18</v>
      </c>
      <c r="E514" s="1" t="s">
        <v>642</v>
      </c>
      <c r="F514" s="4">
        <v>12317</v>
      </c>
      <c r="G514" s="1" t="s">
        <v>19</v>
      </c>
      <c r="H514" s="1" t="s">
        <v>587</v>
      </c>
      <c r="I514" s="1">
        <v>0</v>
      </c>
      <c r="J514" s="1">
        <v>2024</v>
      </c>
      <c r="K514" s="1">
        <v>31052024</v>
      </c>
      <c r="L514" s="7" t="str">
        <f t="shared" si="7"/>
        <v>30604731018202431052024</v>
      </c>
      <c r="M514" s="5">
        <v>3</v>
      </c>
      <c r="N514" s="5">
        <v>0</v>
      </c>
      <c r="O514" s="5">
        <v>0</v>
      </c>
      <c r="P514" s="5">
        <v>875.91</v>
      </c>
      <c r="Q514" s="5">
        <v>0</v>
      </c>
      <c r="R514" s="1" t="s">
        <v>15</v>
      </c>
      <c r="S514" s="5">
        <v>0</v>
      </c>
      <c r="T514" t="e">
        <f>VLOOKUP(L514,'MIS COMPROBANTES'!E:Q,13,0)</f>
        <v>#N/A</v>
      </c>
    </row>
    <row r="515" spans="1:20" x14ac:dyDescent="0.3">
      <c r="A515" s="3">
        <v>45443</v>
      </c>
      <c r="B515" s="1" t="s">
        <v>414</v>
      </c>
      <c r="C515" s="1" t="s">
        <v>415</v>
      </c>
      <c r="D515" s="1" t="s">
        <v>416</v>
      </c>
      <c r="E515" s="1" t="s">
        <v>722</v>
      </c>
      <c r="F515" s="4">
        <v>12319</v>
      </c>
      <c r="G515" s="1" t="s">
        <v>19</v>
      </c>
      <c r="H515" s="1" t="s">
        <v>587</v>
      </c>
      <c r="I515" s="1">
        <v>0</v>
      </c>
      <c r="J515" s="1">
        <v>2024</v>
      </c>
      <c r="K515" s="1">
        <v>31052024</v>
      </c>
      <c r="L515" s="7" t="str">
        <f t="shared" ref="L515:L565" si="8">CONCATENATE(E515,J515,K515)</f>
        <v>33999242109202431052024</v>
      </c>
      <c r="M515" s="5">
        <v>0</v>
      </c>
      <c r="N515" s="5">
        <v>32019.15</v>
      </c>
      <c r="O515" s="5">
        <v>0</v>
      </c>
      <c r="P515" s="5">
        <v>0</v>
      </c>
      <c r="Q515" s="5">
        <v>70298.05</v>
      </c>
      <c r="R515" s="1" t="s">
        <v>15</v>
      </c>
      <c r="S515" s="5">
        <v>38278.9</v>
      </c>
      <c r="T515" t="e">
        <f>VLOOKUP(L515,'MIS COMPROBANTES'!E:Q,13,0)</f>
        <v>#N/A</v>
      </c>
    </row>
    <row r="516" spans="1:20" x14ac:dyDescent="0.3">
      <c r="A516" s="3">
        <v>45443</v>
      </c>
      <c r="B516" s="1" t="s">
        <v>44</v>
      </c>
      <c r="C516" s="1" t="s">
        <v>45</v>
      </c>
      <c r="D516" s="1" t="s">
        <v>18</v>
      </c>
      <c r="E516" s="1" t="s">
        <v>641</v>
      </c>
      <c r="F516" s="4">
        <v>12141</v>
      </c>
      <c r="G516" s="1" t="s">
        <v>19</v>
      </c>
      <c r="H516" s="1" t="s">
        <v>588</v>
      </c>
      <c r="I516" s="1">
        <v>0</v>
      </c>
      <c r="J516" s="1">
        <v>2024</v>
      </c>
      <c r="K516" s="1">
        <v>90009901</v>
      </c>
      <c r="L516" s="7" t="str">
        <f t="shared" si="8"/>
        <v>30500008454202490009901</v>
      </c>
      <c r="M516" s="5">
        <v>10.5</v>
      </c>
      <c r="N516" s="5">
        <v>2626.91</v>
      </c>
      <c r="O516" s="5">
        <v>59831.95</v>
      </c>
      <c r="P516" s="5">
        <v>6282.35</v>
      </c>
      <c r="Q516" s="5">
        <v>70255.67</v>
      </c>
      <c r="R516" s="1" t="s">
        <v>15</v>
      </c>
      <c r="S516" s="5">
        <v>898.34</v>
      </c>
      <c r="T516" t="e">
        <f>VLOOKUP(L516,'MIS COMPROBANTES'!E:Q,13,0)</f>
        <v>#N/A</v>
      </c>
    </row>
    <row r="517" spans="1:20" x14ac:dyDescent="0.3">
      <c r="A517" s="3">
        <v>45443</v>
      </c>
      <c r="B517" s="1" t="s">
        <v>44</v>
      </c>
      <c r="C517" s="1" t="s">
        <v>45</v>
      </c>
      <c r="D517" s="1" t="s">
        <v>18</v>
      </c>
      <c r="E517" s="1" t="s">
        <v>641</v>
      </c>
      <c r="F517" s="4">
        <v>12141</v>
      </c>
      <c r="G517" s="1" t="s">
        <v>19</v>
      </c>
      <c r="H517" s="1" t="s">
        <v>588</v>
      </c>
      <c r="I517" s="1">
        <v>0</v>
      </c>
      <c r="J517" s="1">
        <v>2024</v>
      </c>
      <c r="K517" s="1">
        <v>90009901</v>
      </c>
      <c r="L517" s="7" t="str">
        <f t="shared" si="8"/>
        <v>30500008454202490009901</v>
      </c>
      <c r="M517" s="5">
        <v>1.5</v>
      </c>
      <c r="N517" s="5">
        <v>0</v>
      </c>
      <c r="O517" s="5">
        <v>0</v>
      </c>
      <c r="P517" s="5">
        <v>616.12</v>
      </c>
      <c r="Q517" s="5">
        <v>0</v>
      </c>
      <c r="R517" s="1" t="s">
        <v>15</v>
      </c>
      <c r="S517" s="5">
        <v>0</v>
      </c>
      <c r="T517" t="e">
        <f>VLOOKUP(L517,'MIS COMPROBANTES'!E:Q,13,0)</f>
        <v>#N/A</v>
      </c>
    </row>
    <row r="518" spans="1:20" x14ac:dyDescent="0.3">
      <c r="A518" s="3">
        <v>45443</v>
      </c>
      <c r="B518" s="1" t="s">
        <v>44</v>
      </c>
      <c r="C518" s="1" t="s">
        <v>45</v>
      </c>
      <c r="D518" s="1" t="s">
        <v>18</v>
      </c>
      <c r="E518" s="1" t="s">
        <v>641</v>
      </c>
      <c r="F518" s="4">
        <v>12142</v>
      </c>
      <c r="G518" s="1" t="s">
        <v>19</v>
      </c>
      <c r="H518" s="1" t="s">
        <v>589</v>
      </c>
      <c r="I518" s="1">
        <v>0</v>
      </c>
      <c r="J518" s="1">
        <v>2024</v>
      </c>
      <c r="K518" s="1">
        <v>90011801</v>
      </c>
      <c r="L518" s="7" t="str">
        <f t="shared" si="8"/>
        <v>30500008454202490011801</v>
      </c>
      <c r="M518" s="5">
        <v>10.5</v>
      </c>
      <c r="N518" s="5">
        <v>2360.7199999999998</v>
      </c>
      <c r="O518" s="5">
        <v>52132.54</v>
      </c>
      <c r="P518" s="5">
        <v>5473.92</v>
      </c>
      <c r="Q518" s="5">
        <v>61756.6</v>
      </c>
      <c r="R518" s="1" t="s">
        <v>15</v>
      </c>
      <c r="S518" s="5">
        <v>1022.53</v>
      </c>
      <c r="T518" t="e">
        <f>VLOOKUP(L518,'MIS COMPROBANTES'!E:Q,13,0)</f>
        <v>#N/A</v>
      </c>
    </row>
    <row r="519" spans="1:20" x14ac:dyDescent="0.3">
      <c r="A519" s="3">
        <v>45443</v>
      </c>
      <c r="B519" s="1" t="s">
        <v>44</v>
      </c>
      <c r="C519" s="1" t="s">
        <v>45</v>
      </c>
      <c r="D519" s="1" t="s">
        <v>18</v>
      </c>
      <c r="E519" s="1" t="s">
        <v>641</v>
      </c>
      <c r="F519" s="4">
        <v>12142</v>
      </c>
      <c r="G519" s="1" t="s">
        <v>19</v>
      </c>
      <c r="H519" s="1" t="s">
        <v>589</v>
      </c>
      <c r="I519" s="1">
        <v>0</v>
      </c>
      <c r="J519" s="1">
        <v>2024</v>
      </c>
      <c r="K519" s="1">
        <v>90011801</v>
      </c>
      <c r="L519" s="7" t="str">
        <f t="shared" si="8"/>
        <v>30500008454202490011801</v>
      </c>
      <c r="M519" s="5">
        <v>1.5</v>
      </c>
      <c r="N519" s="5">
        <v>0</v>
      </c>
      <c r="O519" s="5">
        <v>0</v>
      </c>
      <c r="P519" s="5">
        <v>766.89</v>
      </c>
      <c r="Q519" s="5">
        <v>0</v>
      </c>
      <c r="R519" s="1" t="s">
        <v>15</v>
      </c>
      <c r="S519" s="5">
        <v>0</v>
      </c>
      <c r="T519" t="e">
        <f>VLOOKUP(L519,'MIS COMPROBANTES'!E:Q,13,0)</f>
        <v>#N/A</v>
      </c>
    </row>
    <row r="520" spans="1:20" x14ac:dyDescent="0.3">
      <c r="A520" s="3">
        <v>45443</v>
      </c>
      <c r="B520" s="1" t="s">
        <v>186</v>
      </c>
      <c r="C520" s="1" t="s">
        <v>187</v>
      </c>
      <c r="D520" s="1" t="s">
        <v>18</v>
      </c>
      <c r="E520" s="1" t="s">
        <v>679</v>
      </c>
      <c r="F520" s="4">
        <v>12248</v>
      </c>
      <c r="G520" s="1" t="s">
        <v>19</v>
      </c>
      <c r="H520" s="1" t="s">
        <v>590</v>
      </c>
      <c r="I520" s="1" t="s">
        <v>757</v>
      </c>
      <c r="J520" s="1">
        <v>1</v>
      </c>
      <c r="K520" s="1">
        <v>519</v>
      </c>
      <c r="L520" s="7" t="str">
        <f t="shared" si="8"/>
        <v>337177102291519</v>
      </c>
      <c r="M520" s="5">
        <v>21</v>
      </c>
      <c r="N520" s="5">
        <v>0</v>
      </c>
      <c r="O520" s="5">
        <v>12090000</v>
      </c>
      <c r="P520" s="5">
        <v>2538900</v>
      </c>
      <c r="Q520" s="5">
        <v>14628900</v>
      </c>
      <c r="R520" s="1" t="s">
        <v>15</v>
      </c>
      <c r="S520" s="5">
        <v>0</v>
      </c>
      <c r="T520">
        <f>VLOOKUP(L520,'MIS COMPROBANTES'!E:Q,13,0)</f>
        <v>14628900</v>
      </c>
    </row>
    <row r="521" spans="1:20" x14ac:dyDescent="0.3">
      <c r="A521" s="3">
        <v>45443</v>
      </c>
      <c r="B521" s="1" t="s">
        <v>189</v>
      </c>
      <c r="C521" s="1" t="s">
        <v>190</v>
      </c>
      <c r="D521" s="1" t="s">
        <v>18</v>
      </c>
      <c r="E521" s="1" t="s">
        <v>680</v>
      </c>
      <c r="F521" s="4">
        <v>12241</v>
      </c>
      <c r="G521" s="1" t="s">
        <v>19</v>
      </c>
      <c r="H521" s="1" t="s">
        <v>591</v>
      </c>
      <c r="I521" s="1" t="s">
        <v>757</v>
      </c>
      <c r="J521" s="1">
        <v>1</v>
      </c>
      <c r="K521" s="1">
        <v>795</v>
      </c>
      <c r="L521" s="7" t="str">
        <f t="shared" si="8"/>
        <v>307150480661795</v>
      </c>
      <c r="M521" s="5">
        <v>21</v>
      </c>
      <c r="N521" s="5">
        <v>0</v>
      </c>
      <c r="O521" s="5">
        <v>1680000</v>
      </c>
      <c r="P521" s="5">
        <v>352800</v>
      </c>
      <c r="Q521" s="5">
        <v>2032800</v>
      </c>
      <c r="R521" s="1" t="s">
        <v>15</v>
      </c>
      <c r="S521" s="5">
        <v>0</v>
      </c>
      <c r="T521">
        <f>VLOOKUP(L521,'MIS COMPROBANTES'!E:Q,13,0)</f>
        <v>2032800</v>
      </c>
    </row>
    <row r="522" spans="1:20" x14ac:dyDescent="0.3">
      <c r="A522" s="3">
        <v>45443</v>
      </c>
      <c r="B522" s="1" t="s">
        <v>592</v>
      </c>
      <c r="C522" s="1" t="s">
        <v>593</v>
      </c>
      <c r="D522" s="1" t="s">
        <v>18</v>
      </c>
      <c r="E522" s="1" t="s">
        <v>747</v>
      </c>
      <c r="F522" s="4">
        <v>12205</v>
      </c>
      <c r="G522" s="1" t="s">
        <v>19</v>
      </c>
      <c r="H522" s="1" t="s">
        <v>843</v>
      </c>
      <c r="I522" s="1" t="s">
        <v>757</v>
      </c>
      <c r="J522" s="1">
        <v>1677</v>
      </c>
      <c r="K522" s="1">
        <v>44682</v>
      </c>
      <c r="L522" s="7" t="str">
        <f t="shared" si="8"/>
        <v>30589621499167744682</v>
      </c>
      <c r="M522" s="5">
        <v>21</v>
      </c>
      <c r="N522" s="5">
        <v>0</v>
      </c>
      <c r="O522" s="5">
        <v>50308.61</v>
      </c>
      <c r="P522" s="5">
        <v>10564.81</v>
      </c>
      <c r="Q522" s="5">
        <v>64898.11</v>
      </c>
      <c r="R522" s="1" t="s">
        <v>15</v>
      </c>
      <c r="S522" s="5">
        <v>2515.4299999999998</v>
      </c>
      <c r="T522">
        <f>VLOOKUP(L522,'MIS COMPROBANTES'!E:Q,13,0)</f>
        <v>64898.11</v>
      </c>
    </row>
    <row r="523" spans="1:20" x14ac:dyDescent="0.3">
      <c r="A523" s="3">
        <v>45443</v>
      </c>
      <c r="B523" s="1" t="s">
        <v>592</v>
      </c>
      <c r="C523" s="1" t="s">
        <v>593</v>
      </c>
      <c r="D523" s="1" t="s">
        <v>18</v>
      </c>
      <c r="E523" s="1" t="s">
        <v>747</v>
      </c>
      <c r="F523" s="4">
        <v>12205</v>
      </c>
      <c r="G523" s="1" t="s">
        <v>19</v>
      </c>
      <c r="H523" s="1" t="s">
        <v>843</v>
      </c>
      <c r="I523" s="1" t="s">
        <v>757</v>
      </c>
      <c r="J523" s="1">
        <v>1677</v>
      </c>
      <c r="K523" s="1">
        <v>44682</v>
      </c>
      <c r="L523" s="7" t="str">
        <f t="shared" si="8"/>
        <v>30589621499167744682</v>
      </c>
      <c r="M523" s="5">
        <v>3</v>
      </c>
      <c r="N523" s="5">
        <v>0</v>
      </c>
      <c r="O523" s="5">
        <v>0</v>
      </c>
      <c r="P523" s="5">
        <v>1509.26</v>
      </c>
      <c r="Q523" s="5">
        <v>0</v>
      </c>
      <c r="R523" s="1" t="s">
        <v>15</v>
      </c>
      <c r="S523" s="5">
        <v>0</v>
      </c>
      <c r="T523">
        <f>VLOOKUP(L523,'MIS COMPROBANTES'!E:Q,13,0)</f>
        <v>64898.11</v>
      </c>
    </row>
    <row r="524" spans="1:20" x14ac:dyDescent="0.3">
      <c r="A524" s="3">
        <v>45443</v>
      </c>
      <c r="B524" s="1" t="s">
        <v>594</v>
      </c>
      <c r="C524" s="1" t="s">
        <v>595</v>
      </c>
      <c r="D524" s="1" t="s">
        <v>18</v>
      </c>
      <c r="E524" s="1" t="s">
        <v>748</v>
      </c>
      <c r="F524" s="4">
        <v>12247</v>
      </c>
      <c r="G524" s="1" t="s">
        <v>19</v>
      </c>
      <c r="H524" s="1" t="s">
        <v>596</v>
      </c>
      <c r="I524" s="1" t="s">
        <v>757</v>
      </c>
      <c r="J524" s="1">
        <v>2</v>
      </c>
      <c r="K524" s="1">
        <v>39880</v>
      </c>
      <c r="L524" s="7" t="str">
        <f t="shared" si="8"/>
        <v>30582634021239880</v>
      </c>
      <c r="M524" s="5">
        <v>21</v>
      </c>
      <c r="N524" s="5">
        <v>0</v>
      </c>
      <c r="O524" s="5">
        <v>2054430</v>
      </c>
      <c r="P524" s="5">
        <v>431430.3</v>
      </c>
      <c r="Q524" s="5">
        <v>2650214.7000000002</v>
      </c>
      <c r="R524" s="1" t="s">
        <v>15</v>
      </c>
      <c r="S524" s="5">
        <v>102721.5</v>
      </c>
      <c r="T524">
        <f>VLOOKUP(L524,'MIS COMPROBANTES'!E:Q,13,0)</f>
        <v>2650214.7000000002</v>
      </c>
    </row>
    <row r="525" spans="1:20" x14ac:dyDescent="0.3">
      <c r="A525" s="3">
        <v>45443</v>
      </c>
      <c r="B525" s="1" t="s">
        <v>594</v>
      </c>
      <c r="C525" s="1" t="s">
        <v>595</v>
      </c>
      <c r="D525" s="1" t="s">
        <v>18</v>
      </c>
      <c r="E525" s="1" t="s">
        <v>748</v>
      </c>
      <c r="F525" s="4">
        <v>12247</v>
      </c>
      <c r="G525" s="1" t="s">
        <v>19</v>
      </c>
      <c r="H525" s="1" t="s">
        <v>596</v>
      </c>
      <c r="I525" s="1" t="s">
        <v>757</v>
      </c>
      <c r="J525" s="1">
        <v>2</v>
      </c>
      <c r="K525" s="1">
        <v>39880</v>
      </c>
      <c r="L525" s="7" t="str">
        <f t="shared" si="8"/>
        <v>30582634021239880</v>
      </c>
      <c r="M525" s="5">
        <v>3</v>
      </c>
      <c r="N525" s="5">
        <v>0</v>
      </c>
      <c r="O525" s="5">
        <v>0</v>
      </c>
      <c r="P525" s="5">
        <v>61632.9</v>
      </c>
      <c r="Q525" s="5">
        <v>0</v>
      </c>
      <c r="R525" s="1" t="s">
        <v>15</v>
      </c>
      <c r="S525" s="5">
        <v>0</v>
      </c>
      <c r="T525">
        <f>VLOOKUP(L525,'MIS COMPROBANTES'!E:Q,13,0)</f>
        <v>2650214.7000000002</v>
      </c>
    </row>
    <row r="526" spans="1:20" x14ac:dyDescent="0.3">
      <c r="A526" s="3">
        <v>45443</v>
      </c>
      <c r="B526" s="1" t="s">
        <v>32</v>
      </c>
      <c r="C526" s="1" t="s">
        <v>33</v>
      </c>
      <c r="D526" s="1" t="s">
        <v>18</v>
      </c>
      <c r="E526" s="1" t="s">
        <v>637</v>
      </c>
      <c r="F526" s="4">
        <v>12193</v>
      </c>
      <c r="G526" s="1" t="s">
        <v>19</v>
      </c>
      <c r="H526" s="1" t="s">
        <v>597</v>
      </c>
      <c r="I526" s="1" t="s">
        <v>757</v>
      </c>
      <c r="J526" s="1">
        <v>4</v>
      </c>
      <c r="K526" s="1">
        <v>4835</v>
      </c>
      <c r="L526" s="7" t="str">
        <f t="shared" si="8"/>
        <v>2005503657944835</v>
      </c>
      <c r="M526" s="5">
        <v>21</v>
      </c>
      <c r="N526" s="5">
        <v>0</v>
      </c>
      <c r="O526" s="5">
        <v>221609.8</v>
      </c>
      <c r="P526" s="5">
        <v>46538.06</v>
      </c>
      <c r="Q526" s="5">
        <v>268147.86</v>
      </c>
      <c r="R526" s="1" t="s">
        <v>15</v>
      </c>
      <c r="S526" s="5">
        <v>0</v>
      </c>
      <c r="T526">
        <f>VLOOKUP(L526,'MIS COMPROBANTES'!E:Q,13,0)</f>
        <v>268147.86</v>
      </c>
    </row>
    <row r="527" spans="1:20" x14ac:dyDescent="0.3">
      <c r="A527" s="3">
        <v>45443</v>
      </c>
      <c r="B527" s="1" t="s">
        <v>252</v>
      </c>
      <c r="C527" s="1" t="s">
        <v>253</v>
      </c>
      <c r="D527" s="1" t="s">
        <v>18</v>
      </c>
      <c r="E527" s="1" t="s">
        <v>695</v>
      </c>
      <c r="F527" s="4">
        <v>12251</v>
      </c>
      <c r="G527" s="1" t="s">
        <v>19</v>
      </c>
      <c r="H527" s="1" t="s">
        <v>598</v>
      </c>
      <c r="I527" s="1" t="s">
        <v>757</v>
      </c>
      <c r="J527" s="1">
        <v>4</v>
      </c>
      <c r="K527" s="1">
        <v>29281</v>
      </c>
      <c r="L527" s="7" t="str">
        <f t="shared" si="8"/>
        <v>30645830446429281</v>
      </c>
      <c r="M527" s="5">
        <v>21</v>
      </c>
      <c r="N527" s="5">
        <v>0</v>
      </c>
      <c r="O527" s="5">
        <v>8607834.4000000004</v>
      </c>
      <c r="P527" s="5">
        <v>1807645.22</v>
      </c>
      <c r="Q527" s="5">
        <v>10845871.34</v>
      </c>
      <c r="R527" s="1" t="s">
        <v>15</v>
      </c>
      <c r="S527" s="5">
        <v>430391.72</v>
      </c>
      <c r="T527">
        <f>VLOOKUP(L527,'MIS COMPROBANTES'!E:Q,13,0)</f>
        <v>10845871.34</v>
      </c>
    </row>
    <row r="528" spans="1:20" x14ac:dyDescent="0.3">
      <c r="A528" s="3">
        <v>45443</v>
      </c>
      <c r="B528" s="1" t="s">
        <v>599</v>
      </c>
      <c r="C528" s="1" t="s">
        <v>600</v>
      </c>
      <c r="D528" s="1" t="s">
        <v>18</v>
      </c>
      <c r="E528" s="1" t="s">
        <v>749</v>
      </c>
      <c r="F528" s="4">
        <v>12324</v>
      </c>
      <c r="G528" s="1" t="s">
        <v>19</v>
      </c>
      <c r="H528" s="1" t="s">
        <v>601</v>
      </c>
      <c r="I528" s="1" t="s">
        <v>757</v>
      </c>
      <c r="J528" s="1">
        <v>7</v>
      </c>
      <c r="K528" s="1">
        <v>40217</v>
      </c>
      <c r="L528" s="7" t="str">
        <f t="shared" si="8"/>
        <v>30624066827740217</v>
      </c>
      <c r="M528" s="5">
        <v>21</v>
      </c>
      <c r="N528" s="5">
        <v>0</v>
      </c>
      <c r="O528" s="5">
        <v>398070</v>
      </c>
      <c r="P528" s="5">
        <v>83594.7</v>
      </c>
      <c r="Q528" s="5">
        <v>481664.7</v>
      </c>
      <c r="R528" s="1" t="s">
        <v>15</v>
      </c>
      <c r="S528" s="5">
        <v>0</v>
      </c>
      <c r="T528">
        <f>VLOOKUP(L528,'MIS COMPROBANTES'!E:Q,13,0)</f>
        <v>481664.7</v>
      </c>
    </row>
    <row r="529" spans="1:20" x14ac:dyDescent="0.3">
      <c r="A529" s="3">
        <v>45443</v>
      </c>
      <c r="B529" s="1" t="s">
        <v>602</v>
      </c>
      <c r="C529" s="1" t="s">
        <v>603</v>
      </c>
      <c r="D529" s="1" t="s">
        <v>18</v>
      </c>
      <c r="E529" s="1" t="s">
        <v>750</v>
      </c>
      <c r="F529" s="4">
        <v>12217</v>
      </c>
      <c r="G529" s="1" t="s">
        <v>19</v>
      </c>
      <c r="H529" s="1" t="s">
        <v>604</v>
      </c>
      <c r="I529" s="1" t="s">
        <v>757</v>
      </c>
      <c r="J529" s="1">
        <v>9</v>
      </c>
      <c r="K529" s="1">
        <v>14022</v>
      </c>
      <c r="L529" s="7" t="str">
        <f t="shared" si="8"/>
        <v>30574300858914022</v>
      </c>
      <c r="M529" s="5">
        <v>21</v>
      </c>
      <c r="N529" s="5">
        <v>1907.97</v>
      </c>
      <c r="O529" s="5">
        <v>18671.07</v>
      </c>
      <c r="P529" s="5">
        <v>3920.92</v>
      </c>
      <c r="Q529" s="5">
        <v>24499.96</v>
      </c>
      <c r="R529" s="1" t="s">
        <v>15</v>
      </c>
      <c r="S529" s="5">
        <v>0</v>
      </c>
      <c r="T529" t="e">
        <f>VLOOKUP(L529,'MIS COMPROBANTES'!E:Q,13,0)</f>
        <v>#N/A</v>
      </c>
    </row>
    <row r="530" spans="1:20" x14ac:dyDescent="0.3">
      <c r="A530" s="3">
        <v>45443</v>
      </c>
      <c r="B530" s="1" t="s">
        <v>82</v>
      </c>
      <c r="C530" s="1" t="s">
        <v>83</v>
      </c>
      <c r="D530" s="1" t="s">
        <v>18</v>
      </c>
      <c r="E530" s="1" t="s">
        <v>652</v>
      </c>
      <c r="F530" s="4">
        <v>12258</v>
      </c>
      <c r="G530" s="1" t="s">
        <v>19</v>
      </c>
      <c r="H530" s="1" t="s">
        <v>605</v>
      </c>
      <c r="I530" s="1" t="s">
        <v>757</v>
      </c>
      <c r="J530" s="1">
        <v>46</v>
      </c>
      <c r="K530" s="1">
        <v>401953</v>
      </c>
      <c r="L530" s="7" t="str">
        <f t="shared" si="8"/>
        <v>3053214979346401953</v>
      </c>
      <c r="M530" s="5">
        <v>21</v>
      </c>
      <c r="N530" s="5">
        <v>0</v>
      </c>
      <c r="O530" s="5">
        <v>129956.8</v>
      </c>
      <c r="P530" s="5">
        <v>27290.93</v>
      </c>
      <c r="Q530" s="5">
        <v>163745.57</v>
      </c>
      <c r="R530" s="1" t="s">
        <v>15</v>
      </c>
      <c r="S530" s="5">
        <v>2599.14</v>
      </c>
      <c r="T530">
        <f>VLOOKUP(L530,'MIS COMPROBANTES'!E:Q,13,0)</f>
        <v>163745.57</v>
      </c>
    </row>
    <row r="531" spans="1:20" x14ac:dyDescent="0.3">
      <c r="A531" s="3">
        <v>45443</v>
      </c>
      <c r="B531" s="1" t="s">
        <v>82</v>
      </c>
      <c r="C531" s="1" t="s">
        <v>83</v>
      </c>
      <c r="D531" s="1" t="s">
        <v>18</v>
      </c>
      <c r="E531" s="1" t="s">
        <v>652</v>
      </c>
      <c r="F531" s="4">
        <v>12258</v>
      </c>
      <c r="G531" s="1" t="s">
        <v>19</v>
      </c>
      <c r="H531" s="1" t="s">
        <v>605</v>
      </c>
      <c r="I531" s="1" t="s">
        <v>757</v>
      </c>
      <c r="J531" s="1">
        <v>46</v>
      </c>
      <c r="K531" s="1">
        <v>401953</v>
      </c>
      <c r="L531" s="7" t="str">
        <f t="shared" si="8"/>
        <v>3053214979346401953</v>
      </c>
      <c r="M531" s="5">
        <v>3</v>
      </c>
      <c r="N531" s="5">
        <v>0</v>
      </c>
      <c r="O531" s="5">
        <v>0</v>
      </c>
      <c r="P531" s="5">
        <v>3898.7</v>
      </c>
      <c r="Q531" s="5">
        <v>0</v>
      </c>
      <c r="R531" s="1" t="s">
        <v>15</v>
      </c>
      <c r="S531" s="5">
        <v>0</v>
      </c>
      <c r="T531">
        <f>VLOOKUP(L531,'MIS COMPROBANTES'!E:Q,13,0)</f>
        <v>163745.57</v>
      </c>
    </row>
    <row r="532" spans="1:20" x14ac:dyDescent="0.3">
      <c r="A532" s="3">
        <v>45443</v>
      </c>
      <c r="B532" s="1" t="s">
        <v>606</v>
      </c>
      <c r="C532" s="1" t="s">
        <v>607</v>
      </c>
      <c r="D532" s="1" t="s">
        <v>18</v>
      </c>
      <c r="E532" s="1" t="s">
        <v>751</v>
      </c>
      <c r="F532" s="4">
        <v>12298</v>
      </c>
      <c r="G532" s="1" t="s">
        <v>19</v>
      </c>
      <c r="H532" s="1" t="s">
        <v>608</v>
      </c>
      <c r="I532" s="1" t="s">
        <v>757</v>
      </c>
      <c r="J532" s="1">
        <v>50</v>
      </c>
      <c r="K532" s="1">
        <v>3641532</v>
      </c>
      <c r="L532" s="7" t="str">
        <f t="shared" si="8"/>
        <v>30714112836503641532</v>
      </c>
      <c r="M532" s="5">
        <v>21</v>
      </c>
      <c r="N532" s="5">
        <v>0</v>
      </c>
      <c r="O532" s="5">
        <v>9351.24</v>
      </c>
      <c r="P532" s="5">
        <v>1963.76</v>
      </c>
      <c r="Q532" s="5">
        <v>12063.11</v>
      </c>
      <c r="R532" s="1" t="s">
        <v>15</v>
      </c>
      <c r="S532" s="5">
        <v>467.57</v>
      </c>
      <c r="T532">
        <f>VLOOKUP(L532,'MIS COMPROBANTES'!E:Q,13,0)</f>
        <v>12063.11</v>
      </c>
    </row>
    <row r="533" spans="1:20" x14ac:dyDescent="0.3">
      <c r="A533" s="3">
        <v>45443</v>
      </c>
      <c r="B533" s="1" t="s">
        <v>606</v>
      </c>
      <c r="C533" s="1" t="s">
        <v>607</v>
      </c>
      <c r="D533" s="1" t="s">
        <v>18</v>
      </c>
      <c r="E533" s="1" t="s">
        <v>751</v>
      </c>
      <c r="F533" s="4">
        <v>12298</v>
      </c>
      <c r="G533" s="1" t="s">
        <v>19</v>
      </c>
      <c r="H533" s="1" t="s">
        <v>608</v>
      </c>
      <c r="I533" s="1" t="s">
        <v>757</v>
      </c>
      <c r="J533" s="1">
        <v>50</v>
      </c>
      <c r="K533" s="1">
        <v>3641532</v>
      </c>
      <c r="L533" s="7" t="str">
        <f t="shared" si="8"/>
        <v>30714112836503641532</v>
      </c>
      <c r="M533" s="5">
        <v>3</v>
      </c>
      <c r="N533" s="5">
        <v>0</v>
      </c>
      <c r="O533" s="5">
        <v>0</v>
      </c>
      <c r="P533" s="5">
        <v>280.54000000000002</v>
      </c>
      <c r="Q533" s="5">
        <v>0</v>
      </c>
      <c r="R533" s="1" t="s">
        <v>15</v>
      </c>
      <c r="S533" s="5">
        <v>0</v>
      </c>
      <c r="T533">
        <f>VLOOKUP(L533,'MIS COMPROBANTES'!E:Q,13,0)</f>
        <v>12063.11</v>
      </c>
    </row>
    <row r="534" spans="1:20" x14ac:dyDescent="0.3">
      <c r="A534" s="3">
        <v>45443</v>
      </c>
      <c r="B534" s="1" t="s">
        <v>606</v>
      </c>
      <c r="C534" s="1" t="s">
        <v>607</v>
      </c>
      <c r="D534" s="1" t="s">
        <v>18</v>
      </c>
      <c r="E534" s="1" t="s">
        <v>751</v>
      </c>
      <c r="F534" s="4">
        <v>12297</v>
      </c>
      <c r="G534" s="1" t="s">
        <v>19</v>
      </c>
      <c r="H534" s="1" t="s">
        <v>609</v>
      </c>
      <c r="I534" s="1" t="s">
        <v>757</v>
      </c>
      <c r="J534" s="1">
        <v>50</v>
      </c>
      <c r="K534" s="1">
        <v>3642257</v>
      </c>
      <c r="L534" s="7" t="str">
        <f t="shared" si="8"/>
        <v>30714112836503642257</v>
      </c>
      <c r="M534" s="5">
        <v>21</v>
      </c>
      <c r="N534" s="5">
        <v>0</v>
      </c>
      <c r="O534" s="5">
        <v>11417.35</v>
      </c>
      <c r="P534" s="5">
        <v>2397.65</v>
      </c>
      <c r="Q534" s="5">
        <v>14728.39</v>
      </c>
      <c r="R534" s="1" t="s">
        <v>15</v>
      </c>
      <c r="S534" s="5">
        <v>570.87</v>
      </c>
      <c r="T534">
        <f>VLOOKUP(L534,'MIS COMPROBANTES'!E:Q,13,0)</f>
        <v>14728.39</v>
      </c>
    </row>
    <row r="535" spans="1:20" x14ac:dyDescent="0.3">
      <c r="A535" s="3">
        <v>45443</v>
      </c>
      <c r="B535" s="1" t="s">
        <v>606</v>
      </c>
      <c r="C535" s="1" t="s">
        <v>607</v>
      </c>
      <c r="D535" s="1" t="s">
        <v>18</v>
      </c>
      <c r="E535" s="1" t="s">
        <v>751</v>
      </c>
      <c r="F535" s="4">
        <v>12297</v>
      </c>
      <c r="G535" s="1" t="s">
        <v>19</v>
      </c>
      <c r="H535" s="1" t="s">
        <v>609</v>
      </c>
      <c r="I535" s="1" t="s">
        <v>757</v>
      </c>
      <c r="J535" s="1">
        <v>50</v>
      </c>
      <c r="K535" s="1">
        <v>3642257</v>
      </c>
      <c r="L535" s="7" t="str">
        <f t="shared" si="8"/>
        <v>30714112836503642257</v>
      </c>
      <c r="M535" s="5">
        <v>3</v>
      </c>
      <c r="N535" s="5">
        <v>0</v>
      </c>
      <c r="O535" s="5">
        <v>0</v>
      </c>
      <c r="P535" s="5">
        <v>342.52</v>
      </c>
      <c r="Q535" s="5">
        <v>0</v>
      </c>
      <c r="R535" s="1" t="s">
        <v>15</v>
      </c>
      <c r="S535" s="5">
        <v>0</v>
      </c>
      <c r="T535">
        <f>VLOOKUP(L535,'MIS COMPROBANTES'!E:Q,13,0)</f>
        <v>14728.39</v>
      </c>
    </row>
    <row r="536" spans="1:20" x14ac:dyDescent="0.3">
      <c r="A536" s="3">
        <v>45443</v>
      </c>
      <c r="B536" s="1" t="s">
        <v>135</v>
      </c>
      <c r="C536" s="1" t="s">
        <v>136</v>
      </c>
      <c r="D536" s="1" t="s">
        <v>18</v>
      </c>
      <c r="E536" s="1" t="s">
        <v>666</v>
      </c>
      <c r="F536" s="4">
        <v>12260</v>
      </c>
      <c r="G536" s="1" t="s">
        <v>19</v>
      </c>
      <c r="H536" s="1" t="s">
        <v>610</v>
      </c>
      <c r="I536" s="1" t="s">
        <v>757</v>
      </c>
      <c r="J536" s="1">
        <v>63</v>
      </c>
      <c r="K536" s="1">
        <v>66065</v>
      </c>
      <c r="L536" s="7" t="str">
        <f t="shared" si="8"/>
        <v>305038616386366065</v>
      </c>
      <c r="M536" s="5">
        <v>21</v>
      </c>
      <c r="N536" s="5">
        <v>0</v>
      </c>
      <c r="O536" s="5">
        <v>263109.68</v>
      </c>
      <c r="P536" s="5">
        <v>55253.03</v>
      </c>
      <c r="Q536" s="5">
        <v>331518.2</v>
      </c>
      <c r="R536" s="1" t="s">
        <v>15</v>
      </c>
      <c r="S536" s="5">
        <v>5262.2</v>
      </c>
      <c r="T536">
        <f>VLOOKUP(L536,'MIS COMPROBANTES'!E:Q,13,0)</f>
        <v>331518.2</v>
      </c>
    </row>
    <row r="537" spans="1:20" x14ac:dyDescent="0.3">
      <c r="A537" s="3">
        <v>45443</v>
      </c>
      <c r="B537" s="1" t="s">
        <v>135</v>
      </c>
      <c r="C537" s="1" t="s">
        <v>136</v>
      </c>
      <c r="D537" s="1" t="s">
        <v>18</v>
      </c>
      <c r="E537" s="1" t="s">
        <v>666</v>
      </c>
      <c r="F537" s="4">
        <v>12260</v>
      </c>
      <c r="G537" s="1" t="s">
        <v>19</v>
      </c>
      <c r="H537" s="1" t="s">
        <v>610</v>
      </c>
      <c r="I537" s="1" t="s">
        <v>757</v>
      </c>
      <c r="J537" s="1">
        <v>63</v>
      </c>
      <c r="K537" s="1">
        <v>66065</v>
      </c>
      <c r="L537" s="7" t="str">
        <f t="shared" si="8"/>
        <v>305038616386366065</v>
      </c>
      <c r="M537" s="5">
        <v>3</v>
      </c>
      <c r="N537" s="5">
        <v>0</v>
      </c>
      <c r="O537" s="5">
        <v>0</v>
      </c>
      <c r="P537" s="5">
        <v>7893.29</v>
      </c>
      <c r="Q537" s="5">
        <v>0</v>
      </c>
      <c r="R537" s="1" t="s">
        <v>15</v>
      </c>
      <c r="S537" s="5">
        <v>0</v>
      </c>
      <c r="T537">
        <f>VLOOKUP(L537,'MIS COMPROBANTES'!E:Q,13,0)</f>
        <v>331518.2</v>
      </c>
    </row>
    <row r="538" spans="1:20" x14ac:dyDescent="0.3">
      <c r="A538" s="3">
        <v>45443</v>
      </c>
      <c r="B538" s="1" t="s">
        <v>135</v>
      </c>
      <c r="C538" s="1" t="s">
        <v>136</v>
      </c>
      <c r="D538" s="1" t="s">
        <v>18</v>
      </c>
      <c r="E538" s="1" t="s">
        <v>666</v>
      </c>
      <c r="F538" s="4">
        <v>12261</v>
      </c>
      <c r="G538" s="1" t="s">
        <v>19</v>
      </c>
      <c r="H538" s="1" t="s">
        <v>611</v>
      </c>
      <c r="I538" s="1" t="s">
        <v>757</v>
      </c>
      <c r="J538" s="1">
        <v>63</v>
      </c>
      <c r="K538" s="1">
        <v>66067</v>
      </c>
      <c r="L538" s="7" t="str">
        <f t="shared" si="8"/>
        <v>305038616386366067</v>
      </c>
      <c r="M538" s="5">
        <v>21</v>
      </c>
      <c r="N538" s="5">
        <v>0</v>
      </c>
      <c r="O538" s="5">
        <v>184519.24</v>
      </c>
      <c r="P538" s="5">
        <v>38749.040000000001</v>
      </c>
      <c r="Q538" s="5">
        <v>232494.24</v>
      </c>
      <c r="R538" s="1" t="s">
        <v>15</v>
      </c>
      <c r="S538" s="5">
        <v>3690.38</v>
      </c>
      <c r="T538">
        <f>VLOOKUP(L538,'MIS COMPROBANTES'!E:Q,13,0)</f>
        <v>232494.24</v>
      </c>
    </row>
    <row r="539" spans="1:20" x14ac:dyDescent="0.3">
      <c r="A539" s="3">
        <v>45443</v>
      </c>
      <c r="B539" s="1" t="s">
        <v>135</v>
      </c>
      <c r="C539" s="1" t="s">
        <v>136</v>
      </c>
      <c r="D539" s="1" t="s">
        <v>18</v>
      </c>
      <c r="E539" s="1" t="s">
        <v>666</v>
      </c>
      <c r="F539" s="4">
        <v>12261</v>
      </c>
      <c r="G539" s="1" t="s">
        <v>19</v>
      </c>
      <c r="H539" s="1" t="s">
        <v>611</v>
      </c>
      <c r="I539" s="1" t="s">
        <v>757</v>
      </c>
      <c r="J539" s="1">
        <v>63</v>
      </c>
      <c r="K539" s="1">
        <v>66067</v>
      </c>
      <c r="L539" s="7" t="str">
        <f t="shared" si="8"/>
        <v>305038616386366067</v>
      </c>
      <c r="M539" s="5">
        <v>3</v>
      </c>
      <c r="N539" s="5">
        <v>0</v>
      </c>
      <c r="O539" s="5">
        <v>0</v>
      </c>
      <c r="P539" s="5">
        <v>5535.58</v>
      </c>
      <c r="Q539" s="5">
        <v>0</v>
      </c>
      <c r="R539" s="1" t="s">
        <v>15</v>
      </c>
      <c r="S539" s="5">
        <v>0</v>
      </c>
      <c r="T539">
        <f>VLOOKUP(L539,'MIS COMPROBANTES'!E:Q,13,0)</f>
        <v>232494.24</v>
      </c>
    </row>
    <row r="540" spans="1:20" x14ac:dyDescent="0.3">
      <c r="A540" s="3">
        <v>45443</v>
      </c>
      <c r="B540" s="1" t="s">
        <v>138</v>
      </c>
      <c r="C540" s="1" t="s">
        <v>139</v>
      </c>
      <c r="D540" s="1" t="s">
        <v>18</v>
      </c>
      <c r="E540" s="1" t="s">
        <v>667</v>
      </c>
      <c r="F540" s="4">
        <v>12198</v>
      </c>
      <c r="G540" s="1" t="s">
        <v>19</v>
      </c>
      <c r="H540" s="1" t="s">
        <v>612</v>
      </c>
      <c r="I540" s="1" t="s">
        <v>757</v>
      </c>
      <c r="J540" s="1">
        <v>90</v>
      </c>
      <c r="K540" s="1">
        <v>441348</v>
      </c>
      <c r="L540" s="7" t="str">
        <f t="shared" si="8"/>
        <v>3070705980690441348</v>
      </c>
      <c r="M540" s="5">
        <v>21</v>
      </c>
      <c r="N540" s="5">
        <v>0</v>
      </c>
      <c r="O540" s="5">
        <v>216138</v>
      </c>
      <c r="P540" s="5">
        <v>45388.98</v>
      </c>
      <c r="Q540" s="5">
        <v>278818.02</v>
      </c>
      <c r="R540" s="1" t="s">
        <v>141</v>
      </c>
      <c r="S540" s="5">
        <v>10806.9</v>
      </c>
      <c r="T540">
        <f>VLOOKUP(L540,'MIS COMPROBANTES'!E:Q,13,0)</f>
        <v>278818.02</v>
      </c>
    </row>
    <row r="541" spans="1:20" x14ac:dyDescent="0.3">
      <c r="A541" s="3">
        <v>45443</v>
      </c>
      <c r="B541" s="1" t="s">
        <v>138</v>
      </c>
      <c r="C541" s="1" t="s">
        <v>139</v>
      </c>
      <c r="D541" s="1" t="s">
        <v>18</v>
      </c>
      <c r="E541" s="1" t="s">
        <v>667</v>
      </c>
      <c r="F541" s="4">
        <v>12198</v>
      </c>
      <c r="G541" s="1" t="s">
        <v>19</v>
      </c>
      <c r="H541" s="1" t="s">
        <v>612</v>
      </c>
      <c r="I541" s="1" t="s">
        <v>757</v>
      </c>
      <c r="J541" s="1">
        <v>90</v>
      </c>
      <c r="K541" s="1">
        <v>441348</v>
      </c>
      <c r="L541" s="7" t="str">
        <f t="shared" si="8"/>
        <v>3070705980690441348</v>
      </c>
      <c r="M541" s="5">
        <v>3</v>
      </c>
      <c r="N541" s="5">
        <v>0</v>
      </c>
      <c r="O541" s="5">
        <v>0</v>
      </c>
      <c r="P541" s="5">
        <v>6484.14</v>
      </c>
      <c r="Q541" s="5">
        <v>0</v>
      </c>
      <c r="R541" s="1" t="s">
        <v>141</v>
      </c>
      <c r="S541" s="5">
        <v>0</v>
      </c>
      <c r="T541">
        <f>VLOOKUP(L541,'MIS COMPROBANTES'!E:Q,13,0)</f>
        <v>278818.02</v>
      </c>
    </row>
    <row r="542" spans="1:20" x14ac:dyDescent="0.3">
      <c r="A542" s="3">
        <v>45443</v>
      </c>
      <c r="B542" s="1" t="s">
        <v>386</v>
      </c>
      <c r="C542" s="1" t="s">
        <v>387</v>
      </c>
      <c r="D542" s="1" t="s">
        <v>18</v>
      </c>
      <c r="E542" s="1" t="s">
        <v>717</v>
      </c>
      <c r="F542" s="4">
        <v>12391</v>
      </c>
      <c r="G542" s="1" t="s">
        <v>19</v>
      </c>
      <c r="H542" s="1" t="s">
        <v>613</v>
      </c>
      <c r="I542" s="1" t="s">
        <v>757</v>
      </c>
      <c r="J542" s="1">
        <v>113</v>
      </c>
      <c r="K542" s="1">
        <v>3630675</v>
      </c>
      <c r="L542" s="7" t="str">
        <f t="shared" si="8"/>
        <v>305772071901133630675</v>
      </c>
      <c r="M542" s="5">
        <v>21</v>
      </c>
      <c r="N542" s="5">
        <v>0</v>
      </c>
      <c r="O542" s="5">
        <v>826.45</v>
      </c>
      <c r="P542" s="5">
        <v>173.55</v>
      </c>
      <c r="Q542" s="5">
        <v>1000</v>
      </c>
      <c r="R542" s="1" t="s">
        <v>15</v>
      </c>
      <c r="S542" s="5">
        <v>0</v>
      </c>
      <c r="T542">
        <f>VLOOKUP(L542,'MIS COMPROBANTES'!E:Q,13,0)</f>
        <v>1000</v>
      </c>
    </row>
    <row r="543" spans="1:20" x14ac:dyDescent="0.3">
      <c r="A543" s="3">
        <v>45443</v>
      </c>
      <c r="B543" s="1" t="s">
        <v>386</v>
      </c>
      <c r="C543" s="1" t="s">
        <v>387</v>
      </c>
      <c r="D543" s="1" t="s">
        <v>18</v>
      </c>
      <c r="E543" s="1" t="s">
        <v>717</v>
      </c>
      <c r="F543" s="4">
        <v>12392</v>
      </c>
      <c r="G543" s="1" t="s">
        <v>19</v>
      </c>
      <c r="H543" s="1" t="s">
        <v>614</v>
      </c>
      <c r="I543" s="1" t="s">
        <v>757</v>
      </c>
      <c r="J543" s="1">
        <v>113</v>
      </c>
      <c r="K543" s="1">
        <v>3631609</v>
      </c>
      <c r="L543" s="7" t="str">
        <f t="shared" si="8"/>
        <v>305772071901133631609</v>
      </c>
      <c r="M543" s="5">
        <v>21</v>
      </c>
      <c r="N543" s="5">
        <v>0</v>
      </c>
      <c r="O543" s="5">
        <v>30092.560000000001</v>
      </c>
      <c r="P543" s="5">
        <v>6319.44</v>
      </c>
      <c r="Q543" s="5">
        <v>37916.629999999997</v>
      </c>
      <c r="R543" s="1" t="s">
        <v>15</v>
      </c>
      <c r="S543" s="5">
        <v>601.85</v>
      </c>
      <c r="T543">
        <f>VLOOKUP(L543,'MIS COMPROBANTES'!E:Q,13,0)</f>
        <v>37916.629999999997</v>
      </c>
    </row>
    <row r="544" spans="1:20" x14ac:dyDescent="0.3">
      <c r="A544" s="3">
        <v>45443</v>
      </c>
      <c r="B544" s="1" t="s">
        <v>386</v>
      </c>
      <c r="C544" s="1" t="s">
        <v>387</v>
      </c>
      <c r="D544" s="1" t="s">
        <v>18</v>
      </c>
      <c r="E544" s="1" t="s">
        <v>717</v>
      </c>
      <c r="F544" s="4">
        <v>12392</v>
      </c>
      <c r="G544" s="1" t="s">
        <v>19</v>
      </c>
      <c r="H544" s="1" t="s">
        <v>614</v>
      </c>
      <c r="I544" s="1" t="s">
        <v>757</v>
      </c>
      <c r="J544" s="1">
        <v>113</v>
      </c>
      <c r="K544" s="1">
        <v>3631609</v>
      </c>
      <c r="L544" s="7" t="str">
        <f t="shared" si="8"/>
        <v>305772071901133631609</v>
      </c>
      <c r="M544" s="5">
        <v>3</v>
      </c>
      <c r="N544" s="5">
        <v>0</v>
      </c>
      <c r="O544" s="5">
        <v>0</v>
      </c>
      <c r="P544" s="5">
        <v>902.78</v>
      </c>
      <c r="Q544" s="5">
        <v>0</v>
      </c>
      <c r="R544" s="1" t="s">
        <v>15</v>
      </c>
      <c r="S544" s="5">
        <v>0</v>
      </c>
      <c r="T544">
        <f>VLOOKUP(L544,'MIS COMPROBANTES'!E:Q,13,0)</f>
        <v>37916.629999999997</v>
      </c>
    </row>
    <row r="545" spans="1:20" x14ac:dyDescent="0.3">
      <c r="A545" s="3">
        <v>45443</v>
      </c>
      <c r="B545" s="1" t="s">
        <v>386</v>
      </c>
      <c r="C545" s="1" t="s">
        <v>387</v>
      </c>
      <c r="D545" s="1" t="s">
        <v>18</v>
      </c>
      <c r="E545" s="1" t="s">
        <v>717</v>
      </c>
      <c r="F545" s="4">
        <v>12393</v>
      </c>
      <c r="G545" s="1" t="s">
        <v>19</v>
      </c>
      <c r="H545" s="1" t="s">
        <v>615</v>
      </c>
      <c r="I545" s="1" t="s">
        <v>757</v>
      </c>
      <c r="J545" s="1">
        <v>113</v>
      </c>
      <c r="K545" s="1">
        <v>3632455</v>
      </c>
      <c r="L545" s="7" t="str">
        <f t="shared" si="8"/>
        <v>305772071901133632455</v>
      </c>
      <c r="M545" s="5">
        <v>21</v>
      </c>
      <c r="N545" s="5">
        <v>0</v>
      </c>
      <c r="O545" s="5">
        <v>6446.28</v>
      </c>
      <c r="P545" s="5">
        <v>1353.72</v>
      </c>
      <c r="Q545" s="5">
        <v>8122.32</v>
      </c>
      <c r="R545" s="1" t="s">
        <v>15</v>
      </c>
      <c r="S545" s="5">
        <v>128.93</v>
      </c>
      <c r="T545">
        <f>VLOOKUP(L545,'MIS COMPROBANTES'!E:Q,13,0)</f>
        <v>8122.32</v>
      </c>
    </row>
    <row r="546" spans="1:20" x14ac:dyDescent="0.3">
      <c r="A546" s="3">
        <v>45443</v>
      </c>
      <c r="B546" s="1" t="s">
        <v>386</v>
      </c>
      <c r="C546" s="1" t="s">
        <v>387</v>
      </c>
      <c r="D546" s="1" t="s">
        <v>18</v>
      </c>
      <c r="E546" s="1" t="s">
        <v>717</v>
      </c>
      <c r="F546" s="4">
        <v>12393</v>
      </c>
      <c r="G546" s="1" t="s">
        <v>19</v>
      </c>
      <c r="H546" s="1" t="s">
        <v>615</v>
      </c>
      <c r="I546" s="1" t="s">
        <v>757</v>
      </c>
      <c r="J546" s="1">
        <v>113</v>
      </c>
      <c r="K546" s="1">
        <v>3632455</v>
      </c>
      <c r="L546" s="7" t="str">
        <f t="shared" si="8"/>
        <v>305772071901133632455</v>
      </c>
      <c r="M546" s="5">
        <v>3</v>
      </c>
      <c r="N546" s="5">
        <v>0</v>
      </c>
      <c r="O546" s="5">
        <v>0</v>
      </c>
      <c r="P546" s="5">
        <v>193.39</v>
      </c>
      <c r="Q546" s="5">
        <v>0</v>
      </c>
      <c r="R546" s="1" t="s">
        <v>15</v>
      </c>
      <c r="S546" s="5">
        <v>0</v>
      </c>
      <c r="T546">
        <f>VLOOKUP(L546,'MIS COMPROBANTES'!E:Q,13,0)</f>
        <v>8122.32</v>
      </c>
    </row>
    <row r="547" spans="1:20" x14ac:dyDescent="0.3">
      <c r="A547" s="3">
        <v>45443</v>
      </c>
      <c r="B547" s="1" t="s">
        <v>616</v>
      </c>
      <c r="C547" s="1" t="s">
        <v>617</v>
      </c>
      <c r="D547" s="1" t="s">
        <v>18</v>
      </c>
      <c r="E547" s="1" t="s">
        <v>752</v>
      </c>
      <c r="F547" s="4">
        <v>12252</v>
      </c>
      <c r="G547" s="1" t="s">
        <v>19</v>
      </c>
      <c r="H547" s="1" t="s">
        <v>618</v>
      </c>
      <c r="I547" s="1" t="s">
        <v>757</v>
      </c>
      <c r="J547" s="1">
        <v>394</v>
      </c>
      <c r="K547" s="1">
        <v>374020</v>
      </c>
      <c r="L547" s="7" t="str">
        <f t="shared" si="8"/>
        <v>30546764040394374020</v>
      </c>
      <c r="M547" s="5">
        <v>21</v>
      </c>
      <c r="N547" s="5">
        <v>0</v>
      </c>
      <c r="O547" s="5">
        <v>9813782.7300000004</v>
      </c>
      <c r="P547" s="5">
        <v>2060894.37</v>
      </c>
      <c r="Q547" s="5">
        <v>12659779.710000001</v>
      </c>
      <c r="R547" s="1" t="s">
        <v>15</v>
      </c>
      <c r="S547" s="5">
        <v>490689.13</v>
      </c>
      <c r="T547">
        <f>VLOOKUP(L547,'MIS COMPROBANTES'!E:Q,13,0)</f>
        <v>12659779.710000001</v>
      </c>
    </row>
    <row r="548" spans="1:20" x14ac:dyDescent="0.3">
      <c r="A548" s="3">
        <v>45443</v>
      </c>
      <c r="B548" s="1" t="s">
        <v>616</v>
      </c>
      <c r="C548" s="1" t="s">
        <v>617</v>
      </c>
      <c r="D548" s="1" t="s">
        <v>18</v>
      </c>
      <c r="E548" s="1" t="s">
        <v>752</v>
      </c>
      <c r="F548" s="4">
        <v>12252</v>
      </c>
      <c r="G548" s="1" t="s">
        <v>19</v>
      </c>
      <c r="H548" s="1" t="s">
        <v>618</v>
      </c>
      <c r="I548" s="1" t="s">
        <v>757</v>
      </c>
      <c r="J548" s="1">
        <v>394</v>
      </c>
      <c r="K548" s="1">
        <v>374020</v>
      </c>
      <c r="L548" s="7" t="str">
        <f t="shared" si="8"/>
        <v>30546764040394374020</v>
      </c>
      <c r="M548" s="5">
        <v>3</v>
      </c>
      <c r="N548" s="5">
        <v>0</v>
      </c>
      <c r="O548" s="5">
        <v>0</v>
      </c>
      <c r="P548" s="5">
        <v>294413.48</v>
      </c>
      <c r="Q548" s="5">
        <v>0</v>
      </c>
      <c r="R548" s="1" t="s">
        <v>15</v>
      </c>
      <c r="S548" s="5">
        <v>0</v>
      </c>
      <c r="T548">
        <f>VLOOKUP(L548,'MIS COMPROBANTES'!E:Q,13,0)</f>
        <v>12659779.710000001</v>
      </c>
    </row>
    <row r="549" spans="1:20" x14ac:dyDescent="0.3">
      <c r="A549" s="3">
        <v>45443</v>
      </c>
      <c r="B549" s="1" t="s">
        <v>471</v>
      </c>
      <c r="C549" s="1" t="s">
        <v>472</v>
      </c>
      <c r="D549" s="1" t="s">
        <v>18</v>
      </c>
      <c r="E549" s="1" t="s">
        <v>730</v>
      </c>
      <c r="F549" s="4">
        <v>12396</v>
      </c>
      <c r="G549" s="1" t="s">
        <v>19</v>
      </c>
      <c r="H549" s="1" t="s">
        <v>619</v>
      </c>
      <c r="I549" s="1" t="s">
        <v>757</v>
      </c>
      <c r="J549" s="1">
        <v>679</v>
      </c>
      <c r="K549" s="1">
        <v>173829</v>
      </c>
      <c r="L549" s="7" t="str">
        <f t="shared" si="8"/>
        <v>30500858628679173829</v>
      </c>
      <c r="M549" s="5">
        <v>21</v>
      </c>
      <c r="N549" s="5">
        <v>0</v>
      </c>
      <c r="O549" s="5">
        <v>7887487.7400000002</v>
      </c>
      <c r="P549" s="5">
        <v>1656372.43</v>
      </c>
      <c r="Q549" s="5">
        <v>10174859.199999999</v>
      </c>
      <c r="R549" s="1" t="s">
        <v>15</v>
      </c>
      <c r="S549" s="5">
        <v>394374.39</v>
      </c>
      <c r="T549">
        <f>VLOOKUP(L549,'MIS COMPROBANTES'!E:Q,13,0)</f>
        <v>10174859.189999999</v>
      </c>
    </row>
    <row r="550" spans="1:20" x14ac:dyDescent="0.3">
      <c r="A550" s="3">
        <v>45443</v>
      </c>
      <c r="B550" s="1" t="s">
        <v>471</v>
      </c>
      <c r="C550" s="1" t="s">
        <v>472</v>
      </c>
      <c r="D550" s="1" t="s">
        <v>18</v>
      </c>
      <c r="E550" s="1" t="s">
        <v>730</v>
      </c>
      <c r="F550" s="4">
        <v>12396</v>
      </c>
      <c r="G550" s="1" t="s">
        <v>19</v>
      </c>
      <c r="H550" s="1" t="s">
        <v>619</v>
      </c>
      <c r="I550" s="1" t="s">
        <v>757</v>
      </c>
      <c r="J550" s="1">
        <v>679</v>
      </c>
      <c r="K550" s="1">
        <v>173829</v>
      </c>
      <c r="L550" s="7" t="str">
        <f t="shared" si="8"/>
        <v>30500858628679173829</v>
      </c>
      <c r="M550" s="5">
        <v>3</v>
      </c>
      <c r="N550" s="5">
        <v>0</v>
      </c>
      <c r="O550" s="5">
        <v>0</v>
      </c>
      <c r="P550" s="5">
        <v>236624.64000000001</v>
      </c>
      <c r="Q550" s="5">
        <v>0</v>
      </c>
      <c r="R550" s="1" t="s">
        <v>15</v>
      </c>
      <c r="S550" s="5">
        <v>0</v>
      </c>
      <c r="T550">
        <f>VLOOKUP(L550,'MIS COMPROBANTES'!E:Q,13,0)</f>
        <v>10174859.189999999</v>
      </c>
    </row>
    <row r="551" spans="1:20" x14ac:dyDescent="0.3">
      <c r="A551" s="3">
        <v>45443</v>
      </c>
      <c r="B551" s="1" t="s">
        <v>471</v>
      </c>
      <c r="C551" s="1" t="s">
        <v>472</v>
      </c>
      <c r="D551" s="1" t="s">
        <v>18</v>
      </c>
      <c r="E551" s="1" t="s">
        <v>730</v>
      </c>
      <c r="F551" s="4">
        <v>12398</v>
      </c>
      <c r="G551" s="1" t="s">
        <v>19</v>
      </c>
      <c r="H551" s="1" t="s">
        <v>620</v>
      </c>
      <c r="I551" s="1" t="s">
        <v>757</v>
      </c>
      <c r="J551" s="1">
        <v>702</v>
      </c>
      <c r="K551" s="1">
        <v>430687</v>
      </c>
      <c r="L551" s="7" t="str">
        <f t="shared" si="8"/>
        <v>30500858628702430687</v>
      </c>
      <c r="M551" s="5">
        <v>21</v>
      </c>
      <c r="N551" s="5">
        <v>0</v>
      </c>
      <c r="O551" s="5">
        <v>7435926.9900000002</v>
      </c>
      <c r="P551" s="5">
        <v>1561544.65</v>
      </c>
      <c r="Q551" s="5">
        <v>9592345.8300000001</v>
      </c>
      <c r="R551" s="1" t="s">
        <v>15</v>
      </c>
      <c r="S551" s="5">
        <v>371796.37</v>
      </c>
      <c r="T551">
        <f>VLOOKUP(L551,'MIS COMPROBANTES'!E:Q,13,0)</f>
        <v>9592345.8699999992</v>
      </c>
    </row>
    <row r="552" spans="1:20" x14ac:dyDescent="0.3">
      <c r="A552" s="3">
        <v>45443</v>
      </c>
      <c r="B552" s="1" t="s">
        <v>471</v>
      </c>
      <c r="C552" s="1" t="s">
        <v>472</v>
      </c>
      <c r="D552" s="1" t="s">
        <v>18</v>
      </c>
      <c r="E552" s="1" t="s">
        <v>730</v>
      </c>
      <c r="F552" s="4">
        <v>12398</v>
      </c>
      <c r="G552" s="1" t="s">
        <v>19</v>
      </c>
      <c r="H552" s="1" t="s">
        <v>620</v>
      </c>
      <c r="I552" s="1" t="s">
        <v>757</v>
      </c>
      <c r="J552" s="1">
        <v>702</v>
      </c>
      <c r="K552" s="1">
        <v>430687</v>
      </c>
      <c r="L552" s="7" t="str">
        <f t="shared" si="8"/>
        <v>30500858628702430687</v>
      </c>
      <c r="M552" s="5">
        <v>3</v>
      </c>
      <c r="N552" s="5">
        <v>0</v>
      </c>
      <c r="O552" s="5">
        <v>0</v>
      </c>
      <c r="P552" s="5">
        <v>223077.82</v>
      </c>
      <c r="Q552" s="5">
        <v>0</v>
      </c>
      <c r="R552" s="1" t="s">
        <v>15</v>
      </c>
      <c r="S552" s="5">
        <v>0</v>
      </c>
      <c r="T552">
        <f>VLOOKUP(L552,'MIS COMPROBANTES'!E:Q,13,0)</f>
        <v>9592345.8699999992</v>
      </c>
    </row>
    <row r="553" spans="1:20" x14ac:dyDescent="0.3">
      <c r="A553" s="3">
        <v>45443</v>
      </c>
      <c r="B553" s="1" t="s">
        <v>64</v>
      </c>
      <c r="C553" s="1" t="s">
        <v>65</v>
      </c>
      <c r="D553" s="1" t="s">
        <v>18</v>
      </c>
      <c r="E553" s="1" t="s">
        <v>647</v>
      </c>
      <c r="F553" s="4">
        <v>12279</v>
      </c>
      <c r="G553" s="1" t="s">
        <v>19</v>
      </c>
      <c r="H553" s="1" t="s">
        <v>621</v>
      </c>
      <c r="I553" s="1" t="s">
        <v>757</v>
      </c>
      <c r="J553" s="1">
        <v>2002</v>
      </c>
      <c r="K553" s="1">
        <v>289424</v>
      </c>
      <c r="L553" s="7" t="str">
        <f t="shared" si="8"/>
        <v>305007682622002289424</v>
      </c>
      <c r="M553" s="5">
        <v>21</v>
      </c>
      <c r="N553" s="5">
        <v>0</v>
      </c>
      <c r="O553" s="5">
        <v>8290191.9000000004</v>
      </c>
      <c r="P553" s="5">
        <v>1740940.3</v>
      </c>
      <c r="Q553" s="5">
        <v>10694347.560000001</v>
      </c>
      <c r="R553" s="1" t="s">
        <v>15</v>
      </c>
      <c r="S553" s="5">
        <v>414509.6</v>
      </c>
      <c r="T553">
        <f>VLOOKUP(L553,'MIS COMPROBANTES'!E:Q,13,0)</f>
        <v>10694347.560000001</v>
      </c>
    </row>
    <row r="554" spans="1:20" x14ac:dyDescent="0.3">
      <c r="A554" s="3">
        <v>45443</v>
      </c>
      <c r="B554" s="1" t="s">
        <v>64</v>
      </c>
      <c r="C554" s="1" t="s">
        <v>65</v>
      </c>
      <c r="D554" s="1" t="s">
        <v>18</v>
      </c>
      <c r="E554" s="1" t="s">
        <v>647</v>
      </c>
      <c r="F554" s="4">
        <v>12279</v>
      </c>
      <c r="G554" s="1" t="s">
        <v>19</v>
      </c>
      <c r="H554" s="1" t="s">
        <v>621</v>
      </c>
      <c r="I554" s="1" t="s">
        <v>757</v>
      </c>
      <c r="J554" s="1">
        <v>2002</v>
      </c>
      <c r="K554" s="1">
        <v>289424</v>
      </c>
      <c r="L554" s="7" t="str">
        <f t="shared" si="8"/>
        <v>305007682622002289424</v>
      </c>
      <c r="M554" s="5">
        <v>3</v>
      </c>
      <c r="N554" s="5">
        <v>0</v>
      </c>
      <c r="O554" s="5">
        <v>0</v>
      </c>
      <c r="P554" s="5">
        <v>248705.76</v>
      </c>
      <c r="Q554" s="5">
        <v>0</v>
      </c>
      <c r="R554" s="1" t="s">
        <v>15</v>
      </c>
      <c r="S554" s="5">
        <v>0</v>
      </c>
      <c r="T554">
        <f>VLOOKUP(L554,'MIS COMPROBANTES'!E:Q,13,0)</f>
        <v>10694347.560000001</v>
      </c>
    </row>
    <row r="555" spans="1:20" x14ac:dyDescent="0.3">
      <c r="A555" s="3">
        <v>45443</v>
      </c>
      <c r="B555" s="1" t="s">
        <v>64</v>
      </c>
      <c r="C555" s="1" t="s">
        <v>65</v>
      </c>
      <c r="D555" s="1" t="s">
        <v>18</v>
      </c>
      <c r="E555" s="1" t="s">
        <v>647</v>
      </c>
      <c r="F555" s="4">
        <v>12281</v>
      </c>
      <c r="G555" s="1" t="s">
        <v>19</v>
      </c>
      <c r="H555" s="1" t="s">
        <v>622</v>
      </c>
      <c r="I555" s="1" t="s">
        <v>757</v>
      </c>
      <c r="J555" s="1">
        <v>2002</v>
      </c>
      <c r="K555" s="1">
        <v>289425</v>
      </c>
      <c r="L555" s="7" t="str">
        <f t="shared" si="8"/>
        <v>305007682622002289425</v>
      </c>
      <c r="M555" s="5">
        <v>21</v>
      </c>
      <c r="N555" s="5">
        <v>0</v>
      </c>
      <c r="O555" s="5">
        <v>3077162.85</v>
      </c>
      <c r="P555" s="5">
        <v>646204.19999999995</v>
      </c>
      <c r="Q555" s="5">
        <v>3969540.09</v>
      </c>
      <c r="R555" s="1" t="s">
        <v>15</v>
      </c>
      <c r="S555" s="5">
        <v>153858.15</v>
      </c>
      <c r="T555">
        <f>VLOOKUP(L555,'MIS COMPROBANTES'!E:Q,13,0)</f>
        <v>3969540.09</v>
      </c>
    </row>
    <row r="556" spans="1:20" x14ac:dyDescent="0.3">
      <c r="A556" s="3">
        <v>45443</v>
      </c>
      <c r="B556" s="1" t="s">
        <v>64</v>
      </c>
      <c r="C556" s="1" t="s">
        <v>65</v>
      </c>
      <c r="D556" s="1" t="s">
        <v>18</v>
      </c>
      <c r="E556" s="1" t="s">
        <v>647</v>
      </c>
      <c r="F556" s="4">
        <v>12281</v>
      </c>
      <c r="G556" s="1" t="s">
        <v>19</v>
      </c>
      <c r="H556" s="1" t="s">
        <v>622</v>
      </c>
      <c r="I556" s="1" t="s">
        <v>757</v>
      </c>
      <c r="J556" s="1">
        <v>2002</v>
      </c>
      <c r="K556" s="1">
        <v>289425</v>
      </c>
      <c r="L556" s="7" t="str">
        <f t="shared" si="8"/>
        <v>305007682622002289425</v>
      </c>
      <c r="M556" s="5">
        <v>3</v>
      </c>
      <c r="N556" s="5">
        <v>0</v>
      </c>
      <c r="O556" s="5">
        <v>0</v>
      </c>
      <c r="P556" s="5">
        <v>92314.89</v>
      </c>
      <c r="Q556" s="5">
        <v>0</v>
      </c>
      <c r="R556" s="1" t="s">
        <v>15</v>
      </c>
      <c r="S556" s="5">
        <v>0</v>
      </c>
      <c r="T556">
        <f>VLOOKUP(L556,'MIS COMPROBANTES'!E:Q,13,0)</f>
        <v>3969540.09</v>
      </c>
    </row>
    <row r="557" spans="1:20" x14ac:dyDescent="0.3">
      <c r="A557" s="3">
        <v>45443</v>
      </c>
      <c r="B557" s="1" t="s">
        <v>233</v>
      </c>
      <c r="C557" s="1" t="s">
        <v>234</v>
      </c>
      <c r="D557" s="1" t="s">
        <v>18</v>
      </c>
      <c r="E557" s="1" t="s">
        <v>690</v>
      </c>
      <c r="F557" s="4">
        <v>12185</v>
      </c>
      <c r="G557" s="1" t="s">
        <v>19</v>
      </c>
      <c r="H557" s="1" t="s">
        <v>623</v>
      </c>
      <c r="I557" s="1" t="s">
        <v>757</v>
      </c>
      <c r="J557" s="1">
        <v>6364</v>
      </c>
      <c r="K557" s="1">
        <v>8355442</v>
      </c>
      <c r="L557" s="7" t="str">
        <f t="shared" si="8"/>
        <v>3063945373863648355442</v>
      </c>
      <c r="M557" s="5">
        <v>21</v>
      </c>
      <c r="N557" s="5">
        <v>59.93</v>
      </c>
      <c r="O557" s="5">
        <v>256682.5</v>
      </c>
      <c r="P557" s="5">
        <v>53664.24</v>
      </c>
      <c r="Q557" s="5">
        <v>326347.84000000003</v>
      </c>
      <c r="R557" s="1" t="s">
        <v>15</v>
      </c>
      <c r="S557" s="5">
        <v>7933.3</v>
      </c>
      <c r="T557">
        <f>VLOOKUP(L557,'MIS COMPROBANTES'!E:Q,13,0)</f>
        <v>326347.84000000003</v>
      </c>
    </row>
    <row r="558" spans="1:20" x14ac:dyDescent="0.3">
      <c r="A558" s="3">
        <v>45443</v>
      </c>
      <c r="B558" s="1" t="s">
        <v>233</v>
      </c>
      <c r="C558" s="1" t="s">
        <v>234</v>
      </c>
      <c r="D558" s="1" t="s">
        <v>18</v>
      </c>
      <c r="E558" s="1" t="s">
        <v>690</v>
      </c>
      <c r="F558" s="4">
        <v>12185</v>
      </c>
      <c r="G558" s="1" t="s">
        <v>19</v>
      </c>
      <c r="H558" s="1" t="s">
        <v>623</v>
      </c>
      <c r="I558" s="1" t="s">
        <v>757</v>
      </c>
      <c r="J558" s="1">
        <v>6364</v>
      </c>
      <c r="K558" s="1">
        <v>8355442</v>
      </c>
      <c r="L558" s="7" t="str">
        <f t="shared" si="8"/>
        <v>3063945373863648355442</v>
      </c>
      <c r="M558" s="5">
        <v>27</v>
      </c>
      <c r="N558" s="5">
        <v>0</v>
      </c>
      <c r="O558" s="5">
        <v>0</v>
      </c>
      <c r="P558" s="5">
        <v>307.39</v>
      </c>
      <c r="Q558" s="5">
        <v>0</v>
      </c>
      <c r="R558" s="1" t="s">
        <v>15</v>
      </c>
      <c r="S558" s="5">
        <v>0</v>
      </c>
      <c r="T558">
        <f>VLOOKUP(L558,'MIS COMPROBANTES'!E:Q,13,0)</f>
        <v>326347.84000000003</v>
      </c>
    </row>
    <row r="559" spans="1:20" x14ac:dyDescent="0.3">
      <c r="A559" s="3">
        <v>45443</v>
      </c>
      <c r="B559" s="1" t="s">
        <v>233</v>
      </c>
      <c r="C559" s="1" t="s">
        <v>234</v>
      </c>
      <c r="D559" s="1" t="s">
        <v>18</v>
      </c>
      <c r="E559" s="1" t="s">
        <v>690</v>
      </c>
      <c r="F559" s="4">
        <v>12185</v>
      </c>
      <c r="G559" s="1" t="s">
        <v>19</v>
      </c>
      <c r="H559" s="1" t="s">
        <v>623</v>
      </c>
      <c r="I559" s="1" t="s">
        <v>757</v>
      </c>
      <c r="J559" s="1">
        <v>6364</v>
      </c>
      <c r="K559" s="1">
        <v>8355442</v>
      </c>
      <c r="L559" s="7" t="str">
        <f t="shared" si="8"/>
        <v>3063945373863648355442</v>
      </c>
      <c r="M559" s="5">
        <v>3</v>
      </c>
      <c r="N559" s="5">
        <v>0</v>
      </c>
      <c r="O559" s="5">
        <v>0</v>
      </c>
      <c r="P559" s="5">
        <v>7700.48</v>
      </c>
      <c r="Q559" s="5">
        <v>0</v>
      </c>
      <c r="R559" s="1" t="s">
        <v>15</v>
      </c>
      <c r="S559" s="5">
        <v>0</v>
      </c>
      <c r="T559">
        <f>VLOOKUP(L559,'MIS COMPROBANTES'!E:Q,13,0)</f>
        <v>326347.84000000003</v>
      </c>
    </row>
    <row r="560" spans="1:20" x14ac:dyDescent="0.3">
      <c r="A560" s="3">
        <v>45443</v>
      </c>
      <c r="B560" s="1" t="s">
        <v>174</v>
      </c>
      <c r="C560" s="1" t="s">
        <v>175</v>
      </c>
      <c r="D560" s="1" t="s">
        <v>18</v>
      </c>
      <c r="E560" s="1" t="s">
        <v>676</v>
      </c>
      <c r="F560" s="4">
        <v>12235</v>
      </c>
      <c r="G560" s="1" t="s">
        <v>19</v>
      </c>
      <c r="H560" s="1" t="s">
        <v>624</v>
      </c>
      <c r="I560" s="1" t="s">
        <v>757</v>
      </c>
      <c r="J560" s="1">
        <v>7150</v>
      </c>
      <c r="K560" s="1">
        <v>30588</v>
      </c>
      <c r="L560" s="7" t="str">
        <f t="shared" si="8"/>
        <v>30678774495715030588</v>
      </c>
      <c r="M560" s="5">
        <v>21</v>
      </c>
      <c r="N560" s="5">
        <v>5595.46</v>
      </c>
      <c r="O560" s="5">
        <v>67276.509999999995</v>
      </c>
      <c r="P560" s="5">
        <v>14128.07</v>
      </c>
      <c r="Q560" s="5">
        <v>88457.48</v>
      </c>
      <c r="R560" s="1" t="s">
        <v>15</v>
      </c>
      <c r="S560" s="5">
        <v>1457.44</v>
      </c>
      <c r="T560">
        <f>VLOOKUP(L560,'MIS COMPROBANTES'!E:Q,13,0)</f>
        <v>88457.48</v>
      </c>
    </row>
    <row r="561" spans="1:20" x14ac:dyDescent="0.3">
      <c r="A561" s="3">
        <v>45443</v>
      </c>
      <c r="B561" s="1" t="s">
        <v>625</v>
      </c>
      <c r="C561" s="1" t="s">
        <v>626</v>
      </c>
      <c r="D561" s="1" t="s">
        <v>102</v>
      </c>
      <c r="E561" s="1" t="s">
        <v>753</v>
      </c>
      <c r="F561" s="4">
        <v>12118</v>
      </c>
      <c r="G561" s="1" t="s">
        <v>19</v>
      </c>
      <c r="H561" s="1" t="s">
        <v>627</v>
      </c>
      <c r="I561" s="1" t="s">
        <v>758</v>
      </c>
      <c r="J561" s="1">
        <v>1</v>
      </c>
      <c r="K561" s="1">
        <v>10</v>
      </c>
      <c r="L561" s="7" t="str">
        <f t="shared" si="8"/>
        <v>27321077299110</v>
      </c>
      <c r="M561" s="5">
        <v>0</v>
      </c>
      <c r="N561" s="5">
        <v>580000</v>
      </c>
      <c r="O561" s="5">
        <v>0</v>
      </c>
      <c r="P561" s="5">
        <v>0</v>
      </c>
      <c r="Q561" s="5">
        <v>580000</v>
      </c>
      <c r="R561" s="1" t="s">
        <v>15</v>
      </c>
      <c r="S561" s="5">
        <v>0</v>
      </c>
      <c r="T561">
        <f>VLOOKUP(L561,'MIS COMPROBANTES'!E:Q,13,0)</f>
        <v>580000</v>
      </c>
    </row>
    <row r="562" spans="1:20" x14ac:dyDescent="0.3">
      <c r="A562" s="3">
        <v>45443</v>
      </c>
      <c r="B562" s="1" t="s">
        <v>628</v>
      </c>
      <c r="C562" s="1" t="s">
        <v>629</v>
      </c>
      <c r="D562" s="1" t="s">
        <v>102</v>
      </c>
      <c r="E562" s="1" t="s">
        <v>754</v>
      </c>
      <c r="F562" s="4">
        <v>12121</v>
      </c>
      <c r="G562" s="1" t="s">
        <v>19</v>
      </c>
      <c r="H562" s="1" t="s">
        <v>630</v>
      </c>
      <c r="I562" s="1" t="s">
        <v>758</v>
      </c>
      <c r="J562" s="1">
        <v>2</v>
      </c>
      <c r="K562" s="1">
        <v>459</v>
      </c>
      <c r="L562" s="7" t="str">
        <f t="shared" si="8"/>
        <v>272644372592459</v>
      </c>
      <c r="M562" s="5">
        <v>0</v>
      </c>
      <c r="N562" s="5">
        <v>250000</v>
      </c>
      <c r="O562" s="5">
        <v>0</v>
      </c>
      <c r="P562" s="5">
        <v>0</v>
      </c>
      <c r="Q562" s="5">
        <v>250000</v>
      </c>
      <c r="R562" s="1" t="s">
        <v>15</v>
      </c>
      <c r="S562" s="5">
        <v>0</v>
      </c>
      <c r="T562">
        <f>VLOOKUP(L562,'MIS COMPROBANTES'!E:Q,13,0)</f>
        <v>250000</v>
      </c>
    </row>
    <row r="563" spans="1:20" x14ac:dyDescent="0.3">
      <c r="A563" s="3">
        <v>45443</v>
      </c>
      <c r="B563" s="1" t="s">
        <v>125</v>
      </c>
      <c r="C563" s="1" t="s">
        <v>126</v>
      </c>
      <c r="D563" s="1" t="s">
        <v>18</v>
      </c>
      <c r="E563" s="1" t="s">
        <v>663</v>
      </c>
      <c r="F563" s="4">
        <v>12132</v>
      </c>
      <c r="G563" s="1" t="s">
        <v>27</v>
      </c>
      <c r="H563" s="1" t="s">
        <v>631</v>
      </c>
      <c r="I563" s="1" t="s">
        <v>757</v>
      </c>
      <c r="J563" s="1">
        <v>4</v>
      </c>
      <c r="K563" s="1">
        <v>313</v>
      </c>
      <c r="L563" s="7" t="str">
        <f t="shared" si="8"/>
        <v>202433486774313</v>
      </c>
      <c r="M563" s="5">
        <v>21</v>
      </c>
      <c r="N563" s="5">
        <v>0</v>
      </c>
      <c r="O563" s="5">
        <v>-120000</v>
      </c>
      <c r="P563" s="5">
        <v>-25200</v>
      </c>
      <c r="Q563" s="5">
        <v>-145200</v>
      </c>
      <c r="R563" s="1" t="s">
        <v>15</v>
      </c>
      <c r="S563" s="5">
        <v>0</v>
      </c>
      <c r="T563">
        <f>VLOOKUP(L563,'MIS COMPROBANTES'!E:Q,13,0)</f>
        <v>145200</v>
      </c>
    </row>
    <row r="564" spans="1:20" x14ac:dyDescent="0.3">
      <c r="A564" s="3">
        <v>45443</v>
      </c>
      <c r="B564" s="1" t="s">
        <v>616</v>
      </c>
      <c r="C564" s="1" t="s">
        <v>617</v>
      </c>
      <c r="D564" s="1" t="s">
        <v>18</v>
      </c>
      <c r="E564" s="1" t="s">
        <v>752</v>
      </c>
      <c r="F564" s="4">
        <v>12254</v>
      </c>
      <c r="G564" s="1" t="s">
        <v>27</v>
      </c>
      <c r="H564" s="1" t="s">
        <v>632</v>
      </c>
      <c r="I564" s="1" t="s">
        <v>757</v>
      </c>
      <c r="J564" s="1">
        <v>394</v>
      </c>
      <c r="K564" s="1">
        <v>217472</v>
      </c>
      <c r="L564" s="7" t="str">
        <f t="shared" si="8"/>
        <v>30546764040394217472</v>
      </c>
      <c r="M564" s="5">
        <v>21</v>
      </c>
      <c r="N564" s="5">
        <v>0</v>
      </c>
      <c r="O564" s="5">
        <v>-1321420.5</v>
      </c>
      <c r="P564" s="5">
        <v>-277498.31</v>
      </c>
      <c r="Q564" s="5">
        <v>-1638561.43</v>
      </c>
      <c r="R564" s="1" t="s">
        <v>15</v>
      </c>
      <c r="S564" s="5">
        <v>0</v>
      </c>
      <c r="T564">
        <f>VLOOKUP(L564,'MIS COMPROBANTES'!E:Q,13,0)</f>
        <v>1638561.43</v>
      </c>
    </row>
    <row r="565" spans="1:20" x14ac:dyDescent="0.3">
      <c r="A565" s="3">
        <v>45443</v>
      </c>
      <c r="B565" s="1" t="s">
        <v>616</v>
      </c>
      <c r="C565" s="1" t="s">
        <v>617</v>
      </c>
      <c r="D565" s="1" t="s">
        <v>18</v>
      </c>
      <c r="E565" s="1" t="s">
        <v>752</v>
      </c>
      <c r="F565" s="4">
        <v>12254</v>
      </c>
      <c r="G565" s="1" t="s">
        <v>27</v>
      </c>
      <c r="H565" s="1" t="s">
        <v>632</v>
      </c>
      <c r="I565" s="1" t="s">
        <v>757</v>
      </c>
      <c r="J565" s="1">
        <v>394</v>
      </c>
      <c r="K565" s="1">
        <v>217472</v>
      </c>
      <c r="L565" s="7" t="str">
        <f t="shared" si="8"/>
        <v>30546764040394217472</v>
      </c>
      <c r="M565" s="5">
        <v>3</v>
      </c>
      <c r="N565" s="5">
        <v>0</v>
      </c>
      <c r="O565" s="5">
        <v>0</v>
      </c>
      <c r="P565" s="5">
        <v>-39642.620000000003</v>
      </c>
      <c r="Q565" s="5">
        <v>0</v>
      </c>
      <c r="R565" s="1" t="s">
        <v>15</v>
      </c>
      <c r="S565" s="5">
        <v>0</v>
      </c>
      <c r="T565">
        <f>VLOOKUP(L565,'MIS COMPROBANTES'!E:Q,13,0)</f>
        <v>1638561.43</v>
      </c>
    </row>
  </sheetData>
  <autoFilter ref="A1:T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900"/>
  <sheetViews>
    <sheetView tabSelected="1" topLeftCell="F1" workbookViewId="0">
      <selection activeCell="I323" sqref="I323"/>
    </sheetView>
  </sheetViews>
  <sheetFormatPr baseColWidth="10" defaultRowHeight="14.4" x14ac:dyDescent="0.3"/>
  <cols>
    <col min="5" max="5" width="23.21875" style="8" bestFit="1" customWidth="1"/>
    <col min="8" max="8" width="15" bestFit="1" customWidth="1"/>
    <col min="9" max="9" width="67.33203125" customWidth="1"/>
    <col min="10" max="15" width="0" hidden="1" customWidth="1"/>
  </cols>
  <sheetData>
    <row r="1" spans="1:18" s="10" customFormat="1" x14ac:dyDescent="0.3">
      <c r="A1" s="9" t="s">
        <v>759</v>
      </c>
      <c r="B1" s="9" t="s">
        <v>760</v>
      </c>
      <c r="C1" s="9" t="s">
        <v>761</v>
      </c>
      <c r="D1" s="9" t="s">
        <v>762</v>
      </c>
      <c r="E1" s="13" t="s">
        <v>763</v>
      </c>
      <c r="F1" s="9" t="s">
        <v>764</v>
      </c>
      <c r="G1" s="9" t="s">
        <v>765</v>
      </c>
      <c r="H1" s="9" t="s">
        <v>766</v>
      </c>
      <c r="I1" s="9" t="s">
        <v>767</v>
      </c>
      <c r="J1" s="9" t="s">
        <v>768</v>
      </c>
      <c r="K1" s="9" t="s">
        <v>769</v>
      </c>
      <c r="L1" s="9" t="s">
        <v>770</v>
      </c>
      <c r="M1" s="9" t="s">
        <v>771</v>
      </c>
      <c r="N1" s="9" t="s">
        <v>772</v>
      </c>
      <c r="O1" s="9" t="s">
        <v>773</v>
      </c>
      <c r="P1" s="9" t="s">
        <v>774</v>
      </c>
      <c r="Q1" s="9" t="s">
        <v>775</v>
      </c>
    </row>
    <row r="2" spans="1:18" s="10" customFormat="1" hidden="1" x14ac:dyDescent="0.3">
      <c r="A2" s="10" t="s">
        <v>796</v>
      </c>
      <c r="B2" s="10" t="s">
        <v>777</v>
      </c>
      <c r="C2" s="11">
        <v>3</v>
      </c>
      <c r="D2" s="11">
        <v>1377</v>
      </c>
      <c r="E2" s="14" t="str">
        <f>CONCATENATE(H2,C2,D2)</f>
        <v>3071474643631377</v>
      </c>
      <c r="F2" s="11">
        <v>74196131264727</v>
      </c>
      <c r="G2" s="10" t="s">
        <v>778</v>
      </c>
      <c r="H2" s="11">
        <v>30714746436</v>
      </c>
      <c r="I2" s="10" t="s">
        <v>193</v>
      </c>
      <c r="J2" s="11">
        <v>1</v>
      </c>
      <c r="K2" s="10" t="s">
        <v>779</v>
      </c>
      <c r="L2" s="11">
        <v>712500</v>
      </c>
      <c r="M2" s="11">
        <v>0</v>
      </c>
      <c r="N2" s="11">
        <v>0</v>
      </c>
      <c r="O2" s="11">
        <v>0</v>
      </c>
      <c r="P2" s="11">
        <v>149625</v>
      </c>
      <c r="Q2" s="11">
        <v>862125</v>
      </c>
      <c r="R2" s="10">
        <f>VLOOKUP(E2,'IVA COMPRAS'!L:Q,6,0)</f>
        <v>862125</v>
      </c>
    </row>
    <row r="3" spans="1:18" s="10" customFormat="1" hidden="1" x14ac:dyDescent="0.3">
      <c r="A3" s="10" t="s">
        <v>796</v>
      </c>
      <c r="B3" s="10" t="s">
        <v>777</v>
      </c>
      <c r="C3" s="11">
        <v>3</v>
      </c>
      <c r="D3" s="11">
        <v>1378</v>
      </c>
      <c r="E3" s="14" t="str">
        <f>CONCATENATE(H3,C3,D3)</f>
        <v>3071474643631378</v>
      </c>
      <c r="F3" s="11">
        <v>74196131729709</v>
      </c>
      <c r="G3" s="10" t="s">
        <v>778</v>
      </c>
      <c r="H3" s="11">
        <v>30714746436</v>
      </c>
      <c r="I3" s="10" t="s">
        <v>193</v>
      </c>
      <c r="J3" s="11">
        <v>1</v>
      </c>
      <c r="K3" s="10" t="s">
        <v>779</v>
      </c>
      <c r="L3" s="12">
        <v>2164976.44</v>
      </c>
      <c r="M3" s="11">
        <v>0</v>
      </c>
      <c r="N3" s="11">
        <v>0</v>
      </c>
      <c r="O3" s="11">
        <v>0</v>
      </c>
      <c r="P3" s="12">
        <v>454645.05</v>
      </c>
      <c r="Q3" s="12">
        <v>2619621.4900000002</v>
      </c>
      <c r="R3" s="10">
        <f>VLOOKUP(E3,'IVA COMPRAS'!L:Q,6,0)</f>
        <v>2619621.4900000002</v>
      </c>
    </row>
    <row r="4" spans="1:18" s="10" customFormat="1" hidden="1" x14ac:dyDescent="0.3">
      <c r="A4" s="10" t="s">
        <v>819</v>
      </c>
      <c r="B4" s="10" t="s">
        <v>777</v>
      </c>
      <c r="C4" s="11">
        <v>3</v>
      </c>
      <c r="D4" s="11">
        <v>1393</v>
      </c>
      <c r="E4" s="14" t="str">
        <f>CONCATENATE(H4,C4,D4)</f>
        <v>3071474643631393</v>
      </c>
      <c r="F4" s="11">
        <v>74216645832652</v>
      </c>
      <c r="G4" s="10" t="s">
        <v>778</v>
      </c>
      <c r="H4" s="11">
        <v>30714746436</v>
      </c>
      <c r="I4" s="10" t="s">
        <v>193</v>
      </c>
      <c r="J4" s="11">
        <v>1</v>
      </c>
      <c r="K4" s="10" t="s">
        <v>779</v>
      </c>
      <c r="L4" s="12">
        <v>22340591.210000001</v>
      </c>
      <c r="M4" s="11">
        <v>0</v>
      </c>
      <c r="N4" s="11">
        <v>0</v>
      </c>
      <c r="O4" s="11">
        <v>0</v>
      </c>
      <c r="P4" s="12">
        <v>4691524.1500000004</v>
      </c>
      <c r="Q4" s="12">
        <v>27032115.359999999</v>
      </c>
      <c r="R4" s="10">
        <f>VLOOKUP(E4,'IVA COMPRAS'!L:Q,6,0)</f>
        <v>27032115.359999999</v>
      </c>
    </row>
    <row r="5" spans="1:18" s="10" customFormat="1" hidden="1" x14ac:dyDescent="0.3">
      <c r="A5" s="10" t="s">
        <v>796</v>
      </c>
      <c r="B5" s="10" t="s">
        <v>777</v>
      </c>
      <c r="C5" s="11">
        <v>1</v>
      </c>
      <c r="D5" s="11">
        <v>471</v>
      </c>
      <c r="E5" s="14" t="str">
        <f>CONCATENATE(H5,C5,D5)</f>
        <v>337177102291471</v>
      </c>
      <c r="F5" s="11">
        <v>74199160741030</v>
      </c>
      <c r="G5" s="10" t="s">
        <v>778</v>
      </c>
      <c r="H5" s="11">
        <v>33717710229</v>
      </c>
      <c r="I5" s="10" t="s">
        <v>187</v>
      </c>
      <c r="J5" s="11">
        <v>1</v>
      </c>
      <c r="K5" s="10" t="s">
        <v>779</v>
      </c>
      <c r="L5" s="11">
        <v>1420000</v>
      </c>
      <c r="M5" s="11">
        <v>0</v>
      </c>
      <c r="N5" s="11">
        <v>0</v>
      </c>
      <c r="O5" s="11">
        <v>0</v>
      </c>
      <c r="P5" s="11">
        <v>298200</v>
      </c>
      <c r="Q5" s="11">
        <v>1718200</v>
      </c>
      <c r="R5" s="10">
        <f>VLOOKUP(E5,'IVA COMPRAS'!L:Q,6,0)</f>
        <v>1718200</v>
      </c>
    </row>
    <row r="6" spans="1:18" s="10" customFormat="1" hidden="1" x14ac:dyDescent="0.3">
      <c r="A6" s="10" t="s">
        <v>816</v>
      </c>
      <c r="B6" s="10" t="s">
        <v>777</v>
      </c>
      <c r="C6" s="11">
        <v>1</v>
      </c>
      <c r="D6" s="11">
        <v>487</v>
      </c>
      <c r="E6" s="14" t="str">
        <f>CONCATENATE(H6,C6,D6)</f>
        <v>337177102291487</v>
      </c>
      <c r="F6" s="11">
        <v>74209932372777</v>
      </c>
      <c r="G6" s="10" t="s">
        <v>778</v>
      </c>
      <c r="H6" s="11">
        <v>33717710229</v>
      </c>
      <c r="I6" s="10" t="s">
        <v>187</v>
      </c>
      <c r="J6" s="11">
        <v>1</v>
      </c>
      <c r="K6" s="10" t="s">
        <v>779</v>
      </c>
      <c r="L6" s="11">
        <v>4500000</v>
      </c>
      <c r="M6" s="11">
        <v>0</v>
      </c>
      <c r="N6" s="11">
        <v>0</v>
      </c>
      <c r="O6" s="11">
        <v>0</v>
      </c>
      <c r="P6" s="11">
        <v>945000</v>
      </c>
      <c r="Q6" s="11">
        <v>5445000</v>
      </c>
      <c r="R6" s="10">
        <f>VLOOKUP(E6,'IVA COMPRAS'!L:Q,6,0)</f>
        <v>5445000</v>
      </c>
    </row>
    <row r="7" spans="1:18" s="10" customFormat="1" hidden="1" x14ac:dyDescent="0.3">
      <c r="A7" s="10" t="s">
        <v>840</v>
      </c>
      <c r="B7" s="10" t="s">
        <v>777</v>
      </c>
      <c r="C7" s="11">
        <v>1</v>
      </c>
      <c r="D7" s="11">
        <v>519</v>
      </c>
      <c r="E7" s="14" t="str">
        <f>CONCATENATE(H7,C7,D7)</f>
        <v>337177102291519</v>
      </c>
      <c r="F7" s="11">
        <v>74229910571889</v>
      </c>
      <c r="G7" s="10" t="s">
        <v>778</v>
      </c>
      <c r="H7" s="11">
        <v>33717710229</v>
      </c>
      <c r="I7" s="10" t="s">
        <v>187</v>
      </c>
      <c r="J7" s="11">
        <v>1</v>
      </c>
      <c r="K7" s="10" t="s">
        <v>779</v>
      </c>
      <c r="L7" s="11">
        <v>12090000</v>
      </c>
      <c r="M7" s="11">
        <v>0</v>
      </c>
      <c r="N7" s="11">
        <v>0</v>
      </c>
      <c r="O7" s="11">
        <v>0</v>
      </c>
      <c r="P7" s="11">
        <v>2538900</v>
      </c>
      <c r="Q7" s="11">
        <v>14628900</v>
      </c>
      <c r="R7" s="10">
        <f>VLOOKUP(E7,'IVA COMPRAS'!L:Q,6,0)</f>
        <v>14628900</v>
      </c>
    </row>
    <row r="8" spans="1:18" s="10" customFormat="1" hidden="1" x14ac:dyDescent="0.3">
      <c r="A8" s="10" t="s">
        <v>840</v>
      </c>
      <c r="B8" s="10" t="s">
        <v>784</v>
      </c>
      <c r="C8" s="11">
        <v>1</v>
      </c>
      <c r="D8" s="11">
        <v>10</v>
      </c>
      <c r="E8" s="14" t="str">
        <f>CONCATENATE(H8,C8,D8)</f>
        <v>27321077299110</v>
      </c>
      <c r="F8" s="11">
        <v>74229868791859</v>
      </c>
      <c r="G8" s="10" t="s">
        <v>778</v>
      </c>
      <c r="H8" s="11">
        <v>27321077299</v>
      </c>
      <c r="I8" s="10" t="s">
        <v>626</v>
      </c>
      <c r="J8" s="11">
        <v>1</v>
      </c>
      <c r="K8" s="10" t="s">
        <v>779</v>
      </c>
      <c r="O8" s="11">
        <v>0</v>
      </c>
      <c r="Q8" s="11">
        <v>580000</v>
      </c>
      <c r="R8" s="10">
        <f>VLOOKUP(E8,'IVA COMPRAS'!L:Q,6,0)</f>
        <v>580000</v>
      </c>
    </row>
    <row r="9" spans="1:18" s="10" customFormat="1" hidden="1" x14ac:dyDescent="0.3">
      <c r="A9" s="10" t="s">
        <v>776</v>
      </c>
      <c r="B9" s="10" t="s">
        <v>777</v>
      </c>
      <c r="C9" s="11">
        <v>1326</v>
      </c>
      <c r="D9" s="11">
        <v>838787</v>
      </c>
      <c r="E9" s="14" t="str">
        <f>CONCATENATE(H9,C9,D9)</f>
        <v>306632884971326838787</v>
      </c>
      <c r="F9" s="11">
        <v>74187738343095</v>
      </c>
      <c r="G9" s="10" t="s">
        <v>778</v>
      </c>
      <c r="H9" s="11">
        <v>30663288497</v>
      </c>
      <c r="I9" s="10" t="s">
        <v>62</v>
      </c>
      <c r="J9" s="11">
        <v>1</v>
      </c>
      <c r="K9" s="10" t="s">
        <v>779</v>
      </c>
      <c r="L9" s="11">
        <v>21260</v>
      </c>
      <c r="M9" s="11">
        <v>0</v>
      </c>
      <c r="N9" s="11">
        <v>0</v>
      </c>
      <c r="O9" s="11">
        <v>0</v>
      </c>
      <c r="P9" s="10">
        <v>4476.6000000000004</v>
      </c>
      <c r="Q9" s="10">
        <v>26799.599999999999</v>
      </c>
      <c r="R9" s="10">
        <f>VLOOKUP(E9,'IVA COMPRAS'!L:Q,6,0)</f>
        <v>26799.599999999999</v>
      </c>
    </row>
    <row r="10" spans="1:18" s="10" customFormat="1" hidden="1" x14ac:dyDescent="0.3">
      <c r="A10" s="10" t="s">
        <v>796</v>
      </c>
      <c r="B10" s="10" t="s">
        <v>784</v>
      </c>
      <c r="C10" s="11">
        <v>1</v>
      </c>
      <c r="D10" s="11">
        <v>30</v>
      </c>
      <c r="E10" s="14" t="str">
        <f>CONCATENATE(H10,C10,D10)</f>
        <v>20345349600130</v>
      </c>
      <c r="F10" s="11">
        <v>74190167783128</v>
      </c>
      <c r="G10" s="10" t="s">
        <v>778</v>
      </c>
      <c r="H10" s="11">
        <v>20345349600</v>
      </c>
      <c r="I10" s="10" t="s">
        <v>213</v>
      </c>
      <c r="J10" s="11">
        <v>1</v>
      </c>
      <c r="K10" s="10" t="s">
        <v>779</v>
      </c>
      <c r="O10" s="11">
        <v>0</v>
      </c>
      <c r="Q10" s="11">
        <v>750900</v>
      </c>
      <c r="R10" s="10">
        <f>VLOOKUP(E10,'IVA COMPRAS'!L:Q,6,0)</f>
        <v>750900</v>
      </c>
    </row>
    <row r="11" spans="1:18" s="10" customFormat="1" hidden="1" x14ac:dyDescent="0.3">
      <c r="A11" s="10" t="s">
        <v>796</v>
      </c>
      <c r="B11" s="10" t="s">
        <v>777</v>
      </c>
      <c r="C11" s="11">
        <v>14</v>
      </c>
      <c r="D11" s="11">
        <v>15688</v>
      </c>
      <c r="E11" s="14" t="str">
        <f>CONCATENATE(H11,C11,D11)</f>
        <v>335405454191415688</v>
      </c>
      <c r="F11" s="11">
        <v>74199170390552</v>
      </c>
      <c r="G11" s="10" t="s">
        <v>778</v>
      </c>
      <c r="H11" s="11">
        <v>33540545419</v>
      </c>
      <c r="I11" s="10" t="s">
        <v>797</v>
      </c>
      <c r="J11" s="11">
        <v>1</v>
      </c>
      <c r="K11" s="10" t="s">
        <v>779</v>
      </c>
      <c r="L11" s="11">
        <v>13500</v>
      </c>
      <c r="M11" s="11">
        <v>0</v>
      </c>
      <c r="N11" s="11">
        <v>0</v>
      </c>
      <c r="O11" s="11">
        <v>0</v>
      </c>
      <c r="P11" s="11">
        <v>2835</v>
      </c>
      <c r="Q11" s="15">
        <v>16740</v>
      </c>
      <c r="R11" s="10" t="e">
        <f>VLOOKUP(E11,'IVA COMPRAS'!L:Q,6,0)</f>
        <v>#N/A</v>
      </c>
    </row>
    <row r="12" spans="1:18" s="10" customFormat="1" hidden="1" x14ac:dyDescent="0.3">
      <c r="A12" s="10" t="s">
        <v>796</v>
      </c>
      <c r="B12" s="10" t="s">
        <v>783</v>
      </c>
      <c r="C12" s="11">
        <v>14</v>
      </c>
      <c r="D12" s="11">
        <v>1475</v>
      </c>
      <c r="E12" s="14" t="str">
        <f>CONCATENATE(H12,C12,D12)</f>
        <v>33540545419141475</v>
      </c>
      <c r="F12" s="11">
        <v>74199170624991</v>
      </c>
      <c r="G12" s="10" t="s">
        <v>778</v>
      </c>
      <c r="H12" s="11">
        <v>33540545419</v>
      </c>
      <c r="I12" s="10" t="s">
        <v>797</v>
      </c>
      <c r="J12" s="11">
        <v>1</v>
      </c>
      <c r="K12" s="10" t="s">
        <v>779</v>
      </c>
      <c r="L12" s="11">
        <v>13500</v>
      </c>
      <c r="M12" s="11">
        <v>0</v>
      </c>
      <c r="N12" s="11">
        <v>0</v>
      </c>
      <c r="O12" s="11">
        <v>0</v>
      </c>
      <c r="P12" s="11">
        <v>2835</v>
      </c>
      <c r="Q12" s="15">
        <v>-16740</v>
      </c>
      <c r="R12" s="10" t="e">
        <f>VLOOKUP(E12,'IVA COMPRAS'!L:Q,6,0)</f>
        <v>#N/A</v>
      </c>
    </row>
    <row r="13" spans="1:18" s="10" customFormat="1" hidden="1" x14ac:dyDescent="0.3">
      <c r="A13" s="10" t="s">
        <v>840</v>
      </c>
      <c r="B13" s="10" t="s">
        <v>777</v>
      </c>
      <c r="C13" s="11">
        <v>50</v>
      </c>
      <c r="D13" s="11">
        <v>3642257</v>
      </c>
      <c r="E13" s="14" t="str">
        <f>CONCATENATE(H13,C13,D13)</f>
        <v>30714112836503642257</v>
      </c>
      <c r="F13" s="11">
        <v>74226025316646</v>
      </c>
      <c r="G13" s="10" t="s">
        <v>778</v>
      </c>
      <c r="H13" s="11">
        <v>30714112836</v>
      </c>
      <c r="I13" s="10" t="s">
        <v>607</v>
      </c>
      <c r="J13" s="11">
        <v>1</v>
      </c>
      <c r="K13" s="10" t="s">
        <v>779</v>
      </c>
      <c r="L13" s="12">
        <v>11417.35</v>
      </c>
      <c r="M13" s="11">
        <v>0</v>
      </c>
      <c r="N13" s="11">
        <v>0</v>
      </c>
      <c r="O13" s="11">
        <v>0</v>
      </c>
      <c r="P13" s="12">
        <v>2397.65</v>
      </c>
      <c r="Q13" s="12">
        <v>14728.39</v>
      </c>
      <c r="R13" s="10">
        <f>VLOOKUP(E13,'IVA COMPRAS'!L:Q,6,0)</f>
        <v>14728.39</v>
      </c>
    </row>
    <row r="14" spans="1:18" s="10" customFormat="1" hidden="1" x14ac:dyDescent="0.3">
      <c r="A14" s="10" t="s">
        <v>840</v>
      </c>
      <c r="B14" s="10" t="s">
        <v>777</v>
      </c>
      <c r="C14" s="11">
        <v>50</v>
      </c>
      <c r="D14" s="11">
        <v>3641532</v>
      </c>
      <c r="E14" s="14" t="str">
        <f>CONCATENATE(H14,C14,D14)</f>
        <v>30714112836503641532</v>
      </c>
      <c r="F14" s="11">
        <v>74226025268654</v>
      </c>
      <c r="G14" s="10" t="s">
        <v>778</v>
      </c>
      <c r="H14" s="11">
        <v>30714112836</v>
      </c>
      <c r="I14" s="10" t="s">
        <v>607</v>
      </c>
      <c r="J14" s="11">
        <v>1</v>
      </c>
      <c r="K14" s="10" t="s">
        <v>779</v>
      </c>
      <c r="L14" s="12">
        <v>9351.24</v>
      </c>
      <c r="M14" s="11">
        <v>0</v>
      </c>
      <c r="N14" s="11">
        <v>0</v>
      </c>
      <c r="O14" s="11">
        <v>0</v>
      </c>
      <c r="P14" s="12">
        <v>1963.76</v>
      </c>
      <c r="Q14" s="12">
        <v>12063.11</v>
      </c>
      <c r="R14" s="10">
        <f>VLOOKUP(E14,'IVA COMPRAS'!L:Q,6,0)</f>
        <v>12063.11</v>
      </c>
    </row>
    <row r="15" spans="1:18" s="10" customFormat="1" hidden="1" x14ac:dyDescent="0.3">
      <c r="A15" s="10" t="s">
        <v>785</v>
      </c>
      <c r="B15" s="10" t="s">
        <v>777</v>
      </c>
      <c r="C15" s="11">
        <v>711</v>
      </c>
      <c r="D15" s="11">
        <v>5666700</v>
      </c>
      <c r="E15" s="14" t="str">
        <f>CONCATENATE(H15,C15,D15)</f>
        <v>306772371197115666700</v>
      </c>
      <c r="F15" s="11">
        <v>34179735526070</v>
      </c>
      <c r="G15" s="10" t="s">
        <v>778</v>
      </c>
      <c r="H15" s="11">
        <v>30677237119</v>
      </c>
      <c r="I15" s="10" t="s">
        <v>787</v>
      </c>
      <c r="J15" s="11">
        <v>1</v>
      </c>
      <c r="K15" s="10" t="s">
        <v>779</v>
      </c>
      <c r="L15" s="12">
        <v>34008.050000000003</v>
      </c>
      <c r="M15" s="11">
        <v>0</v>
      </c>
      <c r="N15" s="12">
        <v>1020.24</v>
      </c>
      <c r="O15" s="11">
        <v>0</v>
      </c>
      <c r="P15" s="12">
        <v>7141.95</v>
      </c>
      <c r="Q15" s="12">
        <v>43870.64</v>
      </c>
      <c r="R15" s="10">
        <f>VLOOKUP(E15,'IVA COMPRAS'!L:Q,6,0)</f>
        <v>43870.64</v>
      </c>
    </row>
    <row r="16" spans="1:18" s="10" customFormat="1" hidden="1" x14ac:dyDescent="0.3">
      <c r="A16" s="10" t="s">
        <v>785</v>
      </c>
      <c r="B16" s="10" t="s">
        <v>777</v>
      </c>
      <c r="C16" s="11">
        <v>711</v>
      </c>
      <c r="D16" s="11">
        <v>5662018</v>
      </c>
      <c r="E16" s="14" t="str">
        <f>CONCATENATE(H16,C16,D16)</f>
        <v>306772371197115662018</v>
      </c>
      <c r="F16" s="11">
        <v>34179735526070</v>
      </c>
      <c r="G16" s="10" t="s">
        <v>778</v>
      </c>
      <c r="H16" s="11">
        <v>30677237119</v>
      </c>
      <c r="I16" s="10" t="s">
        <v>787</v>
      </c>
      <c r="J16" s="11">
        <v>1</v>
      </c>
      <c r="K16" s="10" t="s">
        <v>779</v>
      </c>
      <c r="L16" s="12">
        <v>7272.63</v>
      </c>
      <c r="M16" s="11">
        <v>0</v>
      </c>
      <c r="N16" s="12">
        <v>218.18</v>
      </c>
      <c r="O16" s="11">
        <v>0</v>
      </c>
      <c r="P16" s="12">
        <v>1527.37</v>
      </c>
      <c r="Q16" s="12">
        <v>9381.81</v>
      </c>
      <c r="R16" s="10">
        <f>VLOOKUP(E16,'IVA COMPRAS'!L:Q,6,0)</f>
        <v>9381.81</v>
      </c>
    </row>
    <row r="17" spans="1:18" s="10" customFormat="1" hidden="1" x14ac:dyDescent="0.3">
      <c r="A17" s="10" t="s">
        <v>785</v>
      </c>
      <c r="B17" s="10" t="s">
        <v>777</v>
      </c>
      <c r="C17" s="11">
        <v>711</v>
      </c>
      <c r="D17" s="11">
        <v>5664894</v>
      </c>
      <c r="E17" s="14" t="str">
        <f>CONCATENATE(H17,C17,D17)</f>
        <v>306772371197115664894</v>
      </c>
      <c r="F17" s="11">
        <v>34179735526070</v>
      </c>
      <c r="G17" s="10" t="s">
        <v>778</v>
      </c>
      <c r="H17" s="11">
        <v>30677237119</v>
      </c>
      <c r="I17" s="10" t="s">
        <v>787</v>
      </c>
      <c r="J17" s="11">
        <v>1</v>
      </c>
      <c r="K17" s="10" t="s">
        <v>779</v>
      </c>
      <c r="L17" s="12">
        <v>21900.76</v>
      </c>
      <c r="M17" s="11">
        <v>0</v>
      </c>
      <c r="N17" s="12">
        <v>657.02</v>
      </c>
      <c r="O17" s="11">
        <v>0</v>
      </c>
      <c r="P17" s="12">
        <v>4599.24</v>
      </c>
      <c r="Q17" s="12">
        <v>28252.06</v>
      </c>
      <c r="R17" s="10">
        <f>VLOOKUP(E17,'IVA COMPRAS'!L:Q,6,0)</f>
        <v>28252.06</v>
      </c>
    </row>
    <row r="18" spans="1:18" s="10" customFormat="1" hidden="1" x14ac:dyDescent="0.3">
      <c r="A18" s="10" t="s">
        <v>823</v>
      </c>
      <c r="B18" s="10" t="s">
        <v>777</v>
      </c>
      <c r="C18" s="11">
        <v>711</v>
      </c>
      <c r="D18" s="11">
        <v>5722790</v>
      </c>
      <c r="E18" s="14" t="str">
        <f>CONCATENATE(H18,C18,D18)</f>
        <v>306772371197115722790</v>
      </c>
      <c r="F18" s="11">
        <v>34209924038028</v>
      </c>
      <c r="G18" s="10" t="s">
        <v>778</v>
      </c>
      <c r="H18" s="11">
        <v>30677237119</v>
      </c>
      <c r="I18" s="10" t="s">
        <v>787</v>
      </c>
      <c r="J18" s="11">
        <v>1</v>
      </c>
      <c r="K18" s="10" t="s">
        <v>779</v>
      </c>
      <c r="L18" s="12">
        <v>24958.58</v>
      </c>
      <c r="M18" s="11">
        <v>0</v>
      </c>
      <c r="N18" s="12">
        <v>748.76</v>
      </c>
      <c r="O18" s="11">
        <v>0</v>
      </c>
      <c r="P18" s="12">
        <v>5241.42</v>
      </c>
      <c r="Q18" s="12">
        <v>32196.69</v>
      </c>
      <c r="R18" s="10">
        <f>VLOOKUP(E18,'IVA COMPRAS'!L:Q,6,0)</f>
        <v>32196.69</v>
      </c>
    </row>
    <row r="19" spans="1:18" s="10" customFormat="1" hidden="1" x14ac:dyDescent="0.3">
      <c r="A19" s="10" t="s">
        <v>823</v>
      </c>
      <c r="B19" s="10" t="s">
        <v>777</v>
      </c>
      <c r="C19" s="11">
        <v>711</v>
      </c>
      <c r="D19" s="11">
        <v>5720986</v>
      </c>
      <c r="E19" s="14" t="str">
        <f>CONCATENATE(H19,C19,D19)</f>
        <v>306772371197115720986</v>
      </c>
      <c r="F19" s="11">
        <v>34209924038028</v>
      </c>
      <c r="G19" s="10" t="s">
        <v>778</v>
      </c>
      <c r="H19" s="11">
        <v>30677237119</v>
      </c>
      <c r="I19" s="10" t="s">
        <v>787</v>
      </c>
      <c r="J19" s="11">
        <v>1</v>
      </c>
      <c r="K19" s="10" t="s">
        <v>779</v>
      </c>
      <c r="L19" s="12">
        <v>21322.32</v>
      </c>
      <c r="M19" s="11">
        <v>0</v>
      </c>
      <c r="N19" s="12">
        <v>639.66999999999996</v>
      </c>
      <c r="O19" s="11">
        <v>0</v>
      </c>
      <c r="P19" s="12">
        <v>4477.68</v>
      </c>
      <c r="Q19" s="12">
        <v>27505.79</v>
      </c>
      <c r="R19" s="10">
        <f>VLOOKUP(E19,'IVA COMPRAS'!L:Q,6,0)</f>
        <v>27505.79</v>
      </c>
    </row>
    <row r="20" spans="1:18" s="10" customFormat="1" hidden="1" x14ac:dyDescent="0.3">
      <c r="A20" s="10" t="s">
        <v>823</v>
      </c>
      <c r="B20" s="10" t="s">
        <v>777</v>
      </c>
      <c r="C20" s="11">
        <v>711</v>
      </c>
      <c r="D20" s="11">
        <v>5718133</v>
      </c>
      <c r="E20" s="14" t="str">
        <f>CONCATENATE(H20,C20,D20)</f>
        <v>306772371197115718133</v>
      </c>
      <c r="F20" s="11">
        <v>34209924038028</v>
      </c>
      <c r="G20" s="10" t="s">
        <v>778</v>
      </c>
      <c r="H20" s="11">
        <v>30677237119</v>
      </c>
      <c r="I20" s="10" t="s">
        <v>787</v>
      </c>
      <c r="J20" s="11">
        <v>1</v>
      </c>
      <c r="K20" s="10" t="s">
        <v>779</v>
      </c>
      <c r="L20" s="12">
        <v>5619.76</v>
      </c>
      <c r="M20" s="11">
        <v>0</v>
      </c>
      <c r="N20" s="12">
        <v>168.59</v>
      </c>
      <c r="O20" s="11">
        <v>0</v>
      </c>
      <c r="P20" s="12">
        <v>1180.24</v>
      </c>
      <c r="Q20" s="12">
        <v>7249.58</v>
      </c>
      <c r="R20" s="10">
        <f>VLOOKUP(E20,'IVA COMPRAS'!L:Q,6,0)</f>
        <v>7249.58</v>
      </c>
    </row>
    <row r="21" spans="1:18" s="10" customFormat="1" hidden="1" x14ac:dyDescent="0.3">
      <c r="A21" s="10" t="s">
        <v>781</v>
      </c>
      <c r="B21" s="10" t="s">
        <v>777</v>
      </c>
      <c r="C21" s="11">
        <v>5014</v>
      </c>
      <c r="D21" s="11">
        <v>610338</v>
      </c>
      <c r="E21" s="14" t="str">
        <f>CONCATENATE(H21,C21,D21)</f>
        <v>305748764745014610338</v>
      </c>
      <c r="F21" s="11">
        <v>74184683189884</v>
      </c>
      <c r="G21" s="10" t="s">
        <v>778</v>
      </c>
      <c r="H21" s="11">
        <v>30574876474</v>
      </c>
      <c r="I21" s="10" t="s">
        <v>96</v>
      </c>
      <c r="J21" s="11">
        <v>1</v>
      </c>
      <c r="K21" s="10" t="s">
        <v>779</v>
      </c>
      <c r="L21" s="12">
        <v>6742.88</v>
      </c>
      <c r="M21" s="11">
        <v>0</v>
      </c>
      <c r="N21" s="11">
        <v>0</v>
      </c>
      <c r="O21" s="11">
        <v>0</v>
      </c>
      <c r="P21" s="11">
        <v>1416</v>
      </c>
      <c r="Q21" s="12">
        <v>9035.4599999999991</v>
      </c>
      <c r="R21" s="10">
        <f>VLOOKUP(E21,'IVA COMPRAS'!L:Q,6,0)</f>
        <v>9035.4599999999991</v>
      </c>
    </row>
    <row r="22" spans="1:18" s="10" customFormat="1" hidden="1" x14ac:dyDescent="0.3">
      <c r="A22" s="10" t="s">
        <v>781</v>
      </c>
      <c r="B22" s="10" t="s">
        <v>777</v>
      </c>
      <c r="C22" s="11">
        <v>5011</v>
      </c>
      <c r="D22" s="11">
        <v>612383</v>
      </c>
      <c r="E22" s="14" t="str">
        <f>CONCATENATE(H22,C22,D22)</f>
        <v>305748764745011612383</v>
      </c>
      <c r="F22" s="11">
        <v>74184670330200</v>
      </c>
      <c r="G22" s="10" t="s">
        <v>778</v>
      </c>
      <c r="H22" s="11">
        <v>30574876474</v>
      </c>
      <c r="I22" s="10" t="s">
        <v>96</v>
      </c>
      <c r="J22" s="11">
        <v>1</v>
      </c>
      <c r="K22" s="10" t="s">
        <v>779</v>
      </c>
      <c r="L22" s="12">
        <v>23900.53</v>
      </c>
      <c r="M22" s="11">
        <v>0</v>
      </c>
      <c r="N22" s="11">
        <v>0</v>
      </c>
      <c r="O22" s="11">
        <v>0</v>
      </c>
      <c r="P22" s="12">
        <v>5019.08</v>
      </c>
      <c r="Q22" s="12">
        <v>32026.67</v>
      </c>
      <c r="R22" s="10">
        <f>VLOOKUP(E22,'IVA COMPRAS'!L:Q,6,0)</f>
        <v>32026.68</v>
      </c>
    </row>
    <row r="23" spans="1:18" s="10" customFormat="1" hidden="1" x14ac:dyDescent="0.3">
      <c r="A23" s="10" t="s">
        <v>781</v>
      </c>
      <c r="B23" s="10" t="s">
        <v>777</v>
      </c>
      <c r="C23" s="11">
        <v>5015</v>
      </c>
      <c r="D23" s="11">
        <v>606721</v>
      </c>
      <c r="E23" s="14" t="str">
        <f>CONCATENATE(H23,C23,D23)</f>
        <v>305748764745015606721</v>
      </c>
      <c r="F23" s="11">
        <v>74184684523957</v>
      </c>
      <c r="G23" s="10" t="s">
        <v>778</v>
      </c>
      <c r="H23" s="11">
        <v>30574876474</v>
      </c>
      <c r="I23" s="10" t="s">
        <v>96</v>
      </c>
      <c r="J23" s="11">
        <v>1</v>
      </c>
      <c r="K23" s="10" t="s">
        <v>779</v>
      </c>
      <c r="L23" s="10">
        <v>2459.8000000000002</v>
      </c>
      <c r="M23" s="11">
        <v>0</v>
      </c>
      <c r="N23" s="11">
        <v>0</v>
      </c>
      <c r="O23" s="11">
        <v>0</v>
      </c>
      <c r="P23" s="12">
        <v>516.54999999999995</v>
      </c>
      <c r="Q23" s="12">
        <v>3222.33</v>
      </c>
      <c r="R23" s="10">
        <f>VLOOKUP(E23,'IVA COMPRAS'!L:Q,6,0)</f>
        <v>3222.34</v>
      </c>
    </row>
    <row r="24" spans="1:18" s="10" customFormat="1" hidden="1" x14ac:dyDescent="0.3">
      <c r="A24" s="10" t="s">
        <v>823</v>
      </c>
      <c r="B24" s="10" t="s">
        <v>777</v>
      </c>
      <c r="C24" s="11">
        <v>5011</v>
      </c>
      <c r="D24" s="11">
        <v>621559</v>
      </c>
      <c r="E24" s="14" t="str">
        <f>CONCATENATE(H24,C24,D24)</f>
        <v>305748764745011621559</v>
      </c>
      <c r="F24" s="11">
        <v>74204391184414</v>
      </c>
      <c r="G24" s="10" t="s">
        <v>778</v>
      </c>
      <c r="H24" s="11">
        <v>30574876474</v>
      </c>
      <c r="I24" s="10" t="s">
        <v>96</v>
      </c>
      <c r="J24" s="11">
        <v>1</v>
      </c>
      <c r="K24" s="10" t="s">
        <v>779</v>
      </c>
      <c r="L24" s="11">
        <v>15100</v>
      </c>
      <c r="M24" s="11">
        <v>0</v>
      </c>
      <c r="N24" s="11">
        <v>0</v>
      </c>
      <c r="O24" s="11">
        <v>0</v>
      </c>
      <c r="P24" s="12">
        <v>3170.98</v>
      </c>
      <c r="Q24" s="12">
        <v>20233.98</v>
      </c>
      <c r="R24" s="10">
        <f>VLOOKUP(E24,'IVA COMPRAS'!L:Q,6,0)</f>
        <v>20233.98</v>
      </c>
    </row>
    <row r="25" spans="1:18" s="10" customFormat="1" hidden="1" x14ac:dyDescent="0.3">
      <c r="A25" s="10" t="s">
        <v>823</v>
      </c>
      <c r="B25" s="10" t="s">
        <v>777</v>
      </c>
      <c r="C25" s="11">
        <v>5014</v>
      </c>
      <c r="D25" s="11">
        <v>613411</v>
      </c>
      <c r="E25" s="14" t="str">
        <f>CONCATENATE(H25,C25,D25)</f>
        <v>305748764745014613411</v>
      </c>
      <c r="F25" s="11">
        <v>74204488401053</v>
      </c>
      <c r="G25" s="10" t="s">
        <v>778</v>
      </c>
      <c r="H25" s="11">
        <v>30574876474</v>
      </c>
      <c r="I25" s="10" t="s">
        <v>96</v>
      </c>
      <c r="J25" s="11">
        <v>1</v>
      </c>
      <c r="K25" s="10" t="s">
        <v>779</v>
      </c>
      <c r="L25" s="12">
        <v>22941.33</v>
      </c>
      <c r="M25" s="11">
        <v>0</v>
      </c>
      <c r="N25" s="11">
        <v>0</v>
      </c>
      <c r="O25" s="11">
        <v>0</v>
      </c>
      <c r="P25" s="12">
        <v>4817.66</v>
      </c>
      <c r="Q25" s="12">
        <v>30741.360000000001</v>
      </c>
      <c r="R25" s="10">
        <f>VLOOKUP(E25,'IVA COMPRAS'!L:Q,6,0)</f>
        <v>30741.38</v>
      </c>
    </row>
    <row r="26" spans="1:18" s="10" customFormat="1" hidden="1" x14ac:dyDescent="0.3">
      <c r="A26" s="10" t="s">
        <v>800</v>
      </c>
      <c r="B26" s="10" t="s">
        <v>777</v>
      </c>
      <c r="C26" s="11">
        <v>3</v>
      </c>
      <c r="D26" s="11">
        <v>5174</v>
      </c>
      <c r="E26" s="14" t="str">
        <f>CONCATENATE(H26,C26,D26)</f>
        <v>3070848113735174</v>
      </c>
      <c r="F26" s="11">
        <v>74197247815024</v>
      </c>
      <c r="G26" s="10" t="s">
        <v>778</v>
      </c>
      <c r="H26" s="11">
        <v>30708481137</v>
      </c>
      <c r="I26" s="10" t="s">
        <v>222</v>
      </c>
      <c r="J26" s="11">
        <v>1</v>
      </c>
      <c r="K26" s="10" t="s">
        <v>779</v>
      </c>
      <c r="L26" s="12">
        <v>269972.45</v>
      </c>
      <c r="M26" s="11">
        <v>0</v>
      </c>
      <c r="N26" s="11">
        <v>0</v>
      </c>
      <c r="O26" s="11">
        <v>0</v>
      </c>
      <c r="P26" s="12">
        <v>56694.21</v>
      </c>
      <c r="Q26" s="12">
        <v>334765.83</v>
      </c>
      <c r="R26" s="10">
        <f>VLOOKUP(E26,'IVA COMPRAS'!L:Q,6,0)</f>
        <v>334765.83</v>
      </c>
    </row>
    <row r="27" spans="1:18" s="10" customFormat="1" hidden="1" x14ac:dyDescent="0.3">
      <c r="A27" s="10" t="s">
        <v>785</v>
      </c>
      <c r="B27" s="10" t="s">
        <v>777</v>
      </c>
      <c r="C27" s="11">
        <v>4</v>
      </c>
      <c r="D27" s="11">
        <v>1435</v>
      </c>
      <c r="E27" s="14" t="str">
        <f>CONCATENATE(H27,C27,D27)</f>
        <v>2024334867741435</v>
      </c>
      <c r="F27" s="11">
        <v>74187863605422</v>
      </c>
      <c r="G27" s="10" t="s">
        <v>778</v>
      </c>
      <c r="H27" s="11">
        <v>20243348677</v>
      </c>
      <c r="I27" s="10" t="s">
        <v>126</v>
      </c>
      <c r="J27" s="11">
        <v>1</v>
      </c>
      <c r="K27" s="10" t="s">
        <v>779</v>
      </c>
      <c r="L27" s="11">
        <v>1751000</v>
      </c>
      <c r="M27" s="11">
        <v>0</v>
      </c>
      <c r="N27" s="11">
        <v>0</v>
      </c>
      <c r="O27" s="11">
        <v>0</v>
      </c>
      <c r="P27" s="10">
        <v>207742.5</v>
      </c>
      <c r="Q27" s="10">
        <v>1958742.5</v>
      </c>
      <c r="R27" s="10">
        <f>VLOOKUP(E27,'IVA COMPRAS'!L:Q,6,0)</f>
        <v>1958742.5</v>
      </c>
    </row>
    <row r="28" spans="1:18" s="10" customFormat="1" hidden="1" x14ac:dyDescent="0.3">
      <c r="A28" s="10" t="s">
        <v>785</v>
      </c>
      <c r="B28" s="10" t="s">
        <v>777</v>
      </c>
      <c r="C28" s="11">
        <v>4</v>
      </c>
      <c r="D28" s="11">
        <v>1434</v>
      </c>
      <c r="E28" s="14" t="str">
        <f>CONCATENATE(H28,C28,D28)</f>
        <v>2024334867741434</v>
      </c>
      <c r="F28" s="11">
        <v>74187863202081</v>
      </c>
      <c r="G28" s="10" t="s">
        <v>778</v>
      </c>
      <c r="H28" s="11">
        <v>20243348677</v>
      </c>
      <c r="I28" s="10" t="s">
        <v>126</v>
      </c>
      <c r="J28" s="11">
        <v>1</v>
      </c>
      <c r="K28" s="10" t="s">
        <v>779</v>
      </c>
      <c r="L28" s="11">
        <v>1090000</v>
      </c>
      <c r="M28" s="11">
        <v>0</v>
      </c>
      <c r="N28" s="11">
        <v>0</v>
      </c>
      <c r="O28" s="11">
        <v>0</v>
      </c>
      <c r="P28" s="11">
        <v>114450</v>
      </c>
      <c r="Q28" s="11">
        <v>1204450</v>
      </c>
      <c r="R28" s="10">
        <f>VLOOKUP(E28,'IVA COMPRAS'!L:Q,6,0)</f>
        <v>1204450</v>
      </c>
    </row>
    <row r="29" spans="1:18" s="10" customFormat="1" hidden="1" x14ac:dyDescent="0.3">
      <c r="A29" s="10" t="s">
        <v>819</v>
      </c>
      <c r="B29" s="10" t="s">
        <v>777</v>
      </c>
      <c r="C29" s="11">
        <v>4</v>
      </c>
      <c r="D29" s="11">
        <v>1446</v>
      </c>
      <c r="E29" s="14" t="str">
        <f>CONCATENATE(H29,C29,D29)</f>
        <v>2024334867741446</v>
      </c>
      <c r="F29" s="11">
        <v>74207172414050</v>
      </c>
      <c r="G29" s="10" t="s">
        <v>778</v>
      </c>
      <c r="H29" s="11">
        <v>20243348677</v>
      </c>
      <c r="I29" s="10" t="s">
        <v>126</v>
      </c>
      <c r="J29" s="11">
        <v>1</v>
      </c>
      <c r="K29" s="10" t="s">
        <v>779</v>
      </c>
      <c r="L29" s="11">
        <v>7688500</v>
      </c>
      <c r="M29" s="11">
        <v>0</v>
      </c>
      <c r="N29" s="11">
        <v>0</v>
      </c>
      <c r="O29" s="11">
        <v>0</v>
      </c>
      <c r="P29" s="10">
        <v>1046272.5</v>
      </c>
      <c r="Q29" s="10">
        <v>8734772.5</v>
      </c>
      <c r="R29" s="10">
        <f>VLOOKUP(E29,'IVA COMPRAS'!L:Q,6,0)</f>
        <v>8734772.5</v>
      </c>
    </row>
    <row r="30" spans="1:18" s="10" customFormat="1" hidden="1" x14ac:dyDescent="0.3">
      <c r="A30" s="10" t="s">
        <v>823</v>
      </c>
      <c r="B30" s="10" t="s">
        <v>777</v>
      </c>
      <c r="C30" s="11">
        <v>4</v>
      </c>
      <c r="D30" s="11">
        <v>1449</v>
      </c>
      <c r="E30" s="14" t="str">
        <f>CONCATENATE(H30,C30,D30)</f>
        <v>2024334867741449</v>
      </c>
      <c r="F30" s="11">
        <v>74207425068739</v>
      </c>
      <c r="G30" s="10" t="s">
        <v>778</v>
      </c>
      <c r="H30" s="11">
        <v>20243348677</v>
      </c>
      <c r="I30" s="10" t="s">
        <v>126</v>
      </c>
      <c r="J30" s="11">
        <v>1</v>
      </c>
      <c r="K30" s="10" t="s">
        <v>779</v>
      </c>
      <c r="L30" s="11">
        <v>1431200</v>
      </c>
      <c r="M30" s="11">
        <v>0</v>
      </c>
      <c r="N30" s="11">
        <v>0</v>
      </c>
      <c r="O30" s="11">
        <v>0</v>
      </c>
      <c r="P30" s="11">
        <v>175056</v>
      </c>
      <c r="Q30" s="11">
        <v>1606256</v>
      </c>
      <c r="R30" s="10">
        <f>VLOOKUP(E30,'IVA COMPRAS'!L:Q,6,0)</f>
        <v>1606256</v>
      </c>
    </row>
    <row r="31" spans="1:18" s="10" customFormat="1" hidden="1" x14ac:dyDescent="0.3">
      <c r="A31" s="10" t="s">
        <v>823</v>
      </c>
      <c r="B31" s="10" t="s">
        <v>777</v>
      </c>
      <c r="C31" s="11">
        <v>4</v>
      </c>
      <c r="D31" s="11">
        <v>1450</v>
      </c>
      <c r="E31" s="14" t="str">
        <f>CONCATENATE(H31,C31,D31)</f>
        <v>2024334867741450</v>
      </c>
      <c r="F31" s="11">
        <v>74207425297723</v>
      </c>
      <c r="G31" s="10" t="s">
        <v>778</v>
      </c>
      <c r="H31" s="11">
        <v>20243348677</v>
      </c>
      <c r="I31" s="10" t="s">
        <v>126</v>
      </c>
      <c r="J31" s="11">
        <v>1</v>
      </c>
      <c r="K31" s="10" t="s">
        <v>779</v>
      </c>
      <c r="L31" s="11">
        <v>814200</v>
      </c>
      <c r="M31" s="11">
        <v>0</v>
      </c>
      <c r="N31" s="11">
        <v>0</v>
      </c>
      <c r="O31" s="11">
        <v>0</v>
      </c>
      <c r="P31" s="11">
        <v>95886</v>
      </c>
      <c r="Q31" s="11">
        <v>910086</v>
      </c>
      <c r="R31" s="10">
        <f>VLOOKUP(E31,'IVA COMPRAS'!L:Q,6,0)</f>
        <v>910086</v>
      </c>
    </row>
    <row r="32" spans="1:18" s="10" customFormat="1" hidden="1" x14ac:dyDescent="0.3">
      <c r="A32" s="10" t="s">
        <v>826</v>
      </c>
      <c r="B32" s="10" t="s">
        <v>777</v>
      </c>
      <c r="C32" s="11">
        <v>4</v>
      </c>
      <c r="D32" s="11">
        <v>1453</v>
      </c>
      <c r="E32" s="14" t="str">
        <f>CONCATENATE(H32,C32,D32)</f>
        <v>2024334867741453</v>
      </c>
      <c r="F32" s="11">
        <v>74217692423571</v>
      </c>
      <c r="G32" s="10" t="s">
        <v>778</v>
      </c>
      <c r="H32" s="11">
        <v>20243348677</v>
      </c>
      <c r="I32" s="10" t="s">
        <v>126</v>
      </c>
      <c r="J32" s="11">
        <v>1</v>
      </c>
      <c r="K32" s="10" t="s">
        <v>779</v>
      </c>
      <c r="L32" s="11">
        <v>7082500</v>
      </c>
      <c r="M32" s="11">
        <v>0</v>
      </c>
      <c r="N32" s="11">
        <v>0</v>
      </c>
      <c r="O32" s="11">
        <v>0</v>
      </c>
      <c r="P32" s="10">
        <v>869662.5</v>
      </c>
      <c r="Q32" s="10">
        <v>7952162.5</v>
      </c>
      <c r="R32" s="10">
        <f>VLOOKUP(E32,'IVA COMPRAS'!L:Q,6,0)</f>
        <v>7952162.5</v>
      </c>
    </row>
    <row r="33" spans="1:18" s="10" customFormat="1" hidden="1" x14ac:dyDescent="0.3">
      <c r="A33" s="10" t="s">
        <v>826</v>
      </c>
      <c r="B33" s="10" t="s">
        <v>783</v>
      </c>
      <c r="C33" s="11">
        <v>4</v>
      </c>
      <c r="D33" s="11">
        <v>310</v>
      </c>
      <c r="E33" s="14" t="str">
        <f>CONCATENATE(H33,C33,D33)</f>
        <v>202433486774310</v>
      </c>
      <c r="F33" s="11">
        <v>74217694435426</v>
      </c>
      <c r="G33" s="10" t="s">
        <v>778</v>
      </c>
      <c r="H33" s="11">
        <v>20243348677</v>
      </c>
      <c r="I33" s="10" t="s">
        <v>126</v>
      </c>
      <c r="J33" s="11">
        <v>1</v>
      </c>
      <c r="K33" s="10" t="s">
        <v>779</v>
      </c>
      <c r="L33" s="11">
        <v>150000</v>
      </c>
      <c r="M33" s="11">
        <v>0</v>
      </c>
      <c r="N33" s="11">
        <v>0</v>
      </c>
      <c r="O33" s="11">
        <v>0</v>
      </c>
      <c r="P33" s="10">
        <v>22837.5</v>
      </c>
      <c r="Q33" s="10">
        <v>172837.5</v>
      </c>
      <c r="R33" s="10">
        <f>VLOOKUP(E33,'IVA COMPRAS'!L:Q,6,0)</f>
        <v>-172837.5</v>
      </c>
    </row>
    <row r="34" spans="1:18" s="10" customFormat="1" hidden="1" x14ac:dyDescent="0.3">
      <c r="A34" s="10" t="s">
        <v>838</v>
      </c>
      <c r="B34" s="10" t="s">
        <v>783</v>
      </c>
      <c r="C34" s="11">
        <v>4</v>
      </c>
      <c r="D34" s="11">
        <v>312</v>
      </c>
      <c r="E34" s="14" t="str">
        <f>CONCATENATE(H34,C34,D34)</f>
        <v>202433486774312</v>
      </c>
      <c r="F34" s="11">
        <v>74227657226803</v>
      </c>
      <c r="G34" s="10" t="s">
        <v>778</v>
      </c>
      <c r="H34" s="11">
        <v>20243348677</v>
      </c>
      <c r="I34" s="10" t="s">
        <v>126</v>
      </c>
      <c r="J34" s="11">
        <v>1</v>
      </c>
      <c r="K34" s="10" t="s">
        <v>779</v>
      </c>
      <c r="L34" s="12">
        <v>834377.05</v>
      </c>
      <c r="M34" s="11">
        <v>0</v>
      </c>
      <c r="N34" s="11">
        <v>0</v>
      </c>
      <c r="O34" s="11">
        <v>0</v>
      </c>
      <c r="P34" s="12">
        <v>117051.59</v>
      </c>
      <c r="Q34" s="12">
        <v>951428.59</v>
      </c>
      <c r="R34" s="10">
        <f>VLOOKUP(E34,'IVA COMPRAS'!L:Q,6,0)</f>
        <v>-951428.59</v>
      </c>
    </row>
    <row r="35" spans="1:18" s="10" customFormat="1" hidden="1" x14ac:dyDescent="0.3">
      <c r="A35" s="10" t="s">
        <v>840</v>
      </c>
      <c r="B35" s="10" t="s">
        <v>783</v>
      </c>
      <c r="C35" s="11">
        <v>4</v>
      </c>
      <c r="D35" s="11">
        <v>313</v>
      </c>
      <c r="E35" s="14" t="str">
        <f>CONCATENATE(H35,C35,D35)</f>
        <v>202433486774313</v>
      </c>
      <c r="F35" s="11">
        <v>74227854326813</v>
      </c>
      <c r="G35" s="10" t="s">
        <v>778</v>
      </c>
      <c r="H35" s="11">
        <v>20243348677</v>
      </c>
      <c r="I35" s="10" t="s">
        <v>126</v>
      </c>
      <c r="J35" s="11">
        <v>1</v>
      </c>
      <c r="K35" s="10" t="s">
        <v>779</v>
      </c>
      <c r="L35" s="11">
        <v>120000</v>
      </c>
      <c r="M35" s="11">
        <v>0</v>
      </c>
      <c r="N35" s="11">
        <v>0</v>
      </c>
      <c r="O35" s="11">
        <v>0</v>
      </c>
      <c r="P35" s="11">
        <v>25200</v>
      </c>
      <c r="Q35" s="11">
        <v>145200</v>
      </c>
      <c r="R35" s="10">
        <f>VLOOKUP(E35,'IVA COMPRAS'!L:Q,6,0)</f>
        <v>-145200</v>
      </c>
    </row>
    <row r="36" spans="1:18" s="10" customFormat="1" hidden="1" x14ac:dyDescent="0.3">
      <c r="A36" s="10" t="s">
        <v>796</v>
      </c>
      <c r="B36" s="10" t="s">
        <v>777</v>
      </c>
      <c r="C36" s="11">
        <v>115</v>
      </c>
      <c r="D36" s="11">
        <v>142226</v>
      </c>
      <c r="E36" s="14" t="str">
        <f>CONCATENATE(H36,C36,D36)</f>
        <v>30629646708115142226</v>
      </c>
      <c r="F36" s="11">
        <v>74198230808130</v>
      </c>
      <c r="G36" s="10" t="s">
        <v>778</v>
      </c>
      <c r="H36" s="11">
        <v>30629646708</v>
      </c>
      <c r="I36" s="10" t="s">
        <v>798</v>
      </c>
      <c r="J36" s="11">
        <v>1</v>
      </c>
      <c r="K36" s="10" t="s">
        <v>779</v>
      </c>
      <c r="L36" s="12">
        <v>1792807.81</v>
      </c>
      <c r="M36" s="11">
        <v>0</v>
      </c>
      <c r="N36" s="11">
        <v>0</v>
      </c>
      <c r="O36" s="11">
        <v>0</v>
      </c>
      <c r="P36" s="12">
        <v>376489.64</v>
      </c>
      <c r="Q36" s="12">
        <v>2312722.06</v>
      </c>
      <c r="R36" s="10">
        <f>VLOOKUP(E36,'IVA COMPRAS'!L:Q,6,0)</f>
        <v>2312722.06</v>
      </c>
    </row>
    <row r="37" spans="1:18" s="10" customFormat="1" hidden="1" x14ac:dyDescent="0.3">
      <c r="A37" s="10" t="s">
        <v>796</v>
      </c>
      <c r="B37" s="10" t="s">
        <v>777</v>
      </c>
      <c r="C37" s="11">
        <v>115</v>
      </c>
      <c r="D37" s="11">
        <v>142227</v>
      </c>
      <c r="E37" s="14" t="str">
        <f>CONCATENATE(H37,C37,D37)</f>
        <v>30629646708115142227</v>
      </c>
      <c r="F37" s="11">
        <v>74198230808685</v>
      </c>
      <c r="G37" s="10" t="s">
        <v>778</v>
      </c>
      <c r="H37" s="11">
        <v>30629646708</v>
      </c>
      <c r="I37" s="10" t="s">
        <v>798</v>
      </c>
      <c r="J37" s="11">
        <v>1</v>
      </c>
      <c r="K37" s="10" t="s">
        <v>779</v>
      </c>
      <c r="L37" s="10">
        <v>169092.1</v>
      </c>
      <c r="M37" s="11">
        <v>0</v>
      </c>
      <c r="N37" s="11">
        <v>0</v>
      </c>
      <c r="O37" s="11">
        <v>0</v>
      </c>
      <c r="P37" s="12">
        <v>17754.669999999998</v>
      </c>
      <c r="Q37" s="12">
        <v>191919.52</v>
      </c>
      <c r="R37" s="10">
        <f>VLOOKUP(E37,'IVA COMPRAS'!L:Q,6,0)</f>
        <v>191919.52</v>
      </c>
    </row>
    <row r="38" spans="1:18" s="10" customFormat="1" hidden="1" x14ac:dyDescent="0.3">
      <c r="A38" s="10" t="s">
        <v>796</v>
      </c>
      <c r="B38" s="10" t="s">
        <v>777</v>
      </c>
      <c r="C38" s="11">
        <v>115</v>
      </c>
      <c r="D38" s="11">
        <v>142228</v>
      </c>
      <c r="E38" s="14" t="str">
        <f>CONCATENATE(H38,C38,D38)</f>
        <v>30629646708115142228</v>
      </c>
      <c r="F38" s="11">
        <v>74198230809495</v>
      </c>
      <c r="G38" s="10" t="s">
        <v>778</v>
      </c>
      <c r="H38" s="11">
        <v>30629646708</v>
      </c>
      <c r="I38" s="10" t="s">
        <v>798</v>
      </c>
      <c r="J38" s="11">
        <v>1</v>
      </c>
      <c r="K38" s="10" t="s">
        <v>779</v>
      </c>
      <c r="L38" s="12">
        <v>659835.29</v>
      </c>
      <c r="M38" s="11">
        <v>0</v>
      </c>
      <c r="N38" s="11">
        <v>0</v>
      </c>
      <c r="O38" s="11">
        <v>0</v>
      </c>
      <c r="P38" s="12">
        <v>138565.41</v>
      </c>
      <c r="Q38" s="12">
        <v>851187.53</v>
      </c>
      <c r="R38" s="10">
        <f>VLOOKUP(E38,'IVA COMPRAS'!L:Q,6,0)</f>
        <v>851187.54</v>
      </c>
    </row>
    <row r="39" spans="1:18" s="10" customFormat="1" hidden="1" x14ac:dyDescent="0.3">
      <c r="A39" s="10" t="s">
        <v>819</v>
      </c>
      <c r="B39" s="10" t="s">
        <v>777</v>
      </c>
      <c r="C39" s="11">
        <v>115</v>
      </c>
      <c r="D39" s="11">
        <v>142611</v>
      </c>
      <c r="E39" s="14" t="str">
        <f>CONCATENATE(H39,C39,D39)</f>
        <v>30629646708115142611</v>
      </c>
      <c r="F39" s="11">
        <v>74208182442681</v>
      </c>
      <c r="G39" s="10" t="s">
        <v>778</v>
      </c>
      <c r="H39" s="11">
        <v>30629646708</v>
      </c>
      <c r="I39" s="10" t="s">
        <v>798</v>
      </c>
      <c r="J39" s="11">
        <v>1</v>
      </c>
      <c r="K39" s="10" t="s">
        <v>779</v>
      </c>
      <c r="L39" s="12">
        <v>6075441.5199999996</v>
      </c>
      <c r="M39" s="11">
        <v>0</v>
      </c>
      <c r="N39" s="11">
        <v>0</v>
      </c>
      <c r="O39" s="11">
        <v>0</v>
      </c>
      <c r="P39" s="12">
        <v>1275842.72</v>
      </c>
      <c r="Q39" s="12">
        <v>7837319.5800000001</v>
      </c>
      <c r="R39" s="10">
        <f>VLOOKUP(E39,'IVA COMPRAS'!L:Q,6,0)</f>
        <v>7837319.5800000001</v>
      </c>
    </row>
    <row r="40" spans="1:18" s="10" customFormat="1" hidden="1" x14ac:dyDescent="0.3">
      <c r="A40" s="10" t="s">
        <v>819</v>
      </c>
      <c r="B40" s="10" t="s">
        <v>777</v>
      </c>
      <c r="C40" s="11">
        <v>115</v>
      </c>
      <c r="D40" s="11">
        <v>142612</v>
      </c>
      <c r="E40" s="14" t="str">
        <f>CONCATENATE(H40,C40,D40)</f>
        <v>30629646708115142612</v>
      </c>
      <c r="F40" s="11">
        <v>74208182468316</v>
      </c>
      <c r="G40" s="10" t="s">
        <v>778</v>
      </c>
      <c r="H40" s="11">
        <v>30629646708</v>
      </c>
      <c r="I40" s="10" t="s">
        <v>798</v>
      </c>
      <c r="J40" s="11">
        <v>1</v>
      </c>
      <c r="K40" s="10" t="s">
        <v>779</v>
      </c>
      <c r="L40" s="12">
        <v>929358.38</v>
      </c>
      <c r="M40" s="11">
        <v>0</v>
      </c>
      <c r="N40" s="11">
        <v>0</v>
      </c>
      <c r="O40" s="11">
        <v>0</v>
      </c>
      <c r="P40" s="12">
        <v>195165.26</v>
      </c>
      <c r="Q40" s="12">
        <v>1198872.29</v>
      </c>
      <c r="R40" s="10">
        <f>VLOOKUP(E40,'IVA COMPRAS'!L:Q,6,0)</f>
        <v>1198872.29</v>
      </c>
    </row>
    <row r="41" spans="1:18" s="10" customFormat="1" hidden="1" x14ac:dyDescent="0.3">
      <c r="A41" s="10" t="s">
        <v>819</v>
      </c>
      <c r="B41" s="10" t="s">
        <v>777</v>
      </c>
      <c r="C41" s="11">
        <v>115</v>
      </c>
      <c r="D41" s="11">
        <v>142601</v>
      </c>
      <c r="E41" s="14" t="str">
        <f>CONCATENATE(H41,C41,D41)</f>
        <v>30629646708115142601</v>
      </c>
      <c r="F41" s="11">
        <v>74208182362075</v>
      </c>
      <c r="G41" s="10" t="s">
        <v>778</v>
      </c>
      <c r="H41" s="11">
        <v>30629646708</v>
      </c>
      <c r="I41" s="10" t="s">
        <v>798</v>
      </c>
      <c r="J41" s="11">
        <v>1</v>
      </c>
      <c r="K41" s="10" t="s">
        <v>779</v>
      </c>
      <c r="L41" s="12">
        <v>545908.18999999994</v>
      </c>
      <c r="M41" s="11">
        <v>0</v>
      </c>
      <c r="N41" s="11">
        <v>0</v>
      </c>
      <c r="O41" s="11">
        <v>0</v>
      </c>
      <c r="P41" s="12">
        <v>57320.36</v>
      </c>
      <c r="Q41" s="12">
        <v>638712.57999999996</v>
      </c>
      <c r="R41" s="10">
        <f>VLOOKUP(E41,'IVA COMPRAS'!L:Q,6,0)</f>
        <v>638712.57999999996</v>
      </c>
    </row>
    <row r="42" spans="1:18" s="10" customFormat="1" hidden="1" x14ac:dyDescent="0.3">
      <c r="A42" s="10" t="s">
        <v>826</v>
      </c>
      <c r="B42" s="10" t="s">
        <v>777</v>
      </c>
      <c r="C42" s="11">
        <v>115</v>
      </c>
      <c r="D42" s="11">
        <v>142807</v>
      </c>
      <c r="E42" s="14" t="str">
        <f>CONCATENATE(H42,C42,D42)</f>
        <v>30629646708115142807</v>
      </c>
      <c r="F42" s="11">
        <v>74218695516118</v>
      </c>
      <c r="G42" s="10" t="s">
        <v>778</v>
      </c>
      <c r="H42" s="11">
        <v>30629646708</v>
      </c>
      <c r="I42" s="10" t="s">
        <v>798</v>
      </c>
      <c r="J42" s="11">
        <v>1</v>
      </c>
      <c r="K42" s="10" t="s">
        <v>779</v>
      </c>
      <c r="L42" s="12">
        <v>2982039.24</v>
      </c>
      <c r="M42" s="11">
        <v>0</v>
      </c>
      <c r="N42" s="11">
        <v>0</v>
      </c>
      <c r="O42" s="11">
        <v>0</v>
      </c>
      <c r="P42" s="12">
        <v>626228.24</v>
      </c>
      <c r="Q42" s="12">
        <v>3846830.62</v>
      </c>
      <c r="R42" s="10">
        <f>VLOOKUP(E42,'IVA COMPRAS'!L:Q,6,0)</f>
        <v>3846830.62</v>
      </c>
    </row>
    <row r="43" spans="1:18" s="10" customFormat="1" hidden="1" x14ac:dyDescent="0.3">
      <c r="A43" s="10" t="s">
        <v>826</v>
      </c>
      <c r="B43" s="10" t="s">
        <v>777</v>
      </c>
      <c r="C43" s="11">
        <v>115</v>
      </c>
      <c r="D43" s="11">
        <v>142806</v>
      </c>
      <c r="E43" s="14" t="str">
        <f>CONCATENATE(H43,C43,D43)</f>
        <v>30629646708115142806</v>
      </c>
      <c r="F43" s="11">
        <v>74218695512096</v>
      </c>
      <c r="G43" s="10" t="s">
        <v>778</v>
      </c>
      <c r="H43" s="11">
        <v>30629646708</v>
      </c>
      <c r="I43" s="10" t="s">
        <v>798</v>
      </c>
      <c r="J43" s="11">
        <v>1</v>
      </c>
      <c r="K43" s="10" t="s">
        <v>779</v>
      </c>
      <c r="L43" s="12">
        <v>734783.05</v>
      </c>
      <c r="M43" s="11">
        <v>0</v>
      </c>
      <c r="N43" s="11">
        <v>0</v>
      </c>
      <c r="O43" s="11">
        <v>0</v>
      </c>
      <c r="P43" s="12">
        <v>77152.22</v>
      </c>
      <c r="Q43" s="12">
        <v>859696.16</v>
      </c>
      <c r="R43" s="10">
        <f>VLOOKUP(E43,'IVA COMPRAS'!L:Q,6,0)</f>
        <v>859696.17</v>
      </c>
    </row>
    <row r="44" spans="1:18" s="10" customFormat="1" hidden="1" x14ac:dyDescent="0.3">
      <c r="A44" s="10" t="s">
        <v>828</v>
      </c>
      <c r="B44" s="10" t="s">
        <v>783</v>
      </c>
      <c r="C44" s="11">
        <v>115</v>
      </c>
      <c r="D44" s="11">
        <v>31381</v>
      </c>
      <c r="E44" s="14" t="str">
        <f>CONCATENATE(H44,C44,D44)</f>
        <v>3062964670811531381</v>
      </c>
      <c r="F44" s="11">
        <v>74218908136268</v>
      </c>
      <c r="G44" s="10" t="s">
        <v>778</v>
      </c>
      <c r="H44" s="11">
        <v>30629646708</v>
      </c>
      <c r="I44" s="10" t="s">
        <v>798</v>
      </c>
      <c r="J44" s="11">
        <v>1</v>
      </c>
      <c r="K44" s="10" t="s">
        <v>779</v>
      </c>
      <c r="L44" s="12">
        <v>918336.48</v>
      </c>
      <c r="M44" s="11">
        <v>0</v>
      </c>
      <c r="N44" s="11">
        <v>0</v>
      </c>
      <c r="O44" s="11">
        <v>0</v>
      </c>
      <c r="P44" s="12">
        <v>192850.66</v>
      </c>
      <c r="Q44" s="12">
        <v>1138737.21</v>
      </c>
      <c r="R44" s="10">
        <f>VLOOKUP(E44,'IVA COMPRAS'!L:Q,6,0)</f>
        <v>-1138737.21</v>
      </c>
    </row>
    <row r="45" spans="1:18" s="10" customFormat="1" hidden="1" x14ac:dyDescent="0.3">
      <c r="A45" s="10" t="s">
        <v>834</v>
      </c>
      <c r="B45" s="10" t="s">
        <v>777</v>
      </c>
      <c r="C45" s="11">
        <v>115</v>
      </c>
      <c r="D45" s="11">
        <v>143093</v>
      </c>
      <c r="E45" s="14" t="str">
        <f>CONCATENATE(H45,C45,D45)</f>
        <v>30629646708115143093</v>
      </c>
      <c r="F45" s="11">
        <v>74228431810533</v>
      </c>
      <c r="G45" s="10" t="s">
        <v>778</v>
      </c>
      <c r="H45" s="11">
        <v>30629646708</v>
      </c>
      <c r="I45" s="10" t="s">
        <v>798</v>
      </c>
      <c r="J45" s="11">
        <v>1</v>
      </c>
      <c r="K45" s="10" t="s">
        <v>779</v>
      </c>
      <c r="L45" s="12">
        <v>270322.28999999998</v>
      </c>
      <c r="M45" s="11">
        <v>0</v>
      </c>
      <c r="N45" s="11">
        <v>0</v>
      </c>
      <c r="O45" s="11">
        <v>0</v>
      </c>
      <c r="P45" s="12">
        <v>28383.84</v>
      </c>
      <c r="Q45" s="12">
        <v>316277.08</v>
      </c>
      <c r="R45" s="10">
        <f>VLOOKUP(E45,'IVA COMPRAS'!L:Q,6,0)</f>
        <v>316277.08</v>
      </c>
    </row>
    <row r="46" spans="1:18" s="10" customFormat="1" hidden="1" x14ac:dyDescent="0.3">
      <c r="A46" s="10" t="s">
        <v>834</v>
      </c>
      <c r="B46" s="10" t="s">
        <v>777</v>
      </c>
      <c r="C46" s="11">
        <v>115</v>
      </c>
      <c r="D46" s="11">
        <v>143094</v>
      </c>
      <c r="E46" s="14" t="str">
        <f>CONCATENATE(H46,C46,D46)</f>
        <v>30629646708115143094</v>
      </c>
      <c r="F46" s="11">
        <v>74228431814579</v>
      </c>
      <c r="G46" s="10" t="s">
        <v>778</v>
      </c>
      <c r="H46" s="11">
        <v>30629646708</v>
      </c>
      <c r="I46" s="10" t="s">
        <v>798</v>
      </c>
      <c r="J46" s="11">
        <v>1</v>
      </c>
      <c r="K46" s="10" t="s">
        <v>779</v>
      </c>
      <c r="L46" s="12">
        <v>3695141.24</v>
      </c>
      <c r="M46" s="11">
        <v>0</v>
      </c>
      <c r="N46" s="11">
        <v>0</v>
      </c>
      <c r="O46" s="11">
        <v>0</v>
      </c>
      <c r="P46" s="12">
        <v>775979.66</v>
      </c>
      <c r="Q46" s="12">
        <v>4766732.18</v>
      </c>
      <c r="R46" s="10">
        <f>VLOOKUP(E46,'IVA COMPRAS'!L:Q,6,0)</f>
        <v>4766732.18</v>
      </c>
    </row>
    <row r="47" spans="1:18" s="10" customFormat="1" hidden="1" x14ac:dyDescent="0.3">
      <c r="A47" s="10" t="s">
        <v>834</v>
      </c>
      <c r="B47" s="10" t="s">
        <v>777</v>
      </c>
      <c r="C47" s="11">
        <v>115</v>
      </c>
      <c r="D47" s="11">
        <v>143095</v>
      </c>
      <c r="E47" s="14" t="str">
        <f>CONCATENATE(H47,C47,D47)</f>
        <v>30629646708115143095</v>
      </c>
      <c r="F47" s="11">
        <v>74228431818028</v>
      </c>
      <c r="G47" s="10" t="s">
        <v>778</v>
      </c>
      <c r="H47" s="11">
        <v>30629646708</v>
      </c>
      <c r="I47" s="10" t="s">
        <v>798</v>
      </c>
      <c r="J47" s="11">
        <v>1</v>
      </c>
      <c r="K47" s="10" t="s">
        <v>779</v>
      </c>
      <c r="L47" s="12">
        <v>37651.14</v>
      </c>
      <c r="M47" s="11">
        <v>0</v>
      </c>
      <c r="N47" s="11">
        <v>0</v>
      </c>
      <c r="O47" s="11">
        <v>0</v>
      </c>
      <c r="P47" s="12">
        <v>7906.74</v>
      </c>
      <c r="Q47" s="12">
        <v>46687.41</v>
      </c>
      <c r="R47" s="10">
        <f>VLOOKUP(E47,'IVA COMPRAS'!L:Q,6,0)</f>
        <v>46687.41</v>
      </c>
    </row>
    <row r="48" spans="1:18" s="10" customFormat="1" hidden="1" x14ac:dyDescent="0.3">
      <c r="A48" s="10" t="s">
        <v>838</v>
      </c>
      <c r="B48" s="10" t="s">
        <v>777</v>
      </c>
      <c r="C48" s="11">
        <v>115</v>
      </c>
      <c r="D48" s="11">
        <v>143250</v>
      </c>
      <c r="E48" s="14" t="str">
        <f>CONCATENATE(H48,C48,D48)</f>
        <v>30629646708115143250</v>
      </c>
      <c r="F48" s="11">
        <v>74228662680283</v>
      </c>
      <c r="G48" s="10" t="s">
        <v>778</v>
      </c>
      <c r="H48" s="11">
        <v>30629646708</v>
      </c>
      <c r="I48" s="10" t="s">
        <v>798</v>
      </c>
      <c r="J48" s="11">
        <v>1</v>
      </c>
      <c r="K48" s="10" t="s">
        <v>779</v>
      </c>
      <c r="L48" s="12">
        <v>1316239.19</v>
      </c>
      <c r="M48" s="11">
        <v>0</v>
      </c>
      <c r="N48" s="11">
        <v>0</v>
      </c>
      <c r="O48" s="11">
        <v>0</v>
      </c>
      <c r="P48" s="12">
        <v>276410.23</v>
      </c>
      <c r="Q48" s="12">
        <v>1697948.56</v>
      </c>
      <c r="R48" s="10">
        <f>VLOOKUP(E48,'IVA COMPRAS'!L:Q,6,0)</f>
        <v>1697948.56</v>
      </c>
    </row>
    <row r="49" spans="1:18" s="10" customFormat="1" x14ac:dyDescent="0.3">
      <c r="A49" s="10" t="s">
        <v>840</v>
      </c>
      <c r="B49" s="10" t="s">
        <v>783</v>
      </c>
      <c r="C49" s="11">
        <v>115</v>
      </c>
      <c r="D49" s="11">
        <v>31484</v>
      </c>
      <c r="E49" s="14" t="str">
        <f>CONCATENATE(H49,C49,D49)</f>
        <v>3062964670811531484</v>
      </c>
      <c r="F49" s="11">
        <v>74238199765006</v>
      </c>
      <c r="G49" s="10" t="s">
        <v>778</v>
      </c>
      <c r="H49" s="11">
        <v>30629646708</v>
      </c>
      <c r="I49" s="10" t="s">
        <v>798</v>
      </c>
      <c r="J49" s="11">
        <v>1</v>
      </c>
      <c r="K49" s="10" t="s">
        <v>779</v>
      </c>
      <c r="L49" s="12">
        <v>37651.14</v>
      </c>
      <c r="M49" s="11">
        <v>0</v>
      </c>
      <c r="N49" s="11">
        <v>0</v>
      </c>
      <c r="O49" s="11">
        <v>0</v>
      </c>
      <c r="P49" s="12">
        <v>7906.74</v>
      </c>
      <c r="Q49" s="12">
        <v>-46687.41</v>
      </c>
      <c r="R49" s="10" t="e">
        <f>VLOOKUP(E49,'IVA COMPRAS'!L:Q,6,0)</f>
        <v>#N/A</v>
      </c>
    </row>
    <row r="50" spans="1:18" s="10" customFormat="1" hidden="1" x14ac:dyDescent="0.3">
      <c r="A50" s="10" t="s">
        <v>805</v>
      </c>
      <c r="B50" s="10" t="s">
        <v>777</v>
      </c>
      <c r="C50" s="11">
        <v>1</v>
      </c>
      <c r="D50" s="11">
        <v>97</v>
      </c>
      <c r="E50" s="14" t="str">
        <f>CONCATENATE(H50,C50,D50)</f>
        <v>20301971479197</v>
      </c>
      <c r="F50" s="11">
        <v>74199421929343</v>
      </c>
      <c r="G50" s="10" t="s">
        <v>778</v>
      </c>
      <c r="H50" s="11">
        <v>20301971479</v>
      </c>
      <c r="I50" s="10" t="s">
        <v>247</v>
      </c>
      <c r="J50" s="11">
        <v>1</v>
      </c>
      <c r="K50" s="10" t="s">
        <v>779</v>
      </c>
      <c r="L50" s="11">
        <v>320000</v>
      </c>
      <c r="M50" s="11">
        <v>0</v>
      </c>
      <c r="N50" s="11">
        <v>0</v>
      </c>
      <c r="O50" s="11">
        <v>0</v>
      </c>
      <c r="P50" s="11">
        <v>67200</v>
      </c>
      <c r="Q50" s="11">
        <v>387200</v>
      </c>
      <c r="R50" s="10">
        <f>VLOOKUP(E50,'IVA COMPRAS'!L:Q,6,0)</f>
        <v>387200</v>
      </c>
    </row>
    <row r="51" spans="1:18" s="10" customFormat="1" hidden="1" x14ac:dyDescent="0.3">
      <c r="A51" s="10" t="s">
        <v>820</v>
      </c>
      <c r="B51" s="10" t="s">
        <v>777</v>
      </c>
      <c r="C51" s="11">
        <v>1</v>
      </c>
      <c r="D51" s="11">
        <v>98</v>
      </c>
      <c r="E51" s="14" t="str">
        <f>CONCATENATE(H51,C51,D51)</f>
        <v>20301971479198</v>
      </c>
      <c r="F51" s="11">
        <v>74209324246260</v>
      </c>
      <c r="G51" s="10" t="s">
        <v>778</v>
      </c>
      <c r="H51" s="11">
        <v>20301971479</v>
      </c>
      <c r="I51" s="10" t="s">
        <v>247</v>
      </c>
      <c r="J51" s="11">
        <v>1</v>
      </c>
      <c r="K51" s="10" t="s">
        <v>779</v>
      </c>
      <c r="L51" s="11">
        <v>380000</v>
      </c>
      <c r="M51" s="11">
        <v>0</v>
      </c>
      <c r="N51" s="11">
        <v>0</v>
      </c>
      <c r="O51" s="11">
        <v>0</v>
      </c>
      <c r="P51" s="11">
        <v>79800</v>
      </c>
      <c r="Q51" s="11">
        <v>459800</v>
      </c>
      <c r="R51" s="10">
        <f>VLOOKUP(E51,'IVA COMPRAS'!L:Q,6,0)</f>
        <v>459800</v>
      </c>
    </row>
    <row r="52" spans="1:18" s="10" customFormat="1" hidden="1" x14ac:dyDescent="0.3">
      <c r="A52" s="10" t="s">
        <v>776</v>
      </c>
      <c r="B52" s="10" t="s">
        <v>777</v>
      </c>
      <c r="C52" s="11">
        <v>5</v>
      </c>
      <c r="D52" s="11">
        <v>579401</v>
      </c>
      <c r="E52" s="14" t="str">
        <f>CONCATENATE(H52,C52,D52)</f>
        <v>305000357885579401</v>
      </c>
      <c r="F52" s="11">
        <v>74188605011421</v>
      </c>
      <c r="G52" s="10" t="s">
        <v>778</v>
      </c>
      <c r="H52" s="11">
        <v>30500035788</v>
      </c>
      <c r="I52" s="10" t="s">
        <v>59</v>
      </c>
      <c r="J52" s="11">
        <v>1</v>
      </c>
      <c r="K52" s="10" t="s">
        <v>779</v>
      </c>
      <c r="L52" s="12">
        <v>14850.45</v>
      </c>
      <c r="M52" s="12">
        <v>302.99</v>
      </c>
      <c r="N52" s="11">
        <v>0</v>
      </c>
      <c r="O52" s="11">
        <v>0</v>
      </c>
      <c r="P52" s="12">
        <v>3118.59</v>
      </c>
      <c r="Q52" s="12">
        <v>14850.45</v>
      </c>
      <c r="R52" s="10">
        <f>VLOOKUP(E52,'IVA COMPRAS'!L:Q,6,0)</f>
        <v>14850.45</v>
      </c>
    </row>
    <row r="53" spans="1:18" s="10" customFormat="1" hidden="1" x14ac:dyDescent="0.3">
      <c r="A53" s="10" t="s">
        <v>781</v>
      </c>
      <c r="B53" s="10" t="s">
        <v>784</v>
      </c>
      <c r="C53" s="11">
        <v>1</v>
      </c>
      <c r="D53" s="11">
        <v>32</v>
      </c>
      <c r="E53" s="14" t="str">
        <f>CONCATENATE(H53,C53,D53)</f>
        <v>27444490204132</v>
      </c>
      <c r="F53" s="11">
        <v>74184715717287</v>
      </c>
      <c r="G53" s="10" t="s">
        <v>778</v>
      </c>
      <c r="H53" s="11">
        <v>27444490204</v>
      </c>
      <c r="I53" s="10" t="s">
        <v>101</v>
      </c>
      <c r="J53" s="11">
        <v>1</v>
      </c>
      <c r="K53" s="10" t="s">
        <v>779</v>
      </c>
      <c r="O53" s="11">
        <v>0</v>
      </c>
      <c r="Q53" s="11">
        <v>270000</v>
      </c>
      <c r="R53" s="10">
        <f>VLOOKUP(E53,'IVA COMPRAS'!L:Q,6,0)</f>
        <v>270000</v>
      </c>
    </row>
    <row r="54" spans="1:18" s="10" customFormat="1" hidden="1" x14ac:dyDescent="0.3">
      <c r="A54" s="10" t="s">
        <v>785</v>
      </c>
      <c r="B54" s="10" t="s">
        <v>777</v>
      </c>
      <c r="C54" s="11">
        <v>3</v>
      </c>
      <c r="D54" s="11">
        <v>2239</v>
      </c>
      <c r="E54" s="14" t="str">
        <f>CONCATENATE(H54,C54,D54)</f>
        <v>3071519599932239</v>
      </c>
      <c r="F54" s="11">
        <v>74189838483963</v>
      </c>
      <c r="G54" s="10" t="s">
        <v>778</v>
      </c>
      <c r="H54" s="11">
        <v>30715195999</v>
      </c>
      <c r="I54" s="10" t="s">
        <v>786</v>
      </c>
      <c r="J54" s="11">
        <v>1</v>
      </c>
      <c r="K54" s="10" t="s">
        <v>779</v>
      </c>
      <c r="L54" s="10">
        <v>289179.7</v>
      </c>
      <c r="M54" s="11">
        <v>0</v>
      </c>
      <c r="N54" s="11">
        <v>0</v>
      </c>
      <c r="O54" s="11">
        <v>0</v>
      </c>
      <c r="P54" s="12">
        <v>60727.74</v>
      </c>
      <c r="Q54" s="12">
        <v>349907.44</v>
      </c>
      <c r="R54" s="10">
        <f>VLOOKUP(E54,'IVA COMPRAS'!L:Q,6,0)</f>
        <v>349907.44</v>
      </c>
    </row>
    <row r="55" spans="1:18" s="10" customFormat="1" hidden="1" x14ac:dyDescent="0.3">
      <c r="A55" s="10" t="s">
        <v>785</v>
      </c>
      <c r="B55" s="10" t="s">
        <v>777</v>
      </c>
      <c r="C55" s="11">
        <v>2009</v>
      </c>
      <c r="D55" s="11">
        <v>37406</v>
      </c>
      <c r="E55" s="14" t="str">
        <f>CONCATENATE(H55,C55,D55)</f>
        <v>30700869918200937406</v>
      </c>
      <c r="F55" s="11">
        <v>74188907600135</v>
      </c>
      <c r="G55" s="10" t="s">
        <v>778</v>
      </c>
      <c r="H55" s="11">
        <v>30700869918</v>
      </c>
      <c r="I55" s="10" t="s">
        <v>788</v>
      </c>
      <c r="J55" s="11">
        <v>1</v>
      </c>
      <c r="K55" s="10" t="s">
        <v>779</v>
      </c>
      <c r="L55" s="11">
        <v>4860000</v>
      </c>
      <c r="M55" s="11">
        <v>0</v>
      </c>
      <c r="N55" s="11">
        <v>0</v>
      </c>
      <c r="O55" s="11">
        <v>0</v>
      </c>
      <c r="P55" s="11">
        <v>1020600</v>
      </c>
      <c r="Q55" s="11">
        <v>6269400</v>
      </c>
      <c r="R55" s="10">
        <f>VLOOKUP(E55,'IVA COMPRAS'!L:Q,6,0)</f>
        <v>6269400</v>
      </c>
    </row>
    <row r="56" spans="1:18" s="10" customFormat="1" hidden="1" x14ac:dyDescent="0.3">
      <c r="A56" s="10" t="s">
        <v>785</v>
      </c>
      <c r="B56" s="10" t="s">
        <v>777</v>
      </c>
      <c r="C56" s="11">
        <v>2009</v>
      </c>
      <c r="D56" s="11">
        <v>37407</v>
      </c>
      <c r="E56" s="14" t="str">
        <f>CONCATENATE(H56,C56,D56)</f>
        <v>30700869918200937407</v>
      </c>
      <c r="F56" s="11">
        <v>74188907607674</v>
      </c>
      <c r="G56" s="10" t="s">
        <v>778</v>
      </c>
      <c r="H56" s="11">
        <v>30700869918</v>
      </c>
      <c r="I56" s="10" t="s">
        <v>788</v>
      </c>
      <c r="J56" s="11">
        <v>1</v>
      </c>
      <c r="K56" s="10" t="s">
        <v>779</v>
      </c>
      <c r="L56" s="11">
        <v>12636000</v>
      </c>
      <c r="M56" s="11">
        <v>0</v>
      </c>
      <c r="N56" s="11">
        <v>0</v>
      </c>
      <c r="O56" s="11">
        <v>0</v>
      </c>
      <c r="P56" s="11">
        <v>2653560</v>
      </c>
      <c r="Q56" s="11">
        <v>16300440</v>
      </c>
      <c r="R56" s="10">
        <f>VLOOKUP(E56,'IVA COMPRAS'!L:Q,6,0)</f>
        <v>16300440</v>
      </c>
    </row>
    <row r="57" spans="1:18" s="10" customFormat="1" hidden="1" x14ac:dyDescent="0.3">
      <c r="A57" s="10" t="s">
        <v>785</v>
      </c>
      <c r="B57" s="10" t="s">
        <v>777</v>
      </c>
      <c r="C57" s="11">
        <v>2009</v>
      </c>
      <c r="D57" s="11">
        <v>37405</v>
      </c>
      <c r="E57" s="14" t="str">
        <f>CONCATENATE(H57,C57,D57)</f>
        <v>30700869918200937405</v>
      </c>
      <c r="F57" s="11">
        <v>74188907592467</v>
      </c>
      <c r="G57" s="10" t="s">
        <v>778</v>
      </c>
      <c r="H57" s="11">
        <v>30700869918</v>
      </c>
      <c r="I57" s="10" t="s">
        <v>788</v>
      </c>
      <c r="J57" s="11">
        <v>1</v>
      </c>
      <c r="K57" s="10" t="s">
        <v>779</v>
      </c>
      <c r="L57" s="11">
        <v>1095600</v>
      </c>
      <c r="M57" s="11">
        <v>0</v>
      </c>
      <c r="N57" s="11">
        <v>0</v>
      </c>
      <c r="O57" s="11">
        <v>0</v>
      </c>
      <c r="P57" s="11">
        <v>230076</v>
      </c>
      <c r="Q57" s="11">
        <v>1413324</v>
      </c>
      <c r="R57" s="10">
        <f>VLOOKUP(E57,'IVA COMPRAS'!L:Q,6,0)</f>
        <v>1413324</v>
      </c>
    </row>
    <row r="58" spans="1:18" s="10" customFormat="1" hidden="1" x14ac:dyDescent="0.3">
      <c r="A58" s="10" t="s">
        <v>805</v>
      </c>
      <c r="B58" s="10" t="s">
        <v>777</v>
      </c>
      <c r="C58" s="11">
        <v>2009</v>
      </c>
      <c r="D58" s="11">
        <v>37599</v>
      </c>
      <c r="E58" s="14" t="str">
        <f>CONCATENATE(H58,C58,D58)</f>
        <v>30700869918200937599</v>
      </c>
      <c r="F58" s="11">
        <v>74198445630957</v>
      </c>
      <c r="G58" s="10" t="s">
        <v>778</v>
      </c>
      <c r="H58" s="11">
        <v>30700869918</v>
      </c>
      <c r="I58" s="10" t="s">
        <v>788</v>
      </c>
      <c r="J58" s="11">
        <v>1</v>
      </c>
      <c r="K58" s="10" t="s">
        <v>779</v>
      </c>
      <c r="L58" s="11">
        <v>5478000</v>
      </c>
      <c r="M58" s="11">
        <v>0</v>
      </c>
      <c r="N58" s="11">
        <v>0</v>
      </c>
      <c r="O58" s="11">
        <v>0</v>
      </c>
      <c r="P58" s="11">
        <v>1150380</v>
      </c>
      <c r="Q58" s="11">
        <v>7066620</v>
      </c>
      <c r="R58" s="10">
        <f>VLOOKUP(E58,'IVA COMPRAS'!L:Q,6,0)</f>
        <v>7066620</v>
      </c>
    </row>
    <row r="59" spans="1:18" s="10" customFormat="1" hidden="1" x14ac:dyDescent="0.3">
      <c r="A59" s="10" t="s">
        <v>805</v>
      </c>
      <c r="B59" s="10" t="s">
        <v>777</v>
      </c>
      <c r="C59" s="11">
        <v>2009</v>
      </c>
      <c r="D59" s="11">
        <v>37600</v>
      </c>
      <c r="E59" s="14" t="str">
        <f>CONCATENATE(H59,C59,D59)</f>
        <v>30700869918200937600</v>
      </c>
      <c r="F59" s="11">
        <v>74198445639278</v>
      </c>
      <c r="G59" s="10" t="s">
        <v>778</v>
      </c>
      <c r="H59" s="11">
        <v>30700869918</v>
      </c>
      <c r="I59" s="10" t="s">
        <v>788</v>
      </c>
      <c r="J59" s="11">
        <v>1</v>
      </c>
      <c r="K59" s="10" t="s">
        <v>779</v>
      </c>
      <c r="L59" s="11">
        <v>8800000</v>
      </c>
      <c r="M59" s="11">
        <v>0</v>
      </c>
      <c r="N59" s="11">
        <v>0</v>
      </c>
      <c r="O59" s="11">
        <v>0</v>
      </c>
      <c r="P59" s="11">
        <v>1848000</v>
      </c>
      <c r="Q59" s="11">
        <v>11352000</v>
      </c>
      <c r="R59" s="10">
        <f>VLOOKUP(E59,'IVA COMPRAS'!L:Q,6,0)</f>
        <v>11352000</v>
      </c>
    </row>
    <row r="60" spans="1:18" s="10" customFormat="1" hidden="1" x14ac:dyDescent="0.3">
      <c r="A60" s="10" t="s">
        <v>828</v>
      </c>
      <c r="B60" s="10" t="s">
        <v>777</v>
      </c>
      <c r="C60" s="11">
        <v>2009</v>
      </c>
      <c r="D60" s="11">
        <v>38027</v>
      </c>
      <c r="E60" s="14" t="str">
        <f>CONCATENATE(H60,C60,D60)</f>
        <v>30700869918200938027</v>
      </c>
      <c r="F60" s="11">
        <v>74218948224045</v>
      </c>
      <c r="G60" s="10" t="s">
        <v>778</v>
      </c>
      <c r="H60" s="11">
        <v>30700869918</v>
      </c>
      <c r="I60" s="10" t="s">
        <v>788</v>
      </c>
      <c r="J60" s="11">
        <v>1</v>
      </c>
      <c r="K60" s="10" t="s">
        <v>779</v>
      </c>
      <c r="L60" s="11">
        <v>10560000</v>
      </c>
      <c r="M60" s="11">
        <v>0</v>
      </c>
      <c r="N60" s="11">
        <v>0</v>
      </c>
      <c r="O60" s="11">
        <v>0</v>
      </c>
      <c r="P60" s="11">
        <v>2217600</v>
      </c>
      <c r="Q60" s="11">
        <v>13622400</v>
      </c>
      <c r="R60" s="10">
        <f>VLOOKUP(E60,'IVA COMPRAS'!L:Q,6,0)</f>
        <v>13622400</v>
      </c>
    </row>
    <row r="61" spans="1:18" s="10" customFormat="1" hidden="1" x14ac:dyDescent="0.3">
      <c r="A61" s="10" t="s">
        <v>828</v>
      </c>
      <c r="B61" s="10" t="s">
        <v>777</v>
      </c>
      <c r="C61" s="11">
        <v>2009</v>
      </c>
      <c r="D61" s="11">
        <v>38025</v>
      </c>
      <c r="E61" s="14" t="str">
        <f>CONCATENATE(H61,C61,D61)</f>
        <v>30700869918200938025</v>
      </c>
      <c r="F61" s="11">
        <v>74218948207526</v>
      </c>
      <c r="G61" s="10" t="s">
        <v>778</v>
      </c>
      <c r="H61" s="11">
        <v>30700869918</v>
      </c>
      <c r="I61" s="10" t="s">
        <v>788</v>
      </c>
      <c r="J61" s="11">
        <v>1</v>
      </c>
      <c r="K61" s="10" t="s">
        <v>779</v>
      </c>
      <c r="L61" s="11">
        <v>3286800</v>
      </c>
      <c r="M61" s="11">
        <v>0</v>
      </c>
      <c r="N61" s="11">
        <v>0</v>
      </c>
      <c r="O61" s="11">
        <v>0</v>
      </c>
      <c r="P61" s="11">
        <v>690228</v>
      </c>
      <c r="Q61" s="11">
        <v>4239972</v>
      </c>
      <c r="R61" s="10">
        <f>VLOOKUP(E61,'IVA COMPRAS'!L:Q,6,0)</f>
        <v>4239972</v>
      </c>
    </row>
    <row r="62" spans="1:18" s="10" customFormat="1" hidden="1" x14ac:dyDescent="0.3">
      <c r="A62" s="10" t="s">
        <v>828</v>
      </c>
      <c r="B62" s="10" t="s">
        <v>777</v>
      </c>
      <c r="C62" s="11">
        <v>2009</v>
      </c>
      <c r="D62" s="11">
        <v>38026</v>
      </c>
      <c r="E62" s="14" t="str">
        <f>CONCATENATE(H62,C62,D62)</f>
        <v>30700869918200938026</v>
      </c>
      <c r="F62" s="11">
        <v>74218948217553</v>
      </c>
      <c r="G62" s="10" t="s">
        <v>778</v>
      </c>
      <c r="H62" s="11">
        <v>30700869918</v>
      </c>
      <c r="I62" s="10" t="s">
        <v>788</v>
      </c>
      <c r="J62" s="11">
        <v>1</v>
      </c>
      <c r="K62" s="10" t="s">
        <v>779</v>
      </c>
      <c r="L62" s="11">
        <v>3286800</v>
      </c>
      <c r="M62" s="11">
        <v>0</v>
      </c>
      <c r="N62" s="11">
        <v>0</v>
      </c>
      <c r="O62" s="11">
        <v>0</v>
      </c>
      <c r="P62" s="11">
        <v>690228</v>
      </c>
      <c r="Q62" s="11">
        <v>4239972</v>
      </c>
      <c r="R62" s="10">
        <f>VLOOKUP(E62,'IVA COMPRAS'!L:Q,6,0)</f>
        <v>4239972</v>
      </c>
    </row>
    <row r="63" spans="1:18" s="10" customFormat="1" hidden="1" x14ac:dyDescent="0.3">
      <c r="A63" s="10" t="s">
        <v>832</v>
      </c>
      <c r="B63" s="10" t="s">
        <v>777</v>
      </c>
      <c r="C63" s="11">
        <v>2009</v>
      </c>
      <c r="D63" s="11">
        <v>38114</v>
      </c>
      <c r="E63" s="14" t="str">
        <f>CONCATENATE(H63,C63,D63)</f>
        <v>30700869918200938114</v>
      </c>
      <c r="F63" s="11">
        <v>74218230154494</v>
      </c>
      <c r="G63" s="10" t="s">
        <v>778</v>
      </c>
      <c r="H63" s="11">
        <v>30700869918</v>
      </c>
      <c r="I63" s="10" t="s">
        <v>788</v>
      </c>
      <c r="J63" s="11">
        <v>1</v>
      </c>
      <c r="K63" s="10" t="s">
        <v>779</v>
      </c>
      <c r="L63" s="11">
        <v>10824000</v>
      </c>
      <c r="M63" s="11">
        <v>0</v>
      </c>
      <c r="N63" s="11">
        <v>0</v>
      </c>
      <c r="O63" s="11">
        <v>0</v>
      </c>
      <c r="P63" s="11">
        <v>2273040</v>
      </c>
      <c r="Q63" s="11">
        <v>13962960</v>
      </c>
      <c r="R63" s="10">
        <f>VLOOKUP(E63,'IVA COMPRAS'!L:Q,6,0)</f>
        <v>13962960</v>
      </c>
    </row>
    <row r="64" spans="1:18" s="10" customFormat="1" hidden="1" x14ac:dyDescent="0.3">
      <c r="A64" s="10" t="s">
        <v>838</v>
      </c>
      <c r="B64" s="10" t="s">
        <v>777</v>
      </c>
      <c r="C64" s="11">
        <v>1411</v>
      </c>
      <c r="D64" s="11">
        <v>6735</v>
      </c>
      <c r="E64" s="14" t="str">
        <f>CONCATENATE(H64,C64,D64)</f>
        <v>3053774574214116735</v>
      </c>
      <c r="F64" s="11">
        <v>74222631605390</v>
      </c>
      <c r="G64" s="10" t="s">
        <v>778</v>
      </c>
      <c r="H64" s="11">
        <v>30537745742</v>
      </c>
      <c r="I64" s="10" t="s">
        <v>560</v>
      </c>
      <c r="J64" s="11">
        <v>1</v>
      </c>
      <c r="K64" s="10" t="s">
        <v>779</v>
      </c>
      <c r="L64" s="12">
        <v>149747.62</v>
      </c>
      <c r="O64" s="11">
        <v>0</v>
      </c>
      <c r="P64" s="11">
        <v>31447</v>
      </c>
      <c r="Q64" s="12">
        <v>188681.99</v>
      </c>
      <c r="R64" s="10">
        <f>VLOOKUP(E64,'IVA COMPRAS'!L:Q,6,0)</f>
        <v>188681.99</v>
      </c>
    </row>
    <row r="65" spans="1:18" s="10" customFormat="1" hidden="1" x14ac:dyDescent="0.3">
      <c r="A65" s="10" t="s">
        <v>818</v>
      </c>
      <c r="B65" s="10" t="s">
        <v>777</v>
      </c>
      <c r="C65" s="11">
        <v>1</v>
      </c>
      <c r="D65" s="11">
        <v>863</v>
      </c>
      <c r="E65" s="14" t="str">
        <f>CONCATENATE(H65,C65,D65)</f>
        <v>272808246451863</v>
      </c>
      <c r="F65" s="11">
        <v>74205011423268</v>
      </c>
      <c r="G65" s="10" t="s">
        <v>778</v>
      </c>
      <c r="H65" s="11">
        <v>27280824645</v>
      </c>
      <c r="I65" s="10" t="s">
        <v>317</v>
      </c>
      <c r="J65" s="11">
        <v>1</v>
      </c>
      <c r="K65" s="10" t="s">
        <v>779</v>
      </c>
      <c r="L65" s="11">
        <v>4416000</v>
      </c>
      <c r="M65" s="11">
        <v>0</v>
      </c>
      <c r="N65" s="11">
        <v>0</v>
      </c>
      <c r="O65" s="11">
        <v>0</v>
      </c>
      <c r="P65" s="11">
        <v>927360</v>
      </c>
      <c r="Q65" s="11">
        <v>5343360</v>
      </c>
      <c r="R65" s="10">
        <f>VLOOKUP(E65,'IVA COMPRAS'!L:Q,6,0)</f>
        <v>5343360</v>
      </c>
    </row>
    <row r="66" spans="1:18" s="10" customFormat="1" hidden="1" x14ac:dyDescent="0.3">
      <c r="A66" s="10" t="s">
        <v>785</v>
      </c>
      <c r="B66" s="10" t="s">
        <v>777</v>
      </c>
      <c r="C66" s="11">
        <v>539</v>
      </c>
      <c r="D66" s="11">
        <v>40432</v>
      </c>
      <c r="E66" s="14" t="str">
        <f>CONCATENATE(H66,C66,D66)</f>
        <v>3066319759953940432</v>
      </c>
      <c r="F66" s="11">
        <v>74189830777640</v>
      </c>
      <c r="G66" s="10" t="s">
        <v>778</v>
      </c>
      <c r="H66" s="11">
        <v>30663197599</v>
      </c>
      <c r="I66" s="10" t="s">
        <v>143</v>
      </c>
      <c r="J66" s="11">
        <v>1</v>
      </c>
      <c r="K66" s="10" t="s">
        <v>779</v>
      </c>
      <c r="L66" s="12">
        <v>549623.29</v>
      </c>
      <c r="O66" s="11">
        <v>0</v>
      </c>
      <c r="P66" s="12">
        <v>115420.89</v>
      </c>
      <c r="Q66" s="12">
        <v>676036.65</v>
      </c>
      <c r="R66" s="10">
        <f>VLOOKUP(E66,'IVA COMPRAS'!L:Q,6,0)</f>
        <v>676036.66</v>
      </c>
    </row>
    <row r="67" spans="1:18" s="10" customFormat="1" hidden="1" x14ac:dyDescent="0.3">
      <c r="A67" s="10" t="s">
        <v>810</v>
      </c>
      <c r="B67" s="10" t="s">
        <v>777</v>
      </c>
      <c r="C67" s="11">
        <v>539</v>
      </c>
      <c r="D67" s="11">
        <v>40564</v>
      </c>
      <c r="E67" s="14" t="str">
        <f>CONCATENATE(H67,C67,D67)</f>
        <v>3066319759953940564</v>
      </c>
      <c r="F67" s="11">
        <v>74199626279533</v>
      </c>
      <c r="G67" s="10" t="s">
        <v>778</v>
      </c>
      <c r="H67" s="11">
        <v>30663197599</v>
      </c>
      <c r="I67" s="10" t="s">
        <v>143</v>
      </c>
      <c r="J67" s="11">
        <v>1</v>
      </c>
      <c r="K67" s="10" t="s">
        <v>779</v>
      </c>
      <c r="L67" s="10">
        <v>757721.9</v>
      </c>
      <c r="O67" s="11">
        <v>0</v>
      </c>
      <c r="P67" s="10">
        <v>159121.60000000001</v>
      </c>
      <c r="Q67" s="12">
        <v>931997.94</v>
      </c>
      <c r="R67" s="10">
        <f>VLOOKUP(E67,'IVA COMPRAS'!L:Q,6,0)</f>
        <v>931997.93</v>
      </c>
    </row>
    <row r="68" spans="1:18" s="10" customFormat="1" hidden="1" x14ac:dyDescent="0.3">
      <c r="A68" s="10" t="s">
        <v>823</v>
      </c>
      <c r="B68" s="10" t="s">
        <v>777</v>
      </c>
      <c r="C68" s="11">
        <v>539</v>
      </c>
      <c r="D68" s="11">
        <v>40730</v>
      </c>
      <c r="E68" s="14" t="str">
        <f>CONCATENATE(H68,C68,D68)</f>
        <v>3066319759953940730</v>
      </c>
      <c r="F68" s="11">
        <v>74209432538039</v>
      </c>
      <c r="G68" s="10" t="s">
        <v>778</v>
      </c>
      <c r="H68" s="11">
        <v>30663197599</v>
      </c>
      <c r="I68" s="10" t="s">
        <v>143</v>
      </c>
      <c r="J68" s="11">
        <v>1</v>
      </c>
      <c r="K68" s="10" t="s">
        <v>779</v>
      </c>
      <c r="L68" s="12">
        <v>951634.95</v>
      </c>
      <c r="O68" s="11">
        <v>0</v>
      </c>
      <c r="P68" s="12">
        <v>199843.34</v>
      </c>
      <c r="Q68" s="12">
        <v>1170510.98</v>
      </c>
      <c r="R68" s="10">
        <f>VLOOKUP(E68,'IVA COMPRAS'!L:Q,6,0)</f>
        <v>1170510.99</v>
      </c>
    </row>
    <row r="69" spans="1:18" s="10" customFormat="1" hidden="1" x14ac:dyDescent="0.3">
      <c r="A69" s="10" t="s">
        <v>834</v>
      </c>
      <c r="B69" s="10" t="s">
        <v>777</v>
      </c>
      <c r="C69" s="11">
        <v>539</v>
      </c>
      <c r="D69" s="11">
        <v>40950</v>
      </c>
      <c r="E69" s="14" t="str">
        <f>CONCATENATE(H69,C69,D69)</f>
        <v>3066319759953940950</v>
      </c>
      <c r="F69" s="11">
        <v>74229420243823</v>
      </c>
      <c r="G69" s="10" t="s">
        <v>778</v>
      </c>
      <c r="H69" s="11">
        <v>30663197599</v>
      </c>
      <c r="I69" s="10" t="s">
        <v>143</v>
      </c>
      <c r="J69" s="11">
        <v>1</v>
      </c>
      <c r="K69" s="10" t="s">
        <v>779</v>
      </c>
      <c r="L69" s="12">
        <v>759763.48</v>
      </c>
      <c r="O69" s="11">
        <v>0</v>
      </c>
      <c r="P69" s="12">
        <v>159550.32999999999</v>
      </c>
      <c r="Q69" s="12">
        <v>934509.06</v>
      </c>
      <c r="R69" s="10">
        <f>VLOOKUP(E69,'IVA COMPRAS'!L:Q,6,0)</f>
        <v>934509.08</v>
      </c>
    </row>
    <row r="70" spans="1:18" s="10" customFormat="1" hidden="1" x14ac:dyDescent="0.3">
      <c r="A70" s="10" t="s">
        <v>781</v>
      </c>
      <c r="B70" s="10" t="s">
        <v>777</v>
      </c>
      <c r="C70" s="11">
        <v>20</v>
      </c>
      <c r="D70" s="11">
        <v>152753</v>
      </c>
      <c r="E70" s="14" t="str">
        <f>CONCATENATE(H70,C70,D70)</f>
        <v>3064661852120152753</v>
      </c>
      <c r="F70" s="11">
        <v>74181661558022</v>
      </c>
      <c r="G70" s="10" t="s">
        <v>778</v>
      </c>
      <c r="H70" s="11">
        <v>30646618521</v>
      </c>
      <c r="I70" s="10" t="s">
        <v>80</v>
      </c>
      <c r="J70" s="11">
        <v>1</v>
      </c>
      <c r="K70" s="10" t="s">
        <v>779</v>
      </c>
      <c r="L70" s="12">
        <v>7450417.1500000004</v>
      </c>
      <c r="M70" s="11">
        <v>0</v>
      </c>
      <c r="N70" s="11">
        <v>0</v>
      </c>
      <c r="O70" s="11">
        <v>0</v>
      </c>
      <c r="P70" s="10">
        <v>1564587.6</v>
      </c>
      <c r="Q70" s="12">
        <v>9238517.2599999998</v>
      </c>
      <c r="R70" s="10">
        <f>VLOOKUP(E70,'IVA COMPRAS'!L:Q,6,0)</f>
        <v>9238517.2599999998</v>
      </c>
    </row>
    <row r="71" spans="1:18" s="10" customFormat="1" hidden="1" x14ac:dyDescent="0.3">
      <c r="A71" s="10" t="s">
        <v>820</v>
      </c>
      <c r="B71" s="10" t="s">
        <v>777</v>
      </c>
      <c r="C71" s="11">
        <v>20</v>
      </c>
      <c r="D71" s="11">
        <v>153760</v>
      </c>
      <c r="E71" s="14" t="str">
        <f>CONCATENATE(H71,C71,D71)</f>
        <v>3064661852120153760</v>
      </c>
      <c r="F71" s="11">
        <v>74201269323244</v>
      </c>
      <c r="G71" s="10" t="s">
        <v>778</v>
      </c>
      <c r="H71" s="11">
        <v>30646618521</v>
      </c>
      <c r="I71" s="10" t="s">
        <v>80</v>
      </c>
      <c r="J71" s="11">
        <v>1</v>
      </c>
      <c r="K71" s="10" t="s">
        <v>779</v>
      </c>
      <c r="L71" s="12">
        <v>4889335.68</v>
      </c>
      <c r="M71" s="11">
        <v>0</v>
      </c>
      <c r="N71" s="11">
        <v>0</v>
      </c>
      <c r="O71" s="11">
        <v>0</v>
      </c>
      <c r="P71" s="12">
        <v>1026760.49</v>
      </c>
      <c r="Q71" s="12">
        <v>6062776.2400000002</v>
      </c>
      <c r="R71" s="10">
        <f>VLOOKUP(E71,'IVA COMPRAS'!L:Q,6,0)</f>
        <v>6062776.2400000002</v>
      </c>
    </row>
    <row r="72" spans="1:18" s="10" customFormat="1" hidden="1" x14ac:dyDescent="0.3">
      <c r="A72" s="10" t="s">
        <v>838</v>
      </c>
      <c r="B72" s="10" t="s">
        <v>783</v>
      </c>
      <c r="C72" s="11">
        <v>28</v>
      </c>
      <c r="D72" s="11">
        <v>951</v>
      </c>
      <c r="E72" s="14" t="str">
        <f>CONCATENATE(H72,C72,D72)</f>
        <v>3064661852128951</v>
      </c>
      <c r="F72" s="11">
        <v>74221662371328</v>
      </c>
      <c r="G72" s="10" t="s">
        <v>778</v>
      </c>
      <c r="H72" s="11">
        <v>30646618521</v>
      </c>
      <c r="I72" s="10" t="s">
        <v>80</v>
      </c>
      <c r="J72" s="11">
        <v>1</v>
      </c>
      <c r="K72" s="10" t="s">
        <v>779</v>
      </c>
      <c r="L72" s="12">
        <v>195573.43</v>
      </c>
      <c r="M72" s="11">
        <v>0</v>
      </c>
      <c r="N72" s="11">
        <v>0</v>
      </c>
      <c r="O72" s="11">
        <v>0</v>
      </c>
      <c r="P72" s="12">
        <v>41070.42</v>
      </c>
      <c r="Q72" s="12">
        <v>236643.85</v>
      </c>
      <c r="R72" s="10">
        <f>VLOOKUP(E72,'IVA COMPRAS'!L:Q,6,0)</f>
        <v>-236643.85</v>
      </c>
    </row>
    <row r="73" spans="1:18" s="10" customFormat="1" hidden="1" x14ac:dyDescent="0.3">
      <c r="A73" s="10" t="s">
        <v>809</v>
      </c>
      <c r="B73" s="10" t="s">
        <v>777</v>
      </c>
      <c r="C73" s="11">
        <v>1</v>
      </c>
      <c r="D73" s="11">
        <v>8370</v>
      </c>
      <c r="E73" s="14" t="str">
        <f>CONCATENATE(H73,C73,D73)</f>
        <v>3071662311018370</v>
      </c>
      <c r="F73" s="11">
        <v>74190534068618</v>
      </c>
      <c r="G73" s="10" t="s">
        <v>778</v>
      </c>
      <c r="H73" s="11">
        <v>30716623110</v>
      </c>
      <c r="I73" s="10" t="s">
        <v>277</v>
      </c>
      <c r="J73" s="11">
        <v>1</v>
      </c>
      <c r="K73" s="10" t="s">
        <v>779</v>
      </c>
      <c r="L73" s="10">
        <v>23049.8</v>
      </c>
      <c r="M73" s="11">
        <v>0</v>
      </c>
      <c r="N73" s="11">
        <v>0</v>
      </c>
      <c r="O73" s="11">
        <v>0</v>
      </c>
      <c r="P73" s="12">
        <v>2420.23</v>
      </c>
      <c r="Q73" s="12">
        <v>25470.03</v>
      </c>
      <c r="R73" s="10">
        <f>VLOOKUP(E73,'IVA COMPRAS'!L:Q,6,0)</f>
        <v>25470.03</v>
      </c>
    </row>
    <row r="74" spans="1:18" s="10" customFormat="1" hidden="1" x14ac:dyDescent="0.3">
      <c r="A74" s="10" t="s">
        <v>794</v>
      </c>
      <c r="B74" s="10" t="s">
        <v>777</v>
      </c>
      <c r="C74" s="11">
        <v>8279</v>
      </c>
      <c r="D74" s="11">
        <v>2944</v>
      </c>
      <c r="E74" s="14" t="str">
        <f>CONCATENATE(H74,C74,D74)</f>
        <v>3059036076382792944</v>
      </c>
      <c r="F74" s="11">
        <v>74183051563242</v>
      </c>
      <c r="G74" s="10" t="s">
        <v>778</v>
      </c>
      <c r="H74" s="11">
        <v>30590360763</v>
      </c>
      <c r="I74" s="10" t="s">
        <v>178</v>
      </c>
      <c r="J74" s="11">
        <v>1</v>
      </c>
      <c r="K74" s="10" t="s">
        <v>779</v>
      </c>
      <c r="L74" s="12">
        <v>85574.38</v>
      </c>
      <c r="M74" s="11">
        <v>0</v>
      </c>
      <c r="N74" s="11">
        <v>0</v>
      </c>
      <c r="O74" s="11">
        <v>0</v>
      </c>
      <c r="P74" s="12">
        <v>17970.62</v>
      </c>
      <c r="Q74" s="12">
        <v>110390.95</v>
      </c>
      <c r="R74" s="10">
        <f>VLOOKUP(E74,'IVA COMPRAS'!L:Q,6,0)</f>
        <v>110390.95</v>
      </c>
    </row>
    <row r="75" spans="1:18" s="10" customFormat="1" hidden="1" x14ac:dyDescent="0.3">
      <c r="A75" s="10" t="s">
        <v>776</v>
      </c>
      <c r="B75" s="10" t="s">
        <v>777</v>
      </c>
      <c r="C75" s="11">
        <v>3</v>
      </c>
      <c r="D75" s="11">
        <v>227267</v>
      </c>
      <c r="E75" s="14" t="str">
        <f>CONCATENATE(H75,C75,D75)</f>
        <v>307071355963227267</v>
      </c>
      <c r="F75" s="11">
        <v>74186606234351</v>
      </c>
      <c r="G75" s="10" t="s">
        <v>778</v>
      </c>
      <c r="H75" s="11">
        <v>30707135596</v>
      </c>
      <c r="I75" s="10" t="s">
        <v>55</v>
      </c>
      <c r="J75" s="11">
        <v>1</v>
      </c>
      <c r="K75" s="10" t="s">
        <v>779</v>
      </c>
      <c r="L75" s="12">
        <v>82021.649999999994</v>
      </c>
      <c r="M75" s="11">
        <v>0</v>
      </c>
      <c r="N75" s="11">
        <v>0</v>
      </c>
      <c r="O75" s="11">
        <v>0</v>
      </c>
      <c r="P75" s="12">
        <v>17224.55</v>
      </c>
      <c r="Q75" s="12">
        <v>100886.63</v>
      </c>
      <c r="R75" s="10">
        <f>VLOOKUP(E75,'IVA COMPRAS'!L:Q,6,0)</f>
        <v>100886.63</v>
      </c>
    </row>
    <row r="76" spans="1:18" s="10" customFormat="1" hidden="1" x14ac:dyDescent="0.3">
      <c r="A76" s="10" t="s">
        <v>805</v>
      </c>
      <c r="B76" s="10" t="s">
        <v>777</v>
      </c>
      <c r="C76" s="11">
        <v>601</v>
      </c>
      <c r="D76" s="11">
        <v>262572</v>
      </c>
      <c r="E76" s="14" t="str">
        <f>CONCATENATE(H76,C76,D76)</f>
        <v>30525390086601262572</v>
      </c>
      <c r="F76" s="11">
        <v>34176940110276</v>
      </c>
      <c r="G76" s="10" t="s">
        <v>778</v>
      </c>
      <c r="H76" s="11">
        <v>30525390086</v>
      </c>
      <c r="I76" s="10" t="s">
        <v>259</v>
      </c>
      <c r="J76" s="11">
        <v>1</v>
      </c>
      <c r="K76" s="10" t="s">
        <v>779</v>
      </c>
      <c r="L76" s="12">
        <v>3786401.24</v>
      </c>
      <c r="M76" s="11">
        <v>0</v>
      </c>
      <c r="N76" s="11">
        <v>0</v>
      </c>
      <c r="O76" s="11">
        <v>0</v>
      </c>
      <c r="P76" s="12">
        <v>795144.26</v>
      </c>
      <c r="Q76" s="12">
        <v>4837880.12</v>
      </c>
      <c r="R76" s="10">
        <f>VLOOKUP(E76,'IVA COMPRAS'!L:Q,6,0)</f>
        <v>4837880.12</v>
      </c>
    </row>
    <row r="77" spans="1:18" s="10" customFormat="1" hidden="1" x14ac:dyDescent="0.3">
      <c r="A77" s="10" t="s">
        <v>805</v>
      </c>
      <c r="B77" s="10" t="s">
        <v>777</v>
      </c>
      <c r="C77" s="11">
        <v>601</v>
      </c>
      <c r="D77" s="11">
        <v>262573</v>
      </c>
      <c r="E77" s="14" t="str">
        <f>CONCATENATE(H77,C77,D77)</f>
        <v>30525390086601262573</v>
      </c>
      <c r="F77" s="11">
        <v>34176940110276</v>
      </c>
      <c r="G77" s="10" t="s">
        <v>778</v>
      </c>
      <c r="H77" s="11">
        <v>30525390086</v>
      </c>
      <c r="I77" s="10" t="s">
        <v>259</v>
      </c>
      <c r="J77" s="11">
        <v>1</v>
      </c>
      <c r="K77" s="10" t="s">
        <v>779</v>
      </c>
      <c r="L77" s="12">
        <v>4787965.33</v>
      </c>
      <c r="M77" s="11">
        <v>0</v>
      </c>
      <c r="N77" s="11">
        <v>0</v>
      </c>
      <c r="O77" s="11">
        <v>0</v>
      </c>
      <c r="P77" s="12">
        <v>1005472.72</v>
      </c>
      <c r="Q77" s="12">
        <v>6298745.3899999997</v>
      </c>
      <c r="R77" s="10">
        <f>VLOOKUP(E77,'IVA COMPRAS'!L:Q,6,0)</f>
        <v>6298745.3899999997</v>
      </c>
    </row>
    <row r="78" spans="1:18" s="10" customFormat="1" hidden="1" x14ac:dyDescent="0.3">
      <c r="A78" s="10" t="s">
        <v>819</v>
      </c>
      <c r="B78" s="10" t="s">
        <v>777</v>
      </c>
      <c r="C78" s="11">
        <v>601</v>
      </c>
      <c r="D78" s="11">
        <v>262963</v>
      </c>
      <c r="E78" s="14" t="str">
        <f>CONCATENATE(H78,C78,D78)</f>
        <v>30525390086601262963</v>
      </c>
      <c r="F78" s="11">
        <v>34176940110276</v>
      </c>
      <c r="G78" s="10" t="s">
        <v>778</v>
      </c>
      <c r="H78" s="11">
        <v>30525390086</v>
      </c>
      <c r="I78" s="10" t="s">
        <v>259</v>
      </c>
      <c r="J78" s="11">
        <v>1</v>
      </c>
      <c r="K78" s="10" t="s">
        <v>779</v>
      </c>
      <c r="L78" s="12">
        <v>1288013.71</v>
      </c>
      <c r="M78" s="11">
        <v>0</v>
      </c>
      <c r="N78" s="11">
        <v>0</v>
      </c>
      <c r="O78" s="11">
        <v>0</v>
      </c>
      <c r="P78" s="12">
        <v>270482.88</v>
      </c>
      <c r="Q78" s="12">
        <v>1699490.71</v>
      </c>
      <c r="R78" s="10">
        <f>VLOOKUP(E78,'IVA COMPRAS'!L:Q,6,0)</f>
        <v>1699490.71</v>
      </c>
    </row>
    <row r="79" spans="1:18" s="10" customFormat="1" hidden="1" x14ac:dyDescent="0.3">
      <c r="A79" s="10" t="s">
        <v>828</v>
      </c>
      <c r="B79" s="10" t="s">
        <v>777</v>
      </c>
      <c r="C79" s="11">
        <v>601</v>
      </c>
      <c r="D79" s="11">
        <v>263502</v>
      </c>
      <c r="E79" s="14" t="str">
        <f>CONCATENATE(H79,C79,D79)</f>
        <v>30525390086601263502</v>
      </c>
      <c r="F79" s="11">
        <v>34196907007129</v>
      </c>
      <c r="G79" s="10" t="s">
        <v>778</v>
      </c>
      <c r="H79" s="11">
        <v>30525390086</v>
      </c>
      <c r="I79" s="10" t="s">
        <v>259</v>
      </c>
      <c r="J79" s="11">
        <v>1</v>
      </c>
      <c r="K79" s="10" t="s">
        <v>779</v>
      </c>
      <c r="L79" s="12">
        <v>559739.94999999995</v>
      </c>
      <c r="M79" s="11">
        <v>0</v>
      </c>
      <c r="N79" s="11">
        <v>0</v>
      </c>
      <c r="O79" s="11">
        <v>0</v>
      </c>
      <c r="P79" s="12">
        <v>117545.39</v>
      </c>
      <c r="Q79" s="12">
        <v>743649.37</v>
      </c>
      <c r="R79" s="10">
        <f>VLOOKUP(E79,'IVA COMPRAS'!L:Q,6,0)</f>
        <v>743649.37</v>
      </c>
    </row>
    <row r="80" spans="1:18" s="10" customFormat="1" x14ac:dyDescent="0.3">
      <c r="A80" s="10" t="s">
        <v>828</v>
      </c>
      <c r="B80" s="10" t="s">
        <v>783</v>
      </c>
      <c r="C80" s="11">
        <v>603</v>
      </c>
      <c r="D80" s="11">
        <v>56864</v>
      </c>
      <c r="E80" s="14" t="str">
        <f>CONCATENATE(H80,C80,D80)</f>
        <v>3052539008660356864</v>
      </c>
      <c r="F80" s="11">
        <v>34196907007129</v>
      </c>
      <c r="G80" s="10" t="s">
        <v>778</v>
      </c>
      <c r="H80" s="11">
        <v>30525390086</v>
      </c>
      <c r="I80" s="10" t="s">
        <v>259</v>
      </c>
      <c r="J80" s="11">
        <v>1</v>
      </c>
      <c r="K80" s="10" t="s">
        <v>779</v>
      </c>
      <c r="L80" s="12">
        <v>5351.62</v>
      </c>
      <c r="M80" s="11">
        <v>0</v>
      </c>
      <c r="N80" s="11">
        <v>0</v>
      </c>
      <c r="O80" s="11">
        <v>0</v>
      </c>
      <c r="P80" s="12">
        <v>1123.8399999999999</v>
      </c>
      <c r="Q80" s="10">
        <v>-7101.4</v>
      </c>
      <c r="R80" s="10" t="e">
        <f>VLOOKUP(E80,'IVA COMPRAS'!L:Q,6,0)</f>
        <v>#N/A</v>
      </c>
    </row>
    <row r="81" spans="1:18" s="10" customFormat="1" hidden="1" x14ac:dyDescent="0.3">
      <c r="A81" s="10" t="s">
        <v>831</v>
      </c>
      <c r="B81" s="10" t="s">
        <v>777</v>
      </c>
      <c r="C81" s="11">
        <v>601</v>
      </c>
      <c r="D81" s="11">
        <v>263620</v>
      </c>
      <c r="E81" s="14" t="str">
        <f>CONCATENATE(H81,C81,D81)</f>
        <v>30525390086601263620</v>
      </c>
      <c r="F81" s="11">
        <v>34196907007129</v>
      </c>
      <c r="G81" s="10" t="s">
        <v>778</v>
      </c>
      <c r="H81" s="11">
        <v>30525390086</v>
      </c>
      <c r="I81" s="10" t="s">
        <v>259</v>
      </c>
      <c r="J81" s="11">
        <v>1</v>
      </c>
      <c r="K81" s="10" t="s">
        <v>779</v>
      </c>
      <c r="L81" s="12">
        <v>5465598.1399999997</v>
      </c>
      <c r="M81" s="11">
        <v>0</v>
      </c>
      <c r="N81" s="11">
        <v>0</v>
      </c>
      <c r="O81" s="11">
        <v>0</v>
      </c>
      <c r="P81" s="12">
        <v>1147775.6100000001</v>
      </c>
      <c r="Q81" s="12">
        <v>7332730.1399999997</v>
      </c>
      <c r="R81" s="10">
        <f>VLOOKUP(E81,'IVA COMPRAS'!L:Q,6,0)</f>
        <v>7332730.1399999997</v>
      </c>
    </row>
    <row r="82" spans="1:18" s="10" customFormat="1" hidden="1" x14ac:dyDescent="0.3">
      <c r="A82" s="10" t="s">
        <v>831</v>
      </c>
      <c r="B82" s="10" t="s">
        <v>777</v>
      </c>
      <c r="C82" s="11">
        <v>601</v>
      </c>
      <c r="D82" s="11">
        <v>263621</v>
      </c>
      <c r="E82" s="14" t="str">
        <f>CONCATENATE(H82,C82,D82)</f>
        <v>30525390086601263621</v>
      </c>
      <c r="F82" s="11">
        <v>34196907007129</v>
      </c>
      <c r="G82" s="10" t="s">
        <v>778</v>
      </c>
      <c r="H82" s="11">
        <v>30525390086</v>
      </c>
      <c r="I82" s="10" t="s">
        <v>259</v>
      </c>
      <c r="J82" s="11">
        <v>1</v>
      </c>
      <c r="K82" s="10" t="s">
        <v>779</v>
      </c>
      <c r="L82" s="12">
        <v>5237889.1399999997</v>
      </c>
      <c r="M82" s="11">
        <v>0</v>
      </c>
      <c r="N82" s="11">
        <v>0</v>
      </c>
      <c r="O82" s="11">
        <v>0</v>
      </c>
      <c r="P82" s="12">
        <v>1099956.72</v>
      </c>
      <c r="Q82" s="12">
        <v>6864082.0499999998</v>
      </c>
      <c r="R82" s="10">
        <f>VLOOKUP(E82,'IVA COMPRAS'!L:Q,6,0)</f>
        <v>6864082.0499999998</v>
      </c>
    </row>
    <row r="83" spans="1:18" s="10" customFormat="1" x14ac:dyDescent="0.3">
      <c r="A83" s="10" t="s">
        <v>831</v>
      </c>
      <c r="B83" s="10" t="s">
        <v>783</v>
      </c>
      <c r="C83" s="11">
        <v>603</v>
      </c>
      <c r="D83" s="11">
        <v>56916</v>
      </c>
      <c r="E83" s="14" t="str">
        <f>CONCATENATE(H83,C83,D83)</f>
        <v>3052539008660356916</v>
      </c>
      <c r="F83" s="11">
        <v>34196907007129</v>
      </c>
      <c r="G83" s="10" t="s">
        <v>778</v>
      </c>
      <c r="H83" s="11">
        <v>30525390086</v>
      </c>
      <c r="I83" s="10" t="s">
        <v>259</v>
      </c>
      <c r="J83" s="11">
        <v>1</v>
      </c>
      <c r="K83" s="10" t="s">
        <v>779</v>
      </c>
      <c r="L83" s="10">
        <v>10363.1</v>
      </c>
      <c r="M83" s="11">
        <v>0</v>
      </c>
      <c r="N83" s="11">
        <v>0</v>
      </c>
      <c r="O83" s="11">
        <v>0</v>
      </c>
      <c r="P83" s="12">
        <v>2176.25</v>
      </c>
      <c r="Q83" s="12">
        <v>-13751.39</v>
      </c>
      <c r="R83" s="10" t="e">
        <f>VLOOKUP(E83,'IVA COMPRAS'!L:Q,6,0)</f>
        <v>#N/A</v>
      </c>
    </row>
    <row r="84" spans="1:18" s="10" customFormat="1" x14ac:dyDescent="0.3">
      <c r="A84" s="10" t="s">
        <v>831</v>
      </c>
      <c r="B84" s="10" t="s">
        <v>783</v>
      </c>
      <c r="C84" s="11">
        <v>603</v>
      </c>
      <c r="D84" s="11">
        <v>56917</v>
      </c>
      <c r="E84" s="14" t="str">
        <f>CONCATENATE(H84,C84,D84)</f>
        <v>3052539008660356917</v>
      </c>
      <c r="F84" s="11">
        <v>34196907007129</v>
      </c>
      <c r="G84" s="10" t="s">
        <v>778</v>
      </c>
      <c r="H84" s="11">
        <v>30525390086</v>
      </c>
      <c r="I84" s="10" t="s">
        <v>259</v>
      </c>
      <c r="J84" s="11">
        <v>1</v>
      </c>
      <c r="K84" s="10" t="s">
        <v>779</v>
      </c>
      <c r="L84" s="12">
        <v>5545.33</v>
      </c>
      <c r="M84" s="11">
        <v>0</v>
      </c>
      <c r="N84" s="11">
        <v>0</v>
      </c>
      <c r="O84" s="11">
        <v>0</v>
      </c>
      <c r="P84" s="12">
        <v>1164.52</v>
      </c>
      <c r="Q84" s="12">
        <v>-7107.25</v>
      </c>
      <c r="R84" s="10" t="e">
        <f>VLOOKUP(E84,'IVA COMPRAS'!L:Q,6,0)</f>
        <v>#N/A</v>
      </c>
    </row>
    <row r="85" spans="1:18" s="10" customFormat="1" hidden="1" x14ac:dyDescent="0.3">
      <c r="A85" s="10" t="s">
        <v>831</v>
      </c>
      <c r="B85" s="10" t="s">
        <v>783</v>
      </c>
      <c r="C85" s="11">
        <v>7</v>
      </c>
      <c r="D85" s="11">
        <v>359</v>
      </c>
      <c r="E85" s="14" t="str">
        <f>CONCATENATE(H85,C85,D85)</f>
        <v>307083059167359</v>
      </c>
      <c r="F85" s="11">
        <v>74216035178385</v>
      </c>
      <c r="G85" s="10" t="s">
        <v>778</v>
      </c>
      <c r="H85" s="11">
        <v>30708305916</v>
      </c>
      <c r="I85" s="10" t="s">
        <v>481</v>
      </c>
      <c r="J85" s="11">
        <v>1</v>
      </c>
      <c r="K85" s="10" t="s">
        <v>779</v>
      </c>
      <c r="L85" s="11">
        <v>5120</v>
      </c>
      <c r="M85" s="11">
        <v>0</v>
      </c>
      <c r="N85" s="11">
        <v>0</v>
      </c>
      <c r="O85" s="11">
        <v>0</v>
      </c>
      <c r="P85" s="10">
        <v>1075.2</v>
      </c>
      <c r="Q85" s="10">
        <v>6195.2</v>
      </c>
      <c r="R85" s="10">
        <f>VLOOKUP(E85,'IVA COMPRAS'!L:Q,6,0)</f>
        <v>-6195.2</v>
      </c>
    </row>
    <row r="86" spans="1:18" s="10" customFormat="1" hidden="1" x14ac:dyDescent="0.3">
      <c r="A86" s="10" t="s">
        <v>781</v>
      </c>
      <c r="B86" s="10" t="s">
        <v>777</v>
      </c>
      <c r="C86" s="11">
        <v>46</v>
      </c>
      <c r="D86" s="11">
        <v>400220</v>
      </c>
      <c r="E86" s="14" t="str">
        <f>CONCATENATE(H86,C86,D86)</f>
        <v>3053214979346400220</v>
      </c>
      <c r="F86" s="11">
        <v>34173886474450</v>
      </c>
      <c r="G86" s="10" t="s">
        <v>778</v>
      </c>
      <c r="H86" s="11">
        <v>30532149793</v>
      </c>
      <c r="I86" s="10" t="s">
        <v>83</v>
      </c>
      <c r="J86" s="11">
        <v>1</v>
      </c>
      <c r="K86" s="10" t="s">
        <v>779</v>
      </c>
      <c r="L86" s="11">
        <v>1531572</v>
      </c>
      <c r="M86" s="11">
        <v>0</v>
      </c>
      <c r="N86" s="11">
        <v>0</v>
      </c>
      <c r="O86" s="11">
        <v>0</v>
      </c>
      <c r="P86" s="12">
        <v>321630.12</v>
      </c>
      <c r="Q86" s="12">
        <v>1929780.72</v>
      </c>
      <c r="R86" s="10">
        <f>VLOOKUP(E86,'IVA COMPRAS'!L:Q,6,0)</f>
        <v>1929780.72</v>
      </c>
    </row>
    <row r="87" spans="1:18" s="10" customFormat="1" hidden="1" x14ac:dyDescent="0.3">
      <c r="A87" s="10" t="s">
        <v>809</v>
      </c>
      <c r="B87" s="10" t="s">
        <v>777</v>
      </c>
      <c r="C87" s="11">
        <v>46</v>
      </c>
      <c r="D87" s="11">
        <v>400569</v>
      </c>
      <c r="E87" s="14" t="str">
        <f>CONCATENATE(H87,C87,D87)</f>
        <v>3053214979346400569</v>
      </c>
      <c r="F87" s="11">
        <v>34173886474450</v>
      </c>
      <c r="G87" s="10" t="s">
        <v>778</v>
      </c>
      <c r="H87" s="11">
        <v>30532149793</v>
      </c>
      <c r="I87" s="10" t="s">
        <v>83</v>
      </c>
      <c r="J87" s="11">
        <v>1</v>
      </c>
      <c r="K87" s="10" t="s">
        <v>779</v>
      </c>
      <c r="L87" s="12">
        <v>490174.67</v>
      </c>
      <c r="M87" s="11">
        <v>0</v>
      </c>
      <c r="N87" s="11">
        <v>0</v>
      </c>
      <c r="O87" s="11">
        <v>0</v>
      </c>
      <c r="P87" s="12">
        <v>102936.68</v>
      </c>
      <c r="Q87" s="12">
        <v>617620.09</v>
      </c>
      <c r="R87" s="10">
        <f>VLOOKUP(E87,'IVA COMPRAS'!L:Q,6,0)</f>
        <v>617620.09</v>
      </c>
    </row>
    <row r="88" spans="1:18" s="10" customFormat="1" hidden="1" x14ac:dyDescent="0.3">
      <c r="A88" s="10" t="s">
        <v>820</v>
      </c>
      <c r="B88" s="10" t="s">
        <v>777</v>
      </c>
      <c r="C88" s="11">
        <v>46</v>
      </c>
      <c r="D88" s="11">
        <v>401016</v>
      </c>
      <c r="E88" s="14" t="str">
        <f>CONCATENATE(H88,C88,D88)</f>
        <v>3053214979346401016</v>
      </c>
      <c r="F88" s="11">
        <v>34193767198088</v>
      </c>
      <c r="G88" s="10" t="s">
        <v>778</v>
      </c>
      <c r="H88" s="11">
        <v>30532149793</v>
      </c>
      <c r="I88" s="10" t="s">
        <v>83</v>
      </c>
      <c r="J88" s="11">
        <v>1</v>
      </c>
      <c r="K88" s="10" t="s">
        <v>779</v>
      </c>
      <c r="L88" s="12">
        <v>409978.38</v>
      </c>
      <c r="M88" s="11">
        <v>0</v>
      </c>
      <c r="N88" s="11">
        <v>0</v>
      </c>
      <c r="O88" s="11">
        <v>0</v>
      </c>
      <c r="P88" s="12">
        <v>86095.46</v>
      </c>
      <c r="Q88" s="12">
        <v>516572.78</v>
      </c>
      <c r="R88" s="10">
        <f>VLOOKUP(E88,'IVA COMPRAS'!L:Q,6,0)</f>
        <v>516572.78</v>
      </c>
    </row>
    <row r="89" spans="1:18" s="10" customFormat="1" hidden="1" x14ac:dyDescent="0.3">
      <c r="A89" s="10" t="s">
        <v>827</v>
      </c>
      <c r="B89" s="10" t="s">
        <v>777</v>
      </c>
      <c r="C89" s="11">
        <v>46</v>
      </c>
      <c r="D89" s="11">
        <v>401310</v>
      </c>
      <c r="E89" s="14" t="str">
        <f>CONCATENATE(H89,C89,D89)</f>
        <v>3053214979346401310</v>
      </c>
      <c r="F89" s="11">
        <v>34193767198088</v>
      </c>
      <c r="G89" s="10" t="s">
        <v>778</v>
      </c>
      <c r="H89" s="11">
        <v>30532149793</v>
      </c>
      <c r="I89" s="10" t="s">
        <v>83</v>
      </c>
      <c r="J89" s="11">
        <v>1</v>
      </c>
      <c r="K89" s="10" t="s">
        <v>779</v>
      </c>
      <c r="L89" s="11">
        <v>345000</v>
      </c>
      <c r="M89" s="11">
        <v>0</v>
      </c>
      <c r="N89" s="11">
        <v>0</v>
      </c>
      <c r="O89" s="11">
        <v>0</v>
      </c>
      <c r="P89" s="11">
        <v>72450</v>
      </c>
      <c r="Q89" s="11">
        <v>434700</v>
      </c>
      <c r="R89" s="10">
        <f>VLOOKUP(E89,'IVA COMPRAS'!L:Q,6,0)</f>
        <v>434700</v>
      </c>
    </row>
    <row r="90" spans="1:18" s="10" customFormat="1" hidden="1" x14ac:dyDescent="0.3">
      <c r="A90" s="10" t="s">
        <v>827</v>
      </c>
      <c r="B90" s="10" t="s">
        <v>777</v>
      </c>
      <c r="C90" s="11">
        <v>46</v>
      </c>
      <c r="D90" s="11">
        <v>401309</v>
      </c>
      <c r="E90" s="14" t="str">
        <f>CONCATENATE(H90,C90,D90)</f>
        <v>3053214979346401309</v>
      </c>
      <c r="F90" s="11">
        <v>34193767198088</v>
      </c>
      <c r="G90" s="10" t="s">
        <v>778</v>
      </c>
      <c r="H90" s="11">
        <v>30532149793</v>
      </c>
      <c r="I90" s="10" t="s">
        <v>83</v>
      </c>
      <c r="J90" s="11">
        <v>1</v>
      </c>
      <c r="K90" s="10" t="s">
        <v>779</v>
      </c>
      <c r="L90" s="11">
        <v>1057800</v>
      </c>
      <c r="M90" s="11">
        <v>0</v>
      </c>
      <c r="N90" s="11">
        <v>0</v>
      </c>
      <c r="O90" s="11">
        <v>0</v>
      </c>
      <c r="P90" s="11">
        <v>222138</v>
      </c>
      <c r="Q90" s="11">
        <v>1332828</v>
      </c>
      <c r="R90" s="10">
        <f>VLOOKUP(E90,'IVA COMPRAS'!L:Q,6,0)</f>
        <v>1332828</v>
      </c>
    </row>
    <row r="91" spans="1:18" s="10" customFormat="1" hidden="1" x14ac:dyDescent="0.3">
      <c r="A91" s="10" t="s">
        <v>835</v>
      </c>
      <c r="B91" s="10" t="s">
        <v>777</v>
      </c>
      <c r="C91" s="11">
        <v>46</v>
      </c>
      <c r="D91" s="11">
        <v>401705</v>
      </c>
      <c r="E91" s="14" t="str">
        <f>CONCATENATE(H91,C91,D91)</f>
        <v>3053214979346401705</v>
      </c>
      <c r="F91" s="11">
        <v>34193767198088</v>
      </c>
      <c r="G91" s="10" t="s">
        <v>778</v>
      </c>
      <c r="H91" s="11">
        <v>30532149793</v>
      </c>
      <c r="I91" s="10" t="s">
        <v>83</v>
      </c>
      <c r="J91" s="11">
        <v>1</v>
      </c>
      <c r="K91" s="10" t="s">
        <v>779</v>
      </c>
      <c r="L91" s="11">
        <v>1126800</v>
      </c>
      <c r="M91" s="11">
        <v>0</v>
      </c>
      <c r="N91" s="11">
        <v>0</v>
      </c>
      <c r="O91" s="11">
        <v>0</v>
      </c>
      <c r="P91" s="11">
        <v>236628</v>
      </c>
      <c r="Q91" s="11">
        <v>1419768</v>
      </c>
      <c r="R91" s="10">
        <f>VLOOKUP(E91,'IVA COMPRAS'!L:Q,6,0)</f>
        <v>1419768</v>
      </c>
    </row>
    <row r="92" spans="1:18" s="10" customFormat="1" x14ac:dyDescent="0.3">
      <c r="A92" s="10" t="s">
        <v>835</v>
      </c>
      <c r="B92" s="10" t="s">
        <v>777</v>
      </c>
      <c r="C92" s="11">
        <v>46</v>
      </c>
      <c r="D92" s="11">
        <v>401706</v>
      </c>
      <c r="E92" s="14" t="str">
        <f>CONCATENATE(H92,C92,D92)</f>
        <v>3053214979346401706</v>
      </c>
      <c r="F92" s="11">
        <v>34193767198088</v>
      </c>
      <c r="G92" s="10" t="s">
        <v>778</v>
      </c>
      <c r="H92" s="11">
        <v>30532149793</v>
      </c>
      <c r="I92" s="10" t="s">
        <v>83</v>
      </c>
      <c r="J92" s="11">
        <v>1</v>
      </c>
      <c r="K92" s="10" t="s">
        <v>779</v>
      </c>
      <c r="L92" s="12">
        <v>519827.19</v>
      </c>
      <c r="M92" s="11">
        <v>0</v>
      </c>
      <c r="N92" s="11">
        <v>0</v>
      </c>
      <c r="O92" s="11">
        <v>0</v>
      </c>
      <c r="P92" s="12">
        <v>109163.71</v>
      </c>
      <c r="Q92" s="12">
        <v>654982.27</v>
      </c>
      <c r="R92" s="10" t="e">
        <f>VLOOKUP(E92,'IVA COMPRAS'!L:Q,6,0)</f>
        <v>#N/A</v>
      </c>
    </row>
    <row r="93" spans="1:18" s="10" customFormat="1" hidden="1" x14ac:dyDescent="0.3">
      <c r="A93" s="10" t="s">
        <v>840</v>
      </c>
      <c r="B93" s="10" t="s">
        <v>777</v>
      </c>
      <c r="C93" s="11">
        <v>46</v>
      </c>
      <c r="D93" s="11">
        <v>401953</v>
      </c>
      <c r="E93" s="14" t="str">
        <f>CONCATENATE(H93,C93,D93)</f>
        <v>3053214979346401953</v>
      </c>
      <c r="F93" s="11">
        <v>34193767198088</v>
      </c>
      <c r="G93" s="10" t="s">
        <v>778</v>
      </c>
      <c r="H93" s="11">
        <v>30532149793</v>
      </c>
      <c r="I93" s="10" t="s">
        <v>83</v>
      </c>
      <c r="J93" s="11">
        <v>1</v>
      </c>
      <c r="K93" s="10" t="s">
        <v>779</v>
      </c>
      <c r="L93" s="12">
        <v>129956.81</v>
      </c>
      <c r="M93" s="11">
        <v>0</v>
      </c>
      <c r="N93" s="11">
        <v>0</v>
      </c>
      <c r="O93" s="11">
        <v>0</v>
      </c>
      <c r="P93" s="12">
        <v>27290.93</v>
      </c>
      <c r="Q93" s="12">
        <v>163745.57</v>
      </c>
      <c r="R93" s="10">
        <f>VLOOKUP(E93,'IVA COMPRAS'!L:Q,6,0)</f>
        <v>163745.57</v>
      </c>
    </row>
    <row r="94" spans="1:18" s="10" customFormat="1" x14ac:dyDescent="0.3">
      <c r="A94" s="10" t="s">
        <v>840</v>
      </c>
      <c r="B94" s="10" t="s">
        <v>777</v>
      </c>
      <c r="C94" s="11">
        <v>46</v>
      </c>
      <c r="D94" s="11">
        <v>401952</v>
      </c>
      <c r="E94" s="14" t="str">
        <f>CONCATENATE(H94,C94,D94)</f>
        <v>3053214979346401952</v>
      </c>
      <c r="F94" s="11">
        <v>34193767198088</v>
      </c>
      <c r="G94" s="10" t="s">
        <v>778</v>
      </c>
      <c r="H94" s="11">
        <v>30532149793</v>
      </c>
      <c r="I94" s="10" t="s">
        <v>83</v>
      </c>
      <c r="J94" s="11">
        <v>1</v>
      </c>
      <c r="K94" s="10" t="s">
        <v>779</v>
      </c>
      <c r="L94" s="12">
        <v>64978.38</v>
      </c>
      <c r="M94" s="11">
        <v>0</v>
      </c>
      <c r="N94" s="11">
        <v>0</v>
      </c>
      <c r="O94" s="11">
        <v>0</v>
      </c>
      <c r="P94" s="12">
        <v>13645.46</v>
      </c>
      <c r="Q94" s="12">
        <v>81872.78</v>
      </c>
      <c r="R94" s="10" t="e">
        <f>VLOOKUP(E94,'IVA COMPRAS'!L:Q,6,0)</f>
        <v>#N/A</v>
      </c>
    </row>
    <row r="95" spans="1:18" s="10" customFormat="1" hidden="1" x14ac:dyDescent="0.3">
      <c r="A95" s="10" t="s">
        <v>781</v>
      </c>
      <c r="B95" s="10" t="s">
        <v>777</v>
      </c>
      <c r="C95" s="11">
        <v>218</v>
      </c>
      <c r="D95" s="11">
        <v>160955</v>
      </c>
      <c r="E95" s="14" t="str">
        <f>CONCATENATE(H95,C95,D95)</f>
        <v>30501290323218160955</v>
      </c>
      <c r="F95" s="11">
        <v>74183710226773</v>
      </c>
      <c r="G95" s="10" t="s">
        <v>778</v>
      </c>
      <c r="H95" s="11">
        <v>30501290323</v>
      </c>
      <c r="I95" s="10" t="s">
        <v>86</v>
      </c>
      <c r="J95" s="11">
        <v>1</v>
      </c>
      <c r="K95" s="10" t="s">
        <v>779</v>
      </c>
      <c r="L95" s="12">
        <v>132196.76</v>
      </c>
      <c r="O95" s="11">
        <v>0</v>
      </c>
      <c r="P95" s="12">
        <v>27761.32</v>
      </c>
      <c r="Q95" s="12">
        <v>170533.81</v>
      </c>
      <c r="R95" s="10">
        <f>VLOOKUP(E95,'IVA COMPRAS'!L:Q,6,0)</f>
        <v>170533.81</v>
      </c>
    </row>
    <row r="96" spans="1:18" s="10" customFormat="1" hidden="1" x14ac:dyDescent="0.3">
      <c r="A96" s="10" t="s">
        <v>781</v>
      </c>
      <c r="B96" s="10" t="s">
        <v>777</v>
      </c>
      <c r="C96" s="11">
        <v>218</v>
      </c>
      <c r="D96" s="11">
        <v>160956</v>
      </c>
      <c r="E96" s="14" t="str">
        <f>CONCATENATE(H96,C96,D96)</f>
        <v>30501290323218160956</v>
      </c>
      <c r="F96" s="11">
        <v>74183710228660</v>
      </c>
      <c r="G96" s="10" t="s">
        <v>778</v>
      </c>
      <c r="H96" s="11">
        <v>30501290323</v>
      </c>
      <c r="I96" s="10" t="s">
        <v>86</v>
      </c>
      <c r="J96" s="11">
        <v>1</v>
      </c>
      <c r="K96" s="10" t="s">
        <v>779</v>
      </c>
      <c r="L96" s="12">
        <v>132196.76</v>
      </c>
      <c r="O96" s="11">
        <v>0</v>
      </c>
      <c r="P96" s="12">
        <v>27761.32</v>
      </c>
      <c r="Q96" s="12">
        <v>170533.81</v>
      </c>
      <c r="R96" s="10">
        <f>VLOOKUP(E96,'IVA COMPRAS'!L:Q,6,0)</f>
        <v>170533.81</v>
      </c>
    </row>
    <row r="97" spans="1:18" s="10" customFormat="1" hidden="1" x14ac:dyDescent="0.3">
      <c r="A97" s="10" t="s">
        <v>781</v>
      </c>
      <c r="B97" s="10" t="s">
        <v>777</v>
      </c>
      <c r="C97" s="11">
        <v>218</v>
      </c>
      <c r="D97" s="11">
        <v>160957</v>
      </c>
      <c r="E97" s="14" t="str">
        <f>CONCATENATE(H97,C97,D97)</f>
        <v>30501290323218160957</v>
      </c>
      <c r="F97" s="11">
        <v>74183710230602</v>
      </c>
      <c r="G97" s="10" t="s">
        <v>778</v>
      </c>
      <c r="H97" s="11">
        <v>30501290323</v>
      </c>
      <c r="I97" s="10" t="s">
        <v>86</v>
      </c>
      <c r="J97" s="11">
        <v>1</v>
      </c>
      <c r="K97" s="10" t="s">
        <v>779</v>
      </c>
      <c r="L97" s="12">
        <v>2983459.76</v>
      </c>
      <c r="O97" s="11">
        <v>0</v>
      </c>
      <c r="P97" s="12">
        <v>626526.55000000005</v>
      </c>
      <c r="Q97" s="12">
        <v>3848663.09</v>
      </c>
      <c r="R97" s="10">
        <f>VLOOKUP(E97,'IVA COMPRAS'!L:Q,6,0)</f>
        <v>3848663.09</v>
      </c>
    </row>
    <row r="98" spans="1:18" s="10" customFormat="1" hidden="1" x14ac:dyDescent="0.3">
      <c r="A98" s="10" t="s">
        <v>781</v>
      </c>
      <c r="B98" s="10" t="s">
        <v>777</v>
      </c>
      <c r="C98" s="11">
        <v>218</v>
      </c>
      <c r="D98" s="11">
        <v>160954</v>
      </c>
      <c r="E98" s="14" t="str">
        <f>CONCATENATE(H98,C98,D98)</f>
        <v>30501290323218160954</v>
      </c>
      <c r="F98" s="11">
        <v>74183710224360</v>
      </c>
      <c r="G98" s="10" t="s">
        <v>778</v>
      </c>
      <c r="H98" s="11">
        <v>30501290323</v>
      </c>
      <c r="I98" s="10" t="s">
        <v>86</v>
      </c>
      <c r="J98" s="11">
        <v>1</v>
      </c>
      <c r="K98" s="10" t="s">
        <v>779</v>
      </c>
      <c r="L98" s="12">
        <v>132196.76</v>
      </c>
      <c r="O98" s="11">
        <v>0</v>
      </c>
      <c r="P98" s="12">
        <v>27761.32</v>
      </c>
      <c r="Q98" s="12">
        <v>170533.81</v>
      </c>
      <c r="R98" s="10">
        <f>VLOOKUP(E98,'IVA COMPRAS'!L:Q,6,0)</f>
        <v>170533.81</v>
      </c>
    </row>
    <row r="99" spans="1:18" s="10" customFormat="1" hidden="1" x14ac:dyDescent="0.3">
      <c r="A99" s="10" t="s">
        <v>809</v>
      </c>
      <c r="B99" s="10" t="s">
        <v>777</v>
      </c>
      <c r="C99" s="11">
        <v>218</v>
      </c>
      <c r="D99" s="11">
        <v>161092</v>
      </c>
      <c r="E99" s="14" t="str">
        <f>CONCATENATE(H99,C99,D99)</f>
        <v>30501290323218161092</v>
      </c>
      <c r="F99" s="11">
        <v>74193528863188</v>
      </c>
      <c r="G99" s="10" t="s">
        <v>778</v>
      </c>
      <c r="H99" s="11">
        <v>30501290323</v>
      </c>
      <c r="I99" s="10" t="s">
        <v>86</v>
      </c>
      <c r="J99" s="11">
        <v>1</v>
      </c>
      <c r="K99" s="10" t="s">
        <v>779</v>
      </c>
      <c r="L99" s="12">
        <v>4395523.24</v>
      </c>
      <c r="O99" s="11">
        <v>0</v>
      </c>
      <c r="P99" s="12">
        <v>923059.88</v>
      </c>
      <c r="Q99" s="12">
        <v>5670224.9699999997</v>
      </c>
      <c r="R99" s="10">
        <f>VLOOKUP(E99,'IVA COMPRAS'!L:Q,6,0)</f>
        <v>5670224.9699999997</v>
      </c>
    </row>
    <row r="100" spans="1:18" s="10" customFormat="1" hidden="1" x14ac:dyDescent="0.3">
      <c r="A100" s="10" t="s">
        <v>828</v>
      </c>
      <c r="B100" s="10" t="s">
        <v>777</v>
      </c>
      <c r="C100" s="11">
        <v>218</v>
      </c>
      <c r="D100" s="11">
        <v>161345</v>
      </c>
      <c r="E100" s="14" t="str">
        <f>CONCATENATE(H100,C100,D100)</f>
        <v>30501290323218161345</v>
      </c>
      <c r="F100" s="11">
        <v>74213901779226</v>
      </c>
      <c r="G100" s="10" t="s">
        <v>778</v>
      </c>
      <c r="H100" s="11">
        <v>30501290323</v>
      </c>
      <c r="I100" s="10" t="s">
        <v>86</v>
      </c>
      <c r="J100" s="11">
        <v>1</v>
      </c>
      <c r="K100" s="10" t="s">
        <v>779</v>
      </c>
      <c r="L100" s="10">
        <v>568526.9</v>
      </c>
      <c r="O100" s="11">
        <v>0</v>
      </c>
      <c r="P100" s="12">
        <v>119390.65</v>
      </c>
      <c r="Q100" s="12">
        <v>733399.71</v>
      </c>
      <c r="R100" s="10">
        <f>VLOOKUP(E100,'IVA COMPRAS'!L:Q,6,0)</f>
        <v>733399.71</v>
      </c>
    </row>
    <row r="101" spans="1:18" s="10" customFormat="1" hidden="1" x14ac:dyDescent="0.3">
      <c r="A101" s="10" t="s">
        <v>828</v>
      </c>
      <c r="B101" s="10" t="s">
        <v>777</v>
      </c>
      <c r="C101" s="11">
        <v>218</v>
      </c>
      <c r="D101" s="11">
        <v>161348</v>
      </c>
      <c r="E101" s="14" t="str">
        <f>CONCATENATE(H101,C101,D101)</f>
        <v>30501290323218161348</v>
      </c>
      <c r="F101" s="11">
        <v>74213901782523</v>
      </c>
      <c r="G101" s="10" t="s">
        <v>778</v>
      </c>
      <c r="H101" s="11">
        <v>30501290323</v>
      </c>
      <c r="I101" s="10" t="s">
        <v>86</v>
      </c>
      <c r="J101" s="11">
        <v>1</v>
      </c>
      <c r="K101" s="10" t="s">
        <v>779</v>
      </c>
      <c r="L101" s="12">
        <v>277909.62</v>
      </c>
      <c r="O101" s="11">
        <v>0</v>
      </c>
      <c r="P101" s="12">
        <v>58361.02</v>
      </c>
      <c r="Q101" s="12">
        <v>358503.46</v>
      </c>
      <c r="R101" s="10">
        <f>VLOOKUP(E101,'IVA COMPRAS'!L:Q,6,0)</f>
        <v>358503.46</v>
      </c>
    </row>
    <row r="102" spans="1:18" s="10" customFormat="1" hidden="1" x14ac:dyDescent="0.3">
      <c r="A102" s="10" t="s">
        <v>828</v>
      </c>
      <c r="B102" s="10" t="s">
        <v>777</v>
      </c>
      <c r="C102" s="11">
        <v>218</v>
      </c>
      <c r="D102" s="11">
        <v>161346</v>
      </c>
      <c r="E102" s="14" t="str">
        <f>CONCATENATE(H102,C102,D102)</f>
        <v>30501290323218161346</v>
      </c>
      <c r="F102" s="11">
        <v>74213901780398</v>
      </c>
      <c r="G102" s="10" t="s">
        <v>778</v>
      </c>
      <c r="H102" s="11">
        <v>30501290323</v>
      </c>
      <c r="I102" s="10" t="s">
        <v>86</v>
      </c>
      <c r="J102" s="11">
        <v>1</v>
      </c>
      <c r="K102" s="10" t="s">
        <v>779</v>
      </c>
      <c r="L102" s="12">
        <v>3126352.95</v>
      </c>
      <c r="O102" s="11">
        <v>0</v>
      </c>
      <c r="P102" s="12">
        <v>656534.12</v>
      </c>
      <c r="Q102" s="10">
        <v>4032995.3</v>
      </c>
      <c r="R102" s="10">
        <f>VLOOKUP(E102,'IVA COMPRAS'!L:Q,6,0)</f>
        <v>4032995.3</v>
      </c>
    </row>
    <row r="103" spans="1:18" s="10" customFormat="1" hidden="1" x14ac:dyDescent="0.3">
      <c r="A103" s="10" t="s">
        <v>828</v>
      </c>
      <c r="B103" s="10" t="s">
        <v>777</v>
      </c>
      <c r="C103" s="11">
        <v>218</v>
      </c>
      <c r="D103" s="11">
        <v>161347</v>
      </c>
      <c r="E103" s="14" t="str">
        <f>CONCATENATE(H103,C103,D103)</f>
        <v>30501290323218161347</v>
      </c>
      <c r="F103" s="11">
        <v>74213901781404</v>
      </c>
      <c r="G103" s="10" t="s">
        <v>778</v>
      </c>
      <c r="H103" s="11">
        <v>30501290323</v>
      </c>
      <c r="I103" s="10" t="s">
        <v>86</v>
      </c>
      <c r="J103" s="11">
        <v>1</v>
      </c>
      <c r="K103" s="10" t="s">
        <v>779</v>
      </c>
      <c r="L103" s="12">
        <v>2930348.81</v>
      </c>
      <c r="O103" s="11">
        <v>0</v>
      </c>
      <c r="P103" s="12">
        <v>615373.25</v>
      </c>
      <c r="Q103" s="12">
        <v>3780149.97</v>
      </c>
      <c r="R103" s="10">
        <f>VLOOKUP(E103,'IVA COMPRAS'!L:Q,6,0)</f>
        <v>3780149.97</v>
      </c>
    </row>
    <row r="104" spans="1:18" s="10" customFormat="1" hidden="1" x14ac:dyDescent="0.3">
      <c r="A104" s="10" t="s">
        <v>834</v>
      </c>
      <c r="B104" s="10" t="s">
        <v>783</v>
      </c>
      <c r="C104" s="11">
        <v>218</v>
      </c>
      <c r="D104" s="11">
        <v>27962</v>
      </c>
      <c r="E104" s="14" t="str">
        <f>CONCATENATE(H104,C104,D104)</f>
        <v>3050129032321827962</v>
      </c>
      <c r="F104" s="11">
        <v>74223396567250</v>
      </c>
      <c r="G104" s="10" t="s">
        <v>778</v>
      </c>
      <c r="H104" s="11">
        <v>30501290323</v>
      </c>
      <c r="I104" s="10" t="s">
        <v>86</v>
      </c>
      <c r="J104" s="11">
        <v>1</v>
      </c>
      <c r="K104" s="10" t="s">
        <v>779</v>
      </c>
      <c r="L104" s="12">
        <v>264393.52</v>
      </c>
      <c r="O104" s="11">
        <v>0</v>
      </c>
      <c r="P104" s="12">
        <v>55522.64</v>
      </c>
      <c r="Q104" s="12">
        <v>327847.95</v>
      </c>
      <c r="R104" s="10">
        <f>VLOOKUP(E104,'IVA COMPRAS'!L:Q,6,0)</f>
        <v>-327847.95</v>
      </c>
    </row>
    <row r="105" spans="1:18" s="10" customFormat="1" hidden="1" x14ac:dyDescent="0.3">
      <c r="A105" s="10" t="s">
        <v>835</v>
      </c>
      <c r="B105" s="10" t="s">
        <v>777</v>
      </c>
      <c r="C105" s="11">
        <v>218</v>
      </c>
      <c r="D105" s="11">
        <v>161470</v>
      </c>
      <c r="E105" s="14" t="str">
        <f>CONCATENATE(H105,C105,D105)</f>
        <v>30501290323218161470</v>
      </c>
      <c r="F105" s="11">
        <v>74223552839415</v>
      </c>
      <c r="G105" s="10" t="s">
        <v>778</v>
      </c>
      <c r="H105" s="11">
        <v>30501290323</v>
      </c>
      <c r="I105" s="10" t="s">
        <v>86</v>
      </c>
      <c r="J105" s="11">
        <v>1</v>
      </c>
      <c r="K105" s="10" t="s">
        <v>779</v>
      </c>
      <c r="L105" s="12">
        <v>3389564.67</v>
      </c>
      <c r="O105" s="11">
        <v>0</v>
      </c>
      <c r="P105" s="12">
        <v>711808.58</v>
      </c>
      <c r="Q105" s="12">
        <v>4372538.38</v>
      </c>
      <c r="R105" s="10">
        <f>VLOOKUP(E105,'IVA COMPRAS'!L:Q,6,0)</f>
        <v>4372538.38</v>
      </c>
    </row>
    <row r="106" spans="1:18" s="10" customFormat="1" hidden="1" x14ac:dyDescent="0.3">
      <c r="A106" s="10" t="s">
        <v>835</v>
      </c>
      <c r="B106" s="10" t="s">
        <v>777</v>
      </c>
      <c r="C106" s="11">
        <v>218</v>
      </c>
      <c r="D106" s="11">
        <v>161465</v>
      </c>
      <c r="E106" s="14" t="str">
        <f>CONCATENATE(H106,C106,D106)</f>
        <v>30501290323218161465</v>
      </c>
      <c r="F106" s="11">
        <v>74223528213205</v>
      </c>
      <c r="G106" s="10" t="s">
        <v>778</v>
      </c>
      <c r="H106" s="11">
        <v>30501290323</v>
      </c>
      <c r="I106" s="10" t="s">
        <v>86</v>
      </c>
      <c r="J106" s="11">
        <v>1</v>
      </c>
      <c r="K106" s="10" t="s">
        <v>779</v>
      </c>
      <c r="L106" s="12">
        <v>4395523.24</v>
      </c>
      <c r="O106" s="11">
        <v>0</v>
      </c>
      <c r="P106" s="12">
        <v>923059.88</v>
      </c>
      <c r="Q106" s="12">
        <v>5670224.9699999997</v>
      </c>
      <c r="R106" s="10">
        <f>VLOOKUP(E106,'IVA COMPRAS'!L:Q,6,0)</f>
        <v>5670224.9699999997</v>
      </c>
    </row>
    <row r="107" spans="1:18" s="10" customFormat="1" hidden="1" x14ac:dyDescent="0.3">
      <c r="A107" s="10" t="s">
        <v>839</v>
      </c>
      <c r="B107" s="10" t="s">
        <v>783</v>
      </c>
      <c r="C107" s="11">
        <v>218</v>
      </c>
      <c r="D107" s="11">
        <v>27980</v>
      </c>
      <c r="E107" s="14" t="str">
        <f>CONCATENATE(H107,C107,D107)</f>
        <v>3050129032321827980</v>
      </c>
      <c r="F107" s="11">
        <v>74223742396329</v>
      </c>
      <c r="G107" s="10" t="s">
        <v>778</v>
      </c>
      <c r="H107" s="11">
        <v>30501290323</v>
      </c>
      <c r="I107" s="10" t="s">
        <v>86</v>
      </c>
      <c r="J107" s="11">
        <v>1</v>
      </c>
      <c r="K107" s="10" t="s">
        <v>779</v>
      </c>
      <c r="L107" s="12">
        <v>90490.71</v>
      </c>
      <c r="O107" s="11">
        <v>0</v>
      </c>
      <c r="P107" s="12">
        <v>19003.05</v>
      </c>
      <c r="Q107" s="12">
        <v>112208.46</v>
      </c>
      <c r="R107" s="10">
        <f>VLOOKUP(E107,'IVA COMPRAS'!L:Q,6,0)</f>
        <v>-112208.46</v>
      </c>
    </row>
    <row r="108" spans="1:18" s="10" customFormat="1" hidden="1" x14ac:dyDescent="0.3">
      <c r="A108" s="10" t="s">
        <v>824</v>
      </c>
      <c r="B108" s="10" t="s">
        <v>777</v>
      </c>
      <c r="C108" s="11">
        <v>113</v>
      </c>
      <c r="D108" s="11">
        <v>3603022</v>
      </c>
      <c r="E108" s="14" t="str">
        <f>CONCATENATE(H108,C108,D108)</f>
        <v>305772071901133603022</v>
      </c>
      <c r="F108" s="11">
        <v>74210821950028</v>
      </c>
      <c r="G108" s="10" t="s">
        <v>778</v>
      </c>
      <c r="H108" s="11">
        <v>30577207190</v>
      </c>
      <c r="I108" s="10" t="s">
        <v>825</v>
      </c>
      <c r="J108" s="11">
        <v>1</v>
      </c>
      <c r="K108" s="10" t="s">
        <v>779</v>
      </c>
      <c r="L108" s="12">
        <v>4297.5200000000004</v>
      </c>
      <c r="M108" s="11">
        <v>0</v>
      </c>
      <c r="N108" s="11">
        <v>0</v>
      </c>
      <c r="O108" s="11">
        <v>0</v>
      </c>
      <c r="P108" s="12">
        <v>902.48</v>
      </c>
      <c r="Q108" s="12">
        <v>5414.88</v>
      </c>
      <c r="R108" s="10">
        <f>VLOOKUP(E108,'IVA COMPRAS'!L:Q,6,0)</f>
        <v>5414.88</v>
      </c>
    </row>
    <row r="109" spans="1:18" s="10" customFormat="1" hidden="1" x14ac:dyDescent="0.3">
      <c r="A109" s="10" t="s">
        <v>824</v>
      </c>
      <c r="B109" s="10" t="s">
        <v>777</v>
      </c>
      <c r="C109" s="11">
        <v>113</v>
      </c>
      <c r="D109" s="11">
        <v>3600722</v>
      </c>
      <c r="E109" s="14" t="str">
        <f>CONCATENATE(H109,C109,D109)</f>
        <v>305772071901133600722</v>
      </c>
      <c r="F109" s="11">
        <v>74210821705956</v>
      </c>
      <c r="G109" s="10" t="s">
        <v>778</v>
      </c>
      <c r="H109" s="11">
        <v>30577207190</v>
      </c>
      <c r="I109" s="10" t="s">
        <v>825</v>
      </c>
      <c r="J109" s="11">
        <v>1</v>
      </c>
      <c r="K109" s="10" t="s">
        <v>779</v>
      </c>
      <c r="L109" s="12">
        <v>826.45</v>
      </c>
      <c r="M109" s="11">
        <v>0</v>
      </c>
      <c r="N109" s="11">
        <v>0</v>
      </c>
      <c r="O109" s="11">
        <v>0</v>
      </c>
      <c r="P109" s="12">
        <v>173.55</v>
      </c>
      <c r="Q109" s="11">
        <v>1000</v>
      </c>
      <c r="R109" s="10">
        <f>VLOOKUP(E109,'IVA COMPRAS'!L:Q,6,0)</f>
        <v>1000</v>
      </c>
    </row>
    <row r="110" spans="1:18" s="10" customFormat="1" hidden="1" x14ac:dyDescent="0.3">
      <c r="A110" s="10" t="s">
        <v>824</v>
      </c>
      <c r="B110" s="10" t="s">
        <v>777</v>
      </c>
      <c r="C110" s="11">
        <v>113</v>
      </c>
      <c r="D110" s="11">
        <v>3601978</v>
      </c>
      <c r="E110" s="14" t="str">
        <f>CONCATENATE(H110,C110,D110)</f>
        <v>305772071901133601978</v>
      </c>
      <c r="F110" s="11">
        <v>74210821839066</v>
      </c>
      <c r="G110" s="10" t="s">
        <v>778</v>
      </c>
      <c r="H110" s="11">
        <v>30577207190</v>
      </c>
      <c r="I110" s="10" t="s">
        <v>825</v>
      </c>
      <c r="J110" s="11">
        <v>1</v>
      </c>
      <c r="K110" s="10" t="s">
        <v>779</v>
      </c>
      <c r="L110" s="12">
        <v>19348.759999999998</v>
      </c>
      <c r="M110" s="11">
        <v>0</v>
      </c>
      <c r="N110" s="11">
        <v>0</v>
      </c>
      <c r="O110" s="11">
        <v>0</v>
      </c>
      <c r="P110" s="12">
        <v>4063.24</v>
      </c>
      <c r="Q110" s="12">
        <v>24379.439999999999</v>
      </c>
      <c r="R110" s="10">
        <f>VLOOKUP(E110,'IVA COMPRAS'!L:Q,6,0)</f>
        <v>24379.439999999999</v>
      </c>
    </row>
    <row r="111" spans="1:18" s="10" customFormat="1" hidden="1" x14ac:dyDescent="0.3">
      <c r="A111" s="10" t="s">
        <v>840</v>
      </c>
      <c r="B111" s="10" t="s">
        <v>777</v>
      </c>
      <c r="C111" s="11">
        <v>113</v>
      </c>
      <c r="D111" s="11">
        <v>3630675</v>
      </c>
      <c r="E111" s="14" t="str">
        <f>CONCATENATE(H111,C111,D111)</f>
        <v>305772071901133630675</v>
      </c>
      <c r="F111" s="11">
        <v>74230324061808</v>
      </c>
      <c r="G111" s="10" t="s">
        <v>778</v>
      </c>
      <c r="H111" s="11">
        <v>30577207190</v>
      </c>
      <c r="I111" s="10" t="s">
        <v>825</v>
      </c>
      <c r="J111" s="11">
        <v>1</v>
      </c>
      <c r="K111" s="10" t="s">
        <v>779</v>
      </c>
      <c r="L111" s="12">
        <v>826.45</v>
      </c>
      <c r="M111" s="11">
        <v>0</v>
      </c>
      <c r="N111" s="11">
        <v>0</v>
      </c>
      <c r="O111" s="11">
        <v>0</v>
      </c>
      <c r="P111" s="12">
        <v>173.55</v>
      </c>
      <c r="Q111" s="11">
        <v>1000</v>
      </c>
      <c r="R111" s="10">
        <f>VLOOKUP(E111,'IVA COMPRAS'!L:Q,6,0)</f>
        <v>1000</v>
      </c>
    </row>
    <row r="112" spans="1:18" s="10" customFormat="1" hidden="1" x14ac:dyDescent="0.3">
      <c r="A112" s="10" t="s">
        <v>840</v>
      </c>
      <c r="B112" s="10" t="s">
        <v>777</v>
      </c>
      <c r="C112" s="11">
        <v>113</v>
      </c>
      <c r="D112" s="11">
        <v>3631609</v>
      </c>
      <c r="E112" s="14" t="str">
        <f>CONCATENATE(H112,C112,D112)</f>
        <v>305772071901133631609</v>
      </c>
      <c r="F112" s="11">
        <v>74230324163470</v>
      </c>
      <c r="G112" s="10" t="s">
        <v>778</v>
      </c>
      <c r="H112" s="11">
        <v>30577207190</v>
      </c>
      <c r="I112" s="10" t="s">
        <v>825</v>
      </c>
      <c r="J112" s="11">
        <v>1</v>
      </c>
      <c r="K112" s="10" t="s">
        <v>779</v>
      </c>
      <c r="L112" s="12">
        <v>30092.560000000001</v>
      </c>
      <c r="M112" s="11">
        <v>0</v>
      </c>
      <c r="N112" s="11">
        <v>0</v>
      </c>
      <c r="O112" s="11">
        <v>0</v>
      </c>
      <c r="P112" s="12">
        <v>6319.44</v>
      </c>
      <c r="Q112" s="12">
        <v>37916.629999999997</v>
      </c>
      <c r="R112" s="10">
        <f>VLOOKUP(E112,'IVA COMPRAS'!L:Q,6,0)</f>
        <v>37916.629999999997</v>
      </c>
    </row>
    <row r="113" spans="1:18" s="10" customFormat="1" hidden="1" x14ac:dyDescent="0.3">
      <c r="A113" s="10" t="s">
        <v>840</v>
      </c>
      <c r="B113" s="10" t="s">
        <v>777</v>
      </c>
      <c r="C113" s="11">
        <v>113</v>
      </c>
      <c r="D113" s="11">
        <v>3632455</v>
      </c>
      <c r="E113" s="14" t="str">
        <f>CONCATENATE(H113,C113,D113)</f>
        <v>305772071901133632455</v>
      </c>
      <c r="F113" s="11">
        <v>74230324255557</v>
      </c>
      <c r="G113" s="10" t="s">
        <v>778</v>
      </c>
      <c r="H113" s="11">
        <v>30577207190</v>
      </c>
      <c r="I113" s="10" t="s">
        <v>825</v>
      </c>
      <c r="J113" s="11">
        <v>1</v>
      </c>
      <c r="K113" s="10" t="s">
        <v>779</v>
      </c>
      <c r="L113" s="12">
        <v>6446.28</v>
      </c>
      <c r="M113" s="11">
        <v>0</v>
      </c>
      <c r="N113" s="11">
        <v>0</v>
      </c>
      <c r="O113" s="11">
        <v>0</v>
      </c>
      <c r="P113" s="12">
        <v>1353.72</v>
      </c>
      <c r="Q113" s="12">
        <v>8122.32</v>
      </c>
      <c r="R113" s="10">
        <f>VLOOKUP(E113,'IVA COMPRAS'!L:Q,6,0)</f>
        <v>8122.32</v>
      </c>
    </row>
    <row r="114" spans="1:18" s="10" customFormat="1" hidden="1" x14ac:dyDescent="0.3">
      <c r="A114" s="10" t="s">
        <v>805</v>
      </c>
      <c r="B114" s="10" t="s">
        <v>777</v>
      </c>
      <c r="C114" s="11">
        <v>700</v>
      </c>
      <c r="D114" s="11">
        <v>1665693</v>
      </c>
      <c r="E114" s="14" t="str">
        <f>CONCATENATE(H114,C114,D114)</f>
        <v>307158048127001665693</v>
      </c>
      <c r="F114" s="11">
        <v>74192427901548</v>
      </c>
      <c r="G114" s="10" t="s">
        <v>778</v>
      </c>
      <c r="H114" s="11">
        <v>30715804812</v>
      </c>
      <c r="I114" s="10" t="s">
        <v>806</v>
      </c>
      <c r="J114" s="11">
        <v>1</v>
      </c>
      <c r="K114" s="10" t="s">
        <v>779</v>
      </c>
      <c r="L114" s="12">
        <v>5289.26</v>
      </c>
      <c r="M114" s="11">
        <v>0</v>
      </c>
      <c r="N114" s="11">
        <v>0</v>
      </c>
      <c r="O114" s="11">
        <v>0</v>
      </c>
      <c r="P114" s="12">
        <v>1110.74</v>
      </c>
      <c r="Q114" s="12">
        <v>6664.46</v>
      </c>
      <c r="R114" s="10">
        <f>VLOOKUP(E114,'IVA COMPRAS'!L:Q,6,0)</f>
        <v>6664.46</v>
      </c>
    </row>
    <row r="115" spans="1:18" s="10" customFormat="1" hidden="1" x14ac:dyDescent="0.3">
      <c r="A115" s="10" t="s">
        <v>805</v>
      </c>
      <c r="B115" s="10" t="s">
        <v>777</v>
      </c>
      <c r="C115" s="11">
        <v>700</v>
      </c>
      <c r="D115" s="11">
        <v>1649549</v>
      </c>
      <c r="E115" s="14" t="str">
        <f>CONCATENATE(H115,C115,D115)</f>
        <v>307158048127001649549</v>
      </c>
      <c r="F115" s="11">
        <v>74192423908787</v>
      </c>
      <c r="G115" s="10" t="s">
        <v>778</v>
      </c>
      <c r="H115" s="11">
        <v>30715804812</v>
      </c>
      <c r="I115" s="10" t="s">
        <v>806</v>
      </c>
      <c r="J115" s="11">
        <v>1</v>
      </c>
      <c r="K115" s="10" t="s">
        <v>779</v>
      </c>
      <c r="L115" s="12">
        <v>2809.92</v>
      </c>
      <c r="M115" s="11">
        <v>0</v>
      </c>
      <c r="N115" s="11">
        <v>0</v>
      </c>
      <c r="O115" s="11">
        <v>0</v>
      </c>
      <c r="P115" s="12">
        <v>590.08000000000004</v>
      </c>
      <c r="Q115" s="11">
        <v>3400</v>
      </c>
      <c r="R115" s="10">
        <f>VLOOKUP(E115,'IVA COMPRAS'!L:Q,6,0)</f>
        <v>3400</v>
      </c>
    </row>
    <row r="116" spans="1:18" s="10" customFormat="1" hidden="1" x14ac:dyDescent="0.3">
      <c r="A116" s="10" t="s">
        <v>805</v>
      </c>
      <c r="B116" s="10" t="s">
        <v>777</v>
      </c>
      <c r="C116" s="11">
        <v>700</v>
      </c>
      <c r="D116" s="11">
        <v>1649798</v>
      </c>
      <c r="E116" s="14" t="str">
        <f>CONCATENATE(H116,C116,D116)</f>
        <v>307158048127001649798</v>
      </c>
      <c r="F116" s="11">
        <v>74192423986409</v>
      </c>
      <c r="G116" s="10" t="s">
        <v>778</v>
      </c>
      <c r="H116" s="11">
        <v>30715804812</v>
      </c>
      <c r="I116" s="10" t="s">
        <v>806</v>
      </c>
      <c r="J116" s="11">
        <v>1</v>
      </c>
      <c r="K116" s="10" t="s">
        <v>779</v>
      </c>
      <c r="L116" s="12">
        <v>991.73</v>
      </c>
      <c r="M116" s="11">
        <v>0</v>
      </c>
      <c r="N116" s="11">
        <v>0</v>
      </c>
      <c r="O116" s="11">
        <v>0</v>
      </c>
      <c r="P116" s="12">
        <v>208.27</v>
      </c>
      <c r="Q116" s="11">
        <v>1200</v>
      </c>
      <c r="R116" s="10">
        <f>VLOOKUP(E116,'IVA COMPRAS'!L:Q,6,0)</f>
        <v>1200</v>
      </c>
    </row>
    <row r="117" spans="1:18" s="10" customFormat="1" hidden="1" x14ac:dyDescent="0.3">
      <c r="A117" s="10" t="s">
        <v>828</v>
      </c>
      <c r="B117" s="10" t="s">
        <v>777</v>
      </c>
      <c r="C117" s="11">
        <v>700</v>
      </c>
      <c r="D117" s="11">
        <v>1696873</v>
      </c>
      <c r="E117" s="14" t="str">
        <f>CONCATENATE(H117,C117,D117)</f>
        <v>307158048127001696873</v>
      </c>
      <c r="F117" s="11">
        <v>74212115786165</v>
      </c>
      <c r="G117" s="10" t="s">
        <v>778</v>
      </c>
      <c r="H117" s="11">
        <v>30715804812</v>
      </c>
      <c r="I117" s="10" t="s">
        <v>806</v>
      </c>
      <c r="J117" s="11">
        <v>1</v>
      </c>
      <c r="K117" s="10" t="s">
        <v>779</v>
      </c>
      <c r="L117" s="12">
        <v>13636.36</v>
      </c>
      <c r="M117" s="11">
        <v>0</v>
      </c>
      <c r="N117" s="11">
        <v>0</v>
      </c>
      <c r="O117" s="11">
        <v>0</v>
      </c>
      <c r="P117" s="12">
        <v>2863.64</v>
      </c>
      <c r="Q117" s="12">
        <v>17181.82</v>
      </c>
      <c r="R117" s="10">
        <f>VLOOKUP(E117,'IVA COMPRAS'!L:Q,6,0)</f>
        <v>17181.82</v>
      </c>
    </row>
    <row r="118" spans="1:18" s="10" customFormat="1" hidden="1" x14ac:dyDescent="0.3">
      <c r="A118" s="10" t="s">
        <v>828</v>
      </c>
      <c r="B118" s="10" t="s">
        <v>777</v>
      </c>
      <c r="C118" s="11">
        <v>700</v>
      </c>
      <c r="D118" s="11">
        <v>1679354</v>
      </c>
      <c r="E118" s="14" t="str">
        <f>CONCATENATE(H118,C118,D118)</f>
        <v>307158048127001679354</v>
      </c>
      <c r="F118" s="11">
        <v>74212114680959</v>
      </c>
      <c r="G118" s="10" t="s">
        <v>778</v>
      </c>
      <c r="H118" s="11">
        <v>30715804812</v>
      </c>
      <c r="I118" s="10" t="s">
        <v>806</v>
      </c>
      <c r="J118" s="11">
        <v>1</v>
      </c>
      <c r="K118" s="10" t="s">
        <v>779</v>
      </c>
      <c r="L118" s="12">
        <v>6446.28</v>
      </c>
      <c r="M118" s="11">
        <v>0</v>
      </c>
      <c r="N118" s="11">
        <v>0</v>
      </c>
      <c r="O118" s="11">
        <v>0</v>
      </c>
      <c r="P118" s="12">
        <v>1353.72</v>
      </c>
      <c r="Q118" s="12">
        <v>8122.32</v>
      </c>
      <c r="R118" s="10">
        <f>VLOOKUP(E118,'IVA COMPRAS'!L:Q,6,0)</f>
        <v>8122.32</v>
      </c>
    </row>
    <row r="119" spans="1:18" s="10" customFormat="1" hidden="1" x14ac:dyDescent="0.3">
      <c r="A119" s="10" t="s">
        <v>792</v>
      </c>
      <c r="B119" s="10" t="s">
        <v>777</v>
      </c>
      <c r="C119" s="11">
        <v>3</v>
      </c>
      <c r="D119" s="11">
        <v>3588</v>
      </c>
      <c r="E119" s="14" t="str">
        <f>CONCATENATE(H119,C119,D119)</f>
        <v>3071683826533588</v>
      </c>
      <c r="F119" s="11">
        <v>74185932538403</v>
      </c>
      <c r="G119" s="10" t="s">
        <v>778</v>
      </c>
      <c r="H119" s="11">
        <v>30716838265</v>
      </c>
      <c r="I119" s="10" t="s">
        <v>166</v>
      </c>
      <c r="J119" s="11">
        <v>1</v>
      </c>
      <c r="K119" s="10" t="s">
        <v>779</v>
      </c>
      <c r="L119" s="11">
        <v>2349270</v>
      </c>
      <c r="M119" s="11">
        <v>0</v>
      </c>
      <c r="N119" s="11">
        <v>0</v>
      </c>
      <c r="O119" s="11">
        <v>0</v>
      </c>
      <c r="P119" s="10">
        <v>493346.7</v>
      </c>
      <c r="Q119" s="10">
        <v>2842616.7</v>
      </c>
      <c r="R119" s="10">
        <f>VLOOKUP(E119,'IVA COMPRAS'!L:Q,6,0)</f>
        <v>2842616.7</v>
      </c>
    </row>
    <row r="120" spans="1:18" s="10" customFormat="1" hidden="1" x14ac:dyDescent="0.3">
      <c r="A120" s="10" t="s">
        <v>800</v>
      </c>
      <c r="B120" s="10" t="s">
        <v>777</v>
      </c>
      <c r="C120" s="11">
        <v>6004</v>
      </c>
      <c r="D120" s="11">
        <v>3613137</v>
      </c>
      <c r="E120" s="14" t="str">
        <f>CONCATENATE(H120,C120,D120)</f>
        <v>3050111624260043613137</v>
      </c>
      <c r="F120" s="11">
        <v>34172469381004</v>
      </c>
      <c r="G120" s="10" t="s">
        <v>778</v>
      </c>
      <c r="H120" s="11">
        <v>30501116242</v>
      </c>
      <c r="I120" s="10" t="s">
        <v>802</v>
      </c>
      <c r="J120" s="11">
        <v>1</v>
      </c>
      <c r="K120" s="10" t="s">
        <v>779</v>
      </c>
      <c r="L120" s="12">
        <v>926333.38</v>
      </c>
      <c r="M120" s="11">
        <v>0</v>
      </c>
      <c r="N120" s="11">
        <v>0</v>
      </c>
      <c r="O120" s="11">
        <v>0</v>
      </c>
      <c r="P120" s="12">
        <v>194530.01</v>
      </c>
      <c r="Q120" s="12">
        <v>1167180.08</v>
      </c>
      <c r="R120" s="10">
        <f>VLOOKUP(E120,'IVA COMPRAS'!L:Q,6,0)</f>
        <v>1167180.08</v>
      </c>
    </row>
    <row r="121" spans="1:18" s="10" customFormat="1" hidden="1" x14ac:dyDescent="0.3">
      <c r="A121" s="10" t="s">
        <v>809</v>
      </c>
      <c r="B121" s="10" t="s">
        <v>783</v>
      </c>
      <c r="C121" s="11">
        <v>6010</v>
      </c>
      <c r="D121" s="11">
        <v>55260</v>
      </c>
      <c r="E121" s="14" t="str">
        <f>CONCATENATE(H121,C121,D121)</f>
        <v>30501116242601055260</v>
      </c>
      <c r="F121" s="11">
        <v>34172469381004</v>
      </c>
      <c r="G121" s="10" t="s">
        <v>778</v>
      </c>
      <c r="H121" s="11">
        <v>30501116242</v>
      </c>
      <c r="I121" s="10" t="s">
        <v>802</v>
      </c>
      <c r="J121" s="11">
        <v>1</v>
      </c>
      <c r="K121" s="10" t="s">
        <v>779</v>
      </c>
      <c r="L121" s="12">
        <v>232642.81</v>
      </c>
      <c r="M121" s="11">
        <v>0</v>
      </c>
      <c r="N121" s="11">
        <v>0</v>
      </c>
      <c r="O121" s="11">
        <v>0</v>
      </c>
      <c r="P121" s="12">
        <v>48854.99</v>
      </c>
      <c r="Q121" s="12">
        <v>281497.78999999998</v>
      </c>
      <c r="R121" s="10">
        <f>VLOOKUP(E121,'IVA COMPRAS'!L:Q,6,0)</f>
        <v>-281497.78999999998</v>
      </c>
    </row>
    <row r="122" spans="1:18" s="10" customFormat="1" hidden="1" x14ac:dyDescent="0.3">
      <c r="A122" s="10" t="s">
        <v>818</v>
      </c>
      <c r="B122" s="10" t="s">
        <v>777</v>
      </c>
      <c r="C122" s="11">
        <v>6004</v>
      </c>
      <c r="D122" s="11">
        <v>3619869</v>
      </c>
      <c r="E122" s="14" t="str">
        <f>CONCATENATE(H122,C122,D122)</f>
        <v>3050111624260043619869</v>
      </c>
      <c r="F122" s="11">
        <v>34172469381004</v>
      </c>
      <c r="G122" s="10" t="s">
        <v>778</v>
      </c>
      <c r="H122" s="11">
        <v>30501116242</v>
      </c>
      <c r="I122" s="10" t="s">
        <v>802</v>
      </c>
      <c r="J122" s="11">
        <v>1</v>
      </c>
      <c r="K122" s="10" t="s">
        <v>779</v>
      </c>
      <c r="L122" s="12">
        <v>1436969.81</v>
      </c>
      <c r="M122" s="11">
        <v>0</v>
      </c>
      <c r="N122" s="11">
        <v>0</v>
      </c>
      <c r="O122" s="11">
        <v>0</v>
      </c>
      <c r="P122" s="12">
        <v>301763.65999999997</v>
      </c>
      <c r="Q122" s="12">
        <v>1810581.97</v>
      </c>
      <c r="R122" s="10">
        <f>VLOOKUP(E122,'IVA COMPRAS'!L:Q,6,0)</f>
        <v>1810581.97</v>
      </c>
    </row>
    <row r="123" spans="1:18" s="10" customFormat="1" hidden="1" x14ac:dyDescent="0.3">
      <c r="A123" s="10" t="s">
        <v>823</v>
      </c>
      <c r="B123" s="10" t="s">
        <v>777</v>
      </c>
      <c r="C123" s="11">
        <v>6004</v>
      </c>
      <c r="D123" s="11">
        <v>3624033</v>
      </c>
      <c r="E123" s="14" t="str">
        <f>CONCATENATE(H123,C123,D123)</f>
        <v>3050111624260043624033</v>
      </c>
      <c r="F123" s="11">
        <v>34192441466537</v>
      </c>
      <c r="G123" s="10" t="s">
        <v>778</v>
      </c>
      <c r="H123" s="11">
        <v>30501116242</v>
      </c>
      <c r="I123" s="10" t="s">
        <v>802</v>
      </c>
      <c r="J123" s="11">
        <v>1</v>
      </c>
      <c r="K123" s="10" t="s">
        <v>779</v>
      </c>
      <c r="L123" s="12">
        <v>277477.19</v>
      </c>
      <c r="M123" s="11">
        <v>0</v>
      </c>
      <c r="N123" s="11">
        <v>0</v>
      </c>
      <c r="O123" s="11">
        <v>0</v>
      </c>
      <c r="P123" s="12">
        <v>58270.21</v>
      </c>
      <c r="Q123" s="12">
        <v>349621.24</v>
      </c>
      <c r="R123" s="10">
        <f>VLOOKUP(E123,'IVA COMPRAS'!L:Q,6,0)</f>
        <v>349621.24</v>
      </c>
    </row>
    <row r="124" spans="1:18" s="10" customFormat="1" hidden="1" x14ac:dyDescent="0.3">
      <c r="A124" s="10" t="s">
        <v>824</v>
      </c>
      <c r="B124" s="10" t="s">
        <v>783</v>
      </c>
      <c r="C124" s="11">
        <v>6010</v>
      </c>
      <c r="D124" s="11">
        <v>55334</v>
      </c>
      <c r="E124" s="14" t="str">
        <f>CONCATENATE(H124,C124,D124)</f>
        <v>30501116242601055334</v>
      </c>
      <c r="F124" s="11">
        <v>34192441466537</v>
      </c>
      <c r="G124" s="10" t="s">
        <v>778</v>
      </c>
      <c r="H124" s="11">
        <v>30501116242</v>
      </c>
      <c r="I124" s="10" t="s">
        <v>802</v>
      </c>
      <c r="J124" s="11">
        <v>1</v>
      </c>
      <c r="K124" s="10" t="s">
        <v>779</v>
      </c>
      <c r="L124" s="11">
        <v>171565</v>
      </c>
      <c r="M124" s="11">
        <v>0</v>
      </c>
      <c r="N124" s="11">
        <v>0</v>
      </c>
      <c r="O124" s="11">
        <v>0</v>
      </c>
      <c r="P124" s="12">
        <v>36028.65</v>
      </c>
      <c r="Q124" s="12">
        <v>207593.65</v>
      </c>
      <c r="R124" s="10">
        <f>VLOOKUP(E124,'IVA COMPRAS'!L:Q,6,0)</f>
        <v>-207593.65</v>
      </c>
    </row>
    <row r="125" spans="1:18" s="10" customFormat="1" hidden="1" x14ac:dyDescent="0.3">
      <c r="A125" s="10" t="s">
        <v>827</v>
      </c>
      <c r="B125" s="10" t="s">
        <v>777</v>
      </c>
      <c r="C125" s="11">
        <v>6004</v>
      </c>
      <c r="D125" s="11">
        <v>3628448</v>
      </c>
      <c r="E125" s="14" t="str">
        <f>CONCATENATE(H125,C125,D125)</f>
        <v>3050111624260043628448</v>
      </c>
      <c r="F125" s="11">
        <v>34192441466537</v>
      </c>
      <c r="G125" s="10" t="s">
        <v>778</v>
      </c>
      <c r="H125" s="11">
        <v>30501116242</v>
      </c>
      <c r="I125" s="10" t="s">
        <v>802</v>
      </c>
      <c r="J125" s="11">
        <v>1</v>
      </c>
      <c r="K125" s="10" t="s">
        <v>779</v>
      </c>
      <c r="L125" s="12">
        <v>1235245.29</v>
      </c>
      <c r="M125" s="11">
        <v>0</v>
      </c>
      <c r="N125" s="11">
        <v>0</v>
      </c>
      <c r="O125" s="11">
        <v>0</v>
      </c>
      <c r="P125" s="12">
        <v>259401.51</v>
      </c>
      <c r="Q125" s="12">
        <v>1556409.06</v>
      </c>
      <c r="R125" s="10">
        <f>VLOOKUP(E125,'IVA COMPRAS'!L:Q,6,0)</f>
        <v>1556409.06</v>
      </c>
    </row>
    <row r="126" spans="1:18" s="10" customFormat="1" hidden="1" x14ac:dyDescent="0.3">
      <c r="A126" s="10" t="s">
        <v>831</v>
      </c>
      <c r="B126" s="10" t="s">
        <v>777</v>
      </c>
      <c r="C126" s="11">
        <v>6004</v>
      </c>
      <c r="D126" s="11">
        <v>3631374</v>
      </c>
      <c r="E126" s="14" t="str">
        <f>CONCATENATE(H126,C126,D126)</f>
        <v>3050111624260043631374</v>
      </c>
      <c r="F126" s="11">
        <v>34192441466537</v>
      </c>
      <c r="G126" s="10" t="s">
        <v>778</v>
      </c>
      <c r="H126" s="11">
        <v>30501116242</v>
      </c>
      <c r="I126" s="10" t="s">
        <v>802</v>
      </c>
      <c r="J126" s="11">
        <v>1</v>
      </c>
      <c r="K126" s="10" t="s">
        <v>779</v>
      </c>
      <c r="L126" s="12">
        <v>1102669.43</v>
      </c>
      <c r="M126" s="11">
        <v>0</v>
      </c>
      <c r="N126" s="11">
        <v>0</v>
      </c>
      <c r="O126" s="11">
        <v>0</v>
      </c>
      <c r="P126" s="12">
        <v>231560.58</v>
      </c>
      <c r="Q126" s="12">
        <v>1389363.46</v>
      </c>
      <c r="R126" s="10">
        <f>VLOOKUP(E126,'IVA COMPRAS'!L:Q,6,0)</f>
        <v>1389363.46</v>
      </c>
    </row>
    <row r="127" spans="1:18" s="10" customFormat="1" hidden="1" x14ac:dyDescent="0.3">
      <c r="A127" s="10" t="s">
        <v>835</v>
      </c>
      <c r="B127" s="10" t="s">
        <v>777</v>
      </c>
      <c r="C127" s="11">
        <v>6004</v>
      </c>
      <c r="D127" s="11">
        <v>3636249</v>
      </c>
      <c r="E127" s="14" t="str">
        <f>CONCATENATE(H127,C127,D127)</f>
        <v>3050111624260043636249</v>
      </c>
      <c r="F127" s="11">
        <v>34192441466537</v>
      </c>
      <c r="G127" s="10" t="s">
        <v>778</v>
      </c>
      <c r="H127" s="11">
        <v>30501116242</v>
      </c>
      <c r="I127" s="10" t="s">
        <v>802</v>
      </c>
      <c r="J127" s="11">
        <v>1</v>
      </c>
      <c r="K127" s="10" t="s">
        <v>779</v>
      </c>
      <c r="L127" s="12">
        <v>251284.62</v>
      </c>
      <c r="M127" s="11">
        <v>0</v>
      </c>
      <c r="N127" s="11">
        <v>0</v>
      </c>
      <c r="O127" s="11">
        <v>0</v>
      </c>
      <c r="P127" s="12">
        <v>52769.77</v>
      </c>
      <c r="Q127" s="12">
        <v>316618.62</v>
      </c>
      <c r="R127" s="10">
        <f>VLOOKUP(E127,'IVA COMPRAS'!L:Q,6,0)</f>
        <v>316618.62</v>
      </c>
    </row>
    <row r="128" spans="1:18" s="10" customFormat="1" hidden="1" x14ac:dyDescent="0.3">
      <c r="A128" s="10" t="s">
        <v>839</v>
      </c>
      <c r="B128" s="10" t="s">
        <v>777</v>
      </c>
      <c r="C128" s="11">
        <v>6004</v>
      </c>
      <c r="D128" s="11">
        <v>3639149</v>
      </c>
      <c r="E128" s="14" t="str">
        <f>CONCATENATE(H128,C128,D128)</f>
        <v>3050111624260043639149</v>
      </c>
      <c r="F128" s="11">
        <v>34192441466537</v>
      </c>
      <c r="G128" s="10" t="s">
        <v>778</v>
      </c>
      <c r="H128" s="11">
        <v>30501116242</v>
      </c>
      <c r="I128" s="10" t="s">
        <v>802</v>
      </c>
      <c r="J128" s="11">
        <v>1</v>
      </c>
      <c r="K128" s="10" t="s">
        <v>779</v>
      </c>
      <c r="L128" s="12">
        <v>1597479.19</v>
      </c>
      <c r="M128" s="11">
        <v>0</v>
      </c>
      <c r="N128" s="11">
        <v>0</v>
      </c>
      <c r="O128" s="11">
        <v>0</v>
      </c>
      <c r="P128" s="12">
        <v>335470.63</v>
      </c>
      <c r="Q128" s="12">
        <v>2012823.79</v>
      </c>
      <c r="R128" s="10">
        <f>VLOOKUP(E128,'IVA COMPRAS'!L:Q,6,0)</f>
        <v>2012823.79</v>
      </c>
    </row>
    <row r="129" spans="1:18" s="10" customFormat="1" x14ac:dyDescent="0.3">
      <c r="A129" s="10" t="s">
        <v>796</v>
      </c>
      <c r="B129" s="10" t="s">
        <v>777</v>
      </c>
      <c r="C129" s="11">
        <v>2038</v>
      </c>
      <c r="D129" s="11">
        <v>71052</v>
      </c>
      <c r="E129" s="14" t="str">
        <f>CONCATENATE(H129,C129,D129)</f>
        <v>30516186670203871052</v>
      </c>
      <c r="F129" s="11">
        <v>74190169128405</v>
      </c>
      <c r="G129" s="10" t="s">
        <v>778</v>
      </c>
      <c r="H129" s="11">
        <v>30516186670</v>
      </c>
      <c r="I129" s="10" t="s">
        <v>799</v>
      </c>
      <c r="J129" s="11">
        <v>1</v>
      </c>
      <c r="K129" s="10" t="s">
        <v>779</v>
      </c>
      <c r="L129" s="12">
        <v>70070.78</v>
      </c>
      <c r="M129" s="11">
        <v>0</v>
      </c>
      <c r="N129" s="11">
        <v>0</v>
      </c>
      <c r="O129" s="11">
        <v>0</v>
      </c>
      <c r="P129" s="12">
        <v>14714.86</v>
      </c>
      <c r="Q129" s="12">
        <v>96910.85</v>
      </c>
      <c r="R129" s="10" t="e">
        <f>VLOOKUP(E129,'IVA COMPRAS'!L:Q,6,0)</f>
        <v>#N/A</v>
      </c>
    </row>
    <row r="130" spans="1:18" s="10" customFormat="1" hidden="1" x14ac:dyDescent="0.3">
      <c r="A130" s="10" t="s">
        <v>781</v>
      </c>
      <c r="B130" s="10" t="s">
        <v>784</v>
      </c>
      <c r="C130" s="11">
        <v>2</v>
      </c>
      <c r="D130" s="11">
        <v>311</v>
      </c>
      <c r="E130" s="14" t="str">
        <f>CONCATENATE(H130,C130,D130)</f>
        <v>272069414192311</v>
      </c>
      <c r="F130" s="11">
        <v>74189711692191</v>
      </c>
      <c r="G130" s="10" t="s">
        <v>778</v>
      </c>
      <c r="H130" s="11">
        <v>27206941419</v>
      </c>
      <c r="I130" s="10" t="s">
        <v>108</v>
      </c>
      <c r="J130" s="11">
        <v>1</v>
      </c>
      <c r="K130" s="10" t="s">
        <v>779</v>
      </c>
      <c r="O130" s="11">
        <v>0</v>
      </c>
      <c r="Q130" s="11">
        <v>150000</v>
      </c>
      <c r="R130" s="10">
        <f>VLOOKUP(E130,'IVA COMPRAS'!L:Q,6,0)</f>
        <v>150000</v>
      </c>
    </row>
    <row r="131" spans="1:18" s="10" customFormat="1" hidden="1" x14ac:dyDescent="0.3">
      <c r="A131" s="10" t="s">
        <v>800</v>
      </c>
      <c r="B131" s="10" t="s">
        <v>804</v>
      </c>
      <c r="C131" s="11">
        <v>10</v>
      </c>
      <c r="D131" s="11">
        <v>3248</v>
      </c>
      <c r="E131" s="14" t="str">
        <f>CONCATENATE(H131,C131,D131)</f>
        <v>30642219355103248</v>
      </c>
      <c r="F131" s="11">
        <v>74195275571024</v>
      </c>
      <c r="G131" s="10" t="s">
        <v>778</v>
      </c>
      <c r="H131" s="11">
        <v>30642219355</v>
      </c>
      <c r="I131" s="10" t="s">
        <v>241</v>
      </c>
      <c r="J131" s="11">
        <v>1</v>
      </c>
      <c r="K131" s="10" t="s">
        <v>779</v>
      </c>
      <c r="L131" s="12">
        <v>4940.62</v>
      </c>
      <c r="M131" s="11">
        <v>0</v>
      </c>
      <c r="N131" s="11">
        <v>0</v>
      </c>
      <c r="O131" s="11">
        <v>0</v>
      </c>
      <c r="P131" s="12">
        <v>1037.53</v>
      </c>
      <c r="Q131" s="12">
        <v>6373.42</v>
      </c>
      <c r="R131" s="10">
        <f>VLOOKUP(E131,'IVA COMPRAS'!L:Q,6,0)</f>
        <v>6373.42</v>
      </c>
    </row>
    <row r="132" spans="1:18" s="10" customFormat="1" hidden="1" x14ac:dyDescent="0.3">
      <c r="A132" s="10" t="s">
        <v>816</v>
      </c>
      <c r="B132" s="10" t="s">
        <v>783</v>
      </c>
      <c r="C132" s="11">
        <v>10</v>
      </c>
      <c r="D132" s="11">
        <v>52763</v>
      </c>
      <c r="E132" s="14" t="str">
        <f>CONCATENATE(H132,C132,D132)</f>
        <v>306422193551052763</v>
      </c>
      <c r="F132" s="11">
        <v>74205934664992</v>
      </c>
      <c r="G132" s="10" t="s">
        <v>778</v>
      </c>
      <c r="H132" s="11">
        <v>30642219355</v>
      </c>
      <c r="I132" s="10" t="s">
        <v>241</v>
      </c>
      <c r="J132" s="11">
        <v>1</v>
      </c>
      <c r="K132" s="10" t="s">
        <v>779</v>
      </c>
      <c r="L132" s="12">
        <v>851749.81</v>
      </c>
      <c r="M132" s="11">
        <v>0</v>
      </c>
      <c r="N132" s="11">
        <v>0</v>
      </c>
      <c r="O132" s="11">
        <v>0</v>
      </c>
      <c r="P132" s="12">
        <v>178867.46</v>
      </c>
      <c r="Q132" s="12">
        <v>1030617.26</v>
      </c>
      <c r="R132" s="10">
        <f>VLOOKUP(E132,'IVA COMPRAS'!L:Q,6,0)</f>
        <v>-1030617.26</v>
      </c>
    </row>
    <row r="133" spans="1:18" s="10" customFormat="1" hidden="1" x14ac:dyDescent="0.3">
      <c r="A133" s="10" t="s">
        <v>834</v>
      </c>
      <c r="B133" s="10" t="s">
        <v>777</v>
      </c>
      <c r="C133" s="11">
        <v>10</v>
      </c>
      <c r="D133" s="11">
        <v>154675</v>
      </c>
      <c r="E133" s="14" t="str">
        <f>CONCATENATE(H133,C133,D133)</f>
        <v>3064221935510154675</v>
      </c>
      <c r="F133" s="11">
        <v>74225376663893</v>
      </c>
      <c r="G133" s="10" t="s">
        <v>778</v>
      </c>
      <c r="H133" s="11">
        <v>30642219355</v>
      </c>
      <c r="I133" s="10" t="s">
        <v>241</v>
      </c>
      <c r="J133" s="11">
        <v>1</v>
      </c>
      <c r="K133" s="10" t="s">
        <v>779</v>
      </c>
      <c r="L133" s="12">
        <v>2091002.52</v>
      </c>
      <c r="M133" s="11">
        <v>0</v>
      </c>
      <c r="N133" s="11">
        <v>0</v>
      </c>
      <c r="O133" s="11">
        <v>0</v>
      </c>
      <c r="P133" s="12">
        <v>439110.53</v>
      </c>
      <c r="Q133" s="12">
        <v>2697393.24</v>
      </c>
      <c r="R133" s="10">
        <f>VLOOKUP(E133,'IVA COMPRAS'!L:Q,6,0)</f>
        <v>0.65</v>
      </c>
    </row>
    <row r="134" spans="1:18" s="10" customFormat="1" hidden="1" x14ac:dyDescent="0.3">
      <c r="A134" s="10" t="s">
        <v>781</v>
      </c>
      <c r="B134" s="10" t="s">
        <v>777</v>
      </c>
      <c r="C134" s="11">
        <v>1001</v>
      </c>
      <c r="D134" s="11">
        <v>235420</v>
      </c>
      <c r="E134" s="14" t="str">
        <f>CONCATENATE(H134,C134,D134)</f>
        <v>305866115221001235420</v>
      </c>
      <c r="F134" s="11">
        <v>74182699920642</v>
      </c>
      <c r="G134" s="10" t="s">
        <v>778</v>
      </c>
      <c r="H134" s="11">
        <v>30586611522</v>
      </c>
      <c r="I134" s="10" t="s">
        <v>92</v>
      </c>
      <c r="J134" s="11">
        <v>1</v>
      </c>
      <c r="K134" s="10" t="s">
        <v>779</v>
      </c>
      <c r="L134" s="11">
        <v>6686900</v>
      </c>
      <c r="N134" s="11">
        <v>0</v>
      </c>
      <c r="O134" s="11">
        <v>0</v>
      </c>
      <c r="P134" s="11">
        <v>1404249</v>
      </c>
      <c r="Q134" s="11">
        <v>8626101</v>
      </c>
      <c r="R134" s="10">
        <f>VLOOKUP(E134,'IVA COMPRAS'!L:Q,6,0)</f>
        <v>8626101</v>
      </c>
    </row>
    <row r="135" spans="1:18" s="10" customFormat="1" hidden="1" x14ac:dyDescent="0.3">
      <c r="A135" s="10" t="s">
        <v>781</v>
      </c>
      <c r="B135" s="10" t="s">
        <v>777</v>
      </c>
      <c r="C135" s="11">
        <v>1001</v>
      </c>
      <c r="D135" s="11">
        <v>235421</v>
      </c>
      <c r="E135" s="14" t="str">
        <f>CONCATENATE(H135,C135,D135)</f>
        <v>305866115221001235421</v>
      </c>
      <c r="F135" s="11">
        <v>74182699921643</v>
      </c>
      <c r="G135" s="10" t="s">
        <v>778</v>
      </c>
      <c r="H135" s="11">
        <v>30586611522</v>
      </c>
      <c r="I135" s="10" t="s">
        <v>92</v>
      </c>
      <c r="J135" s="11">
        <v>1</v>
      </c>
      <c r="K135" s="10" t="s">
        <v>779</v>
      </c>
      <c r="L135" s="11">
        <v>1774364</v>
      </c>
      <c r="N135" s="11">
        <v>0</v>
      </c>
      <c r="O135" s="11">
        <v>0</v>
      </c>
      <c r="P135" s="12">
        <v>372616.44</v>
      </c>
      <c r="Q135" s="12">
        <v>2288929.56</v>
      </c>
      <c r="R135" s="10">
        <f>VLOOKUP(E135,'IVA COMPRAS'!L:Q,6,0)</f>
        <v>2288929.56</v>
      </c>
    </row>
    <row r="136" spans="1:18" s="10" customFormat="1" hidden="1" x14ac:dyDescent="0.3">
      <c r="A136" s="10" t="s">
        <v>800</v>
      </c>
      <c r="B136" s="10" t="s">
        <v>777</v>
      </c>
      <c r="C136" s="11">
        <v>1001</v>
      </c>
      <c r="D136" s="11">
        <v>235600</v>
      </c>
      <c r="E136" s="14" t="str">
        <f>CONCATENATE(H136,C136,D136)</f>
        <v>305866115221001235600</v>
      </c>
      <c r="F136" s="11">
        <v>74192262067274</v>
      </c>
      <c r="G136" s="10" t="s">
        <v>778</v>
      </c>
      <c r="H136" s="11">
        <v>30586611522</v>
      </c>
      <c r="I136" s="10" t="s">
        <v>92</v>
      </c>
      <c r="J136" s="11">
        <v>1</v>
      </c>
      <c r="K136" s="10" t="s">
        <v>779</v>
      </c>
      <c r="L136" s="11">
        <v>1812720</v>
      </c>
      <c r="N136" s="11">
        <v>0</v>
      </c>
      <c r="O136" s="11">
        <v>0</v>
      </c>
      <c r="P136" s="10">
        <v>380671.2</v>
      </c>
      <c r="Q136" s="10">
        <v>2338408.7999999998</v>
      </c>
      <c r="R136" s="10">
        <f>VLOOKUP(E136,'IVA COMPRAS'!L:Q,6,0)</f>
        <v>2338408.7999999998</v>
      </c>
    </row>
    <row r="137" spans="1:18" s="10" customFormat="1" hidden="1" x14ac:dyDescent="0.3">
      <c r="A137" s="10" t="s">
        <v>805</v>
      </c>
      <c r="B137" s="10" t="s">
        <v>777</v>
      </c>
      <c r="C137" s="11">
        <v>1001</v>
      </c>
      <c r="D137" s="11">
        <v>235628</v>
      </c>
      <c r="E137" s="14" t="str">
        <f>CONCATENATE(H137,C137,D137)</f>
        <v>305866115221001235628</v>
      </c>
      <c r="F137" s="11">
        <v>74192355246118</v>
      </c>
      <c r="G137" s="10" t="s">
        <v>778</v>
      </c>
      <c r="H137" s="11">
        <v>30586611522</v>
      </c>
      <c r="I137" s="10" t="s">
        <v>92</v>
      </c>
      <c r="J137" s="11">
        <v>1</v>
      </c>
      <c r="K137" s="10" t="s">
        <v>779</v>
      </c>
      <c r="L137" s="11">
        <v>7021200</v>
      </c>
      <c r="N137" s="11">
        <v>0</v>
      </c>
      <c r="O137" s="11">
        <v>0</v>
      </c>
      <c r="P137" s="11">
        <v>1474452</v>
      </c>
      <c r="Q137" s="11">
        <v>9057348</v>
      </c>
      <c r="R137" s="10">
        <f>VLOOKUP(E137,'IVA COMPRAS'!L:Q,6,0)</f>
        <v>9057348</v>
      </c>
    </row>
    <row r="138" spans="1:18" s="10" customFormat="1" hidden="1" x14ac:dyDescent="0.3">
      <c r="A138" s="10" t="s">
        <v>819</v>
      </c>
      <c r="B138" s="10" t="s">
        <v>777</v>
      </c>
      <c r="C138" s="11">
        <v>1001</v>
      </c>
      <c r="D138" s="11">
        <v>235954</v>
      </c>
      <c r="E138" s="14" t="str">
        <f>CONCATENATE(H138,C138,D138)</f>
        <v>305866115221001235954</v>
      </c>
      <c r="F138" s="11">
        <v>74202126369581</v>
      </c>
      <c r="G138" s="10" t="s">
        <v>778</v>
      </c>
      <c r="H138" s="11">
        <v>30586611522</v>
      </c>
      <c r="I138" s="10" t="s">
        <v>92</v>
      </c>
      <c r="J138" s="11">
        <v>1</v>
      </c>
      <c r="K138" s="10" t="s">
        <v>779</v>
      </c>
      <c r="L138" s="11">
        <v>11512278</v>
      </c>
      <c r="N138" s="11">
        <v>0</v>
      </c>
      <c r="O138" s="11">
        <v>0</v>
      </c>
      <c r="P138" s="12">
        <v>2417578.38</v>
      </c>
      <c r="Q138" s="12">
        <v>14850838.619999999</v>
      </c>
      <c r="R138" s="10">
        <f>VLOOKUP(E138,'IVA COMPRAS'!L:Q,6,0)</f>
        <v>14850838.619999999</v>
      </c>
    </row>
    <row r="139" spans="1:18" s="10" customFormat="1" hidden="1" x14ac:dyDescent="0.3">
      <c r="A139" s="10" t="s">
        <v>827</v>
      </c>
      <c r="B139" s="10" t="s">
        <v>777</v>
      </c>
      <c r="C139" s="11">
        <v>1001</v>
      </c>
      <c r="D139" s="11">
        <v>236270</v>
      </c>
      <c r="E139" s="14" t="str">
        <f>CONCATENATE(H139,C139,D139)</f>
        <v>305866115221001236270</v>
      </c>
      <c r="F139" s="11">
        <v>74212796385815</v>
      </c>
      <c r="G139" s="10" t="s">
        <v>778</v>
      </c>
      <c r="H139" s="11">
        <v>30586611522</v>
      </c>
      <c r="I139" s="10" t="s">
        <v>92</v>
      </c>
      <c r="J139" s="11">
        <v>1</v>
      </c>
      <c r="K139" s="10" t="s">
        <v>779</v>
      </c>
      <c r="L139" s="11">
        <v>7021200</v>
      </c>
      <c r="N139" s="11">
        <v>0</v>
      </c>
      <c r="O139" s="11">
        <v>0</v>
      </c>
      <c r="P139" s="11">
        <v>1474452</v>
      </c>
      <c r="Q139" s="11">
        <v>9057348</v>
      </c>
      <c r="R139" s="10">
        <f>VLOOKUP(E139,'IVA COMPRAS'!L:Q,6,0)</f>
        <v>9057348</v>
      </c>
    </row>
    <row r="140" spans="1:18" s="10" customFormat="1" hidden="1" x14ac:dyDescent="0.3">
      <c r="A140" s="10" t="s">
        <v>840</v>
      </c>
      <c r="B140" s="10" t="s">
        <v>777</v>
      </c>
      <c r="C140" s="11">
        <v>2</v>
      </c>
      <c r="D140" s="11">
        <v>39880</v>
      </c>
      <c r="E140" s="14" t="str">
        <f>CONCATENATE(H140,C140,D140)</f>
        <v>30582634021239880</v>
      </c>
      <c r="F140" s="11">
        <v>74221847738421</v>
      </c>
      <c r="G140" s="10" t="s">
        <v>778</v>
      </c>
      <c r="H140" s="11">
        <v>30582634021</v>
      </c>
      <c r="I140" s="10" t="s">
        <v>595</v>
      </c>
      <c r="J140" s="11">
        <v>1</v>
      </c>
      <c r="K140" s="10" t="s">
        <v>779</v>
      </c>
      <c r="L140" s="11">
        <v>2054430</v>
      </c>
      <c r="M140" s="11">
        <v>0</v>
      </c>
      <c r="N140" s="11">
        <v>0</v>
      </c>
      <c r="O140" s="11">
        <v>0</v>
      </c>
      <c r="P140" s="10">
        <v>431430.3</v>
      </c>
      <c r="Q140" s="10">
        <v>2650214.7000000002</v>
      </c>
      <c r="R140" s="10">
        <f>VLOOKUP(E140,'IVA COMPRAS'!L:Q,6,0)</f>
        <v>2650214.7000000002</v>
      </c>
    </row>
    <row r="141" spans="1:18" s="10" customFormat="1" hidden="1" x14ac:dyDescent="0.3">
      <c r="A141" s="10" t="s">
        <v>840</v>
      </c>
      <c r="B141" s="10" t="s">
        <v>777</v>
      </c>
      <c r="C141" s="11">
        <v>5</v>
      </c>
      <c r="D141" s="11">
        <v>7178</v>
      </c>
      <c r="E141" s="14" t="str">
        <f>CONCATENATE(H141,C141,D141)</f>
        <v>3071523129457178</v>
      </c>
      <c r="F141" s="11">
        <v>74224903512440</v>
      </c>
      <c r="G141" s="10" t="s">
        <v>778</v>
      </c>
      <c r="H141" s="11">
        <v>30715231294</v>
      </c>
      <c r="I141" s="10" t="s">
        <v>842</v>
      </c>
      <c r="J141" s="11">
        <v>1</v>
      </c>
      <c r="K141" s="10" t="s">
        <v>779</v>
      </c>
      <c r="L141" s="11">
        <v>389100</v>
      </c>
      <c r="M141" s="11">
        <v>0</v>
      </c>
      <c r="N141" s="11">
        <v>88400</v>
      </c>
      <c r="O141" s="11">
        <v>0</v>
      </c>
      <c r="P141" s="11">
        <v>81711</v>
      </c>
      <c r="Q141" s="15">
        <v>559211</v>
      </c>
      <c r="R141" s="10" t="e">
        <f>VLOOKUP(E141,'IVA COMPRAS'!L:Q,6,0)</f>
        <v>#N/A</v>
      </c>
    </row>
    <row r="142" spans="1:18" s="10" customFormat="1" hidden="1" x14ac:dyDescent="0.3">
      <c r="A142" s="10" t="s">
        <v>840</v>
      </c>
      <c r="B142" s="10" t="s">
        <v>783</v>
      </c>
      <c r="C142" s="11">
        <v>5</v>
      </c>
      <c r="D142" s="11">
        <v>750</v>
      </c>
      <c r="E142" s="14" t="str">
        <f>CONCATENATE(H142,C142,D142)</f>
        <v>307152312945750</v>
      </c>
      <c r="F142" s="11">
        <v>74224913527320</v>
      </c>
      <c r="G142" s="10" t="s">
        <v>778</v>
      </c>
      <c r="H142" s="11">
        <v>30715231294</v>
      </c>
      <c r="I142" s="10" t="s">
        <v>842</v>
      </c>
      <c r="J142" s="11">
        <v>1</v>
      </c>
      <c r="K142" s="10" t="s">
        <v>779</v>
      </c>
      <c r="L142" s="11">
        <v>389100</v>
      </c>
      <c r="M142" s="11">
        <v>0</v>
      </c>
      <c r="N142" s="11">
        <v>88400</v>
      </c>
      <c r="O142" s="11">
        <v>0</v>
      </c>
      <c r="P142" s="11">
        <v>81711</v>
      </c>
      <c r="Q142" s="15">
        <v>-559211</v>
      </c>
      <c r="R142" s="10" t="e">
        <f>VLOOKUP(E142,'IVA COMPRAS'!L:Q,6,0)</f>
        <v>#N/A</v>
      </c>
    </row>
    <row r="143" spans="1:18" s="10" customFormat="1" hidden="1" x14ac:dyDescent="0.3">
      <c r="A143" s="10" t="s">
        <v>835</v>
      </c>
      <c r="B143" s="10" t="s">
        <v>777</v>
      </c>
      <c r="C143" s="11">
        <v>3</v>
      </c>
      <c r="D143" s="11">
        <v>5267</v>
      </c>
      <c r="E143" s="14" t="str">
        <f>CONCATENATE(H143,C143,D143)</f>
        <v>3371419199935267</v>
      </c>
      <c r="F143" s="11">
        <v>74229564817807</v>
      </c>
      <c r="G143" s="10" t="s">
        <v>778</v>
      </c>
      <c r="H143" s="11">
        <v>33714191999</v>
      </c>
      <c r="I143" s="10" t="s">
        <v>836</v>
      </c>
      <c r="J143" s="11">
        <v>1</v>
      </c>
      <c r="K143" s="10" t="s">
        <v>779</v>
      </c>
      <c r="L143" s="11">
        <v>669850</v>
      </c>
      <c r="M143" s="11">
        <v>0</v>
      </c>
      <c r="N143" s="11">
        <v>0</v>
      </c>
      <c r="O143" s="11">
        <v>0</v>
      </c>
      <c r="P143" s="10">
        <v>140668.5</v>
      </c>
      <c r="Q143" s="10">
        <v>810518.5</v>
      </c>
      <c r="R143" s="10">
        <f>VLOOKUP(E143,'IVA COMPRAS'!L:Q,6,0)</f>
        <v>810518.5</v>
      </c>
    </row>
    <row r="144" spans="1:18" s="10" customFormat="1" hidden="1" x14ac:dyDescent="0.3">
      <c r="A144" s="10" t="s">
        <v>781</v>
      </c>
      <c r="B144" s="10" t="s">
        <v>777</v>
      </c>
      <c r="C144" s="11">
        <v>5</v>
      </c>
      <c r="D144" s="11">
        <v>951</v>
      </c>
      <c r="E144" s="14" t="str">
        <f>CONCATENATE(H144,C144,D144)</f>
        <v>307095717175951</v>
      </c>
      <c r="F144" s="11">
        <v>74187658232037</v>
      </c>
      <c r="G144" s="10" t="s">
        <v>778</v>
      </c>
      <c r="H144" s="11">
        <v>30709571717</v>
      </c>
      <c r="I144" s="10" t="s">
        <v>782</v>
      </c>
      <c r="J144" s="11">
        <v>1</v>
      </c>
      <c r="K144" s="10" t="s">
        <v>779</v>
      </c>
      <c r="L144" s="10">
        <v>19433553.600000001</v>
      </c>
      <c r="M144" s="11">
        <v>0</v>
      </c>
      <c r="N144" s="11">
        <v>0</v>
      </c>
      <c r="O144" s="11">
        <v>0</v>
      </c>
      <c r="P144" s="12">
        <v>4081046.26</v>
      </c>
      <c r="Q144" s="12">
        <v>23514599.859999999</v>
      </c>
      <c r="R144" s="10">
        <f>VLOOKUP(E144,'IVA COMPRAS'!L:Q,6,0)</f>
        <v>23514599.859999999</v>
      </c>
    </row>
    <row r="145" spans="1:18" s="10" customFormat="1" hidden="1" x14ac:dyDescent="0.3">
      <c r="A145" s="10" t="s">
        <v>781</v>
      </c>
      <c r="B145" s="10" t="s">
        <v>783</v>
      </c>
      <c r="C145" s="11">
        <v>5</v>
      </c>
      <c r="D145" s="11">
        <v>248</v>
      </c>
      <c r="E145" s="14" t="str">
        <f>CONCATENATE(H145,C145,D145)</f>
        <v>307095717175248</v>
      </c>
      <c r="F145" s="11">
        <v>74187664940766</v>
      </c>
      <c r="G145" s="10" t="s">
        <v>778</v>
      </c>
      <c r="H145" s="11">
        <v>30709571717</v>
      </c>
      <c r="I145" s="10" t="s">
        <v>782</v>
      </c>
      <c r="J145" s="11">
        <v>1</v>
      </c>
      <c r="K145" s="10" t="s">
        <v>779</v>
      </c>
      <c r="L145" s="12">
        <v>684297.52</v>
      </c>
      <c r="M145" s="11">
        <v>0</v>
      </c>
      <c r="N145" s="11">
        <v>0</v>
      </c>
      <c r="O145" s="11">
        <v>0</v>
      </c>
      <c r="P145" s="12">
        <v>143702.48000000001</v>
      </c>
      <c r="Q145" s="11">
        <v>828000</v>
      </c>
      <c r="R145" s="10">
        <f>VLOOKUP(E145,'IVA COMPRAS'!L:Q,6,0)</f>
        <v>-828000</v>
      </c>
    </row>
    <row r="146" spans="1:18" s="10" customFormat="1" hidden="1" x14ac:dyDescent="0.3">
      <c r="A146" s="10" t="s">
        <v>810</v>
      </c>
      <c r="B146" s="10" t="s">
        <v>783</v>
      </c>
      <c r="C146" s="11">
        <v>5</v>
      </c>
      <c r="D146" s="11">
        <v>250</v>
      </c>
      <c r="E146" s="14" t="str">
        <f>CONCATENATE(H146,C146,D146)</f>
        <v>307095717175250</v>
      </c>
      <c r="F146" s="11">
        <v>74197663663431</v>
      </c>
      <c r="G146" s="10" t="s">
        <v>778</v>
      </c>
      <c r="H146" s="11">
        <v>30709571717</v>
      </c>
      <c r="I146" s="10" t="s">
        <v>782</v>
      </c>
      <c r="J146" s="11">
        <v>1</v>
      </c>
      <c r="K146" s="10" t="s">
        <v>779</v>
      </c>
      <c r="L146" s="11">
        <v>69600</v>
      </c>
      <c r="M146" s="11">
        <v>0</v>
      </c>
      <c r="N146" s="11">
        <v>0</v>
      </c>
      <c r="O146" s="11">
        <v>0</v>
      </c>
      <c r="P146" s="11">
        <v>14616</v>
      </c>
      <c r="Q146" s="11">
        <v>84216</v>
      </c>
      <c r="R146" s="10">
        <f>VLOOKUP(E146,'IVA COMPRAS'!L:Q,6,0)</f>
        <v>-84216</v>
      </c>
    </row>
    <row r="147" spans="1:18" s="10" customFormat="1" hidden="1" x14ac:dyDescent="0.3">
      <c r="A147" s="10" t="s">
        <v>816</v>
      </c>
      <c r="B147" s="10" t="s">
        <v>783</v>
      </c>
      <c r="C147" s="11">
        <v>5</v>
      </c>
      <c r="D147" s="11">
        <v>251</v>
      </c>
      <c r="E147" s="14" t="str">
        <f>CONCATENATE(H147,C147,D147)</f>
        <v>307095717175251</v>
      </c>
      <c r="F147" s="11">
        <v>74207928529875</v>
      </c>
      <c r="G147" s="10" t="s">
        <v>778</v>
      </c>
      <c r="H147" s="11">
        <v>30709571717</v>
      </c>
      <c r="I147" s="10" t="s">
        <v>782</v>
      </c>
      <c r="J147" s="11">
        <v>1</v>
      </c>
      <c r="K147" s="10" t="s">
        <v>779</v>
      </c>
      <c r="L147" s="12">
        <v>101152.01</v>
      </c>
      <c r="M147" s="11">
        <v>0</v>
      </c>
      <c r="N147" s="11">
        <v>0</v>
      </c>
      <c r="O147" s="11">
        <v>0</v>
      </c>
      <c r="P147" s="12">
        <v>21241.919999999998</v>
      </c>
      <c r="Q147" s="12">
        <v>122393.93</v>
      </c>
      <c r="R147" s="10">
        <f>VLOOKUP(E147,'IVA COMPRAS'!L:Q,6,0)</f>
        <v>-122393.93</v>
      </c>
    </row>
    <row r="148" spans="1:18" s="10" customFormat="1" hidden="1" x14ac:dyDescent="0.3">
      <c r="A148" s="10" t="s">
        <v>785</v>
      </c>
      <c r="B148" s="10" t="s">
        <v>777</v>
      </c>
      <c r="C148" s="11">
        <v>2</v>
      </c>
      <c r="D148" s="11">
        <v>5375</v>
      </c>
      <c r="E148" s="14" t="str">
        <f>CONCATENATE(H148,C148,D148)</f>
        <v>3071131140425375</v>
      </c>
      <c r="F148" s="11">
        <v>74184846821207</v>
      </c>
      <c r="G148" s="10" t="s">
        <v>778</v>
      </c>
      <c r="H148" s="11">
        <v>30711311404</v>
      </c>
      <c r="I148" s="10" t="s">
        <v>116</v>
      </c>
      <c r="J148" s="11">
        <v>1</v>
      </c>
      <c r="K148" s="10" t="s">
        <v>779</v>
      </c>
      <c r="L148" s="11">
        <v>9042000</v>
      </c>
      <c r="M148" s="11">
        <v>0</v>
      </c>
      <c r="N148" s="11">
        <v>0</v>
      </c>
      <c r="O148" s="11">
        <v>0</v>
      </c>
      <c r="P148" s="11">
        <v>1898820</v>
      </c>
      <c r="Q148" s="11">
        <v>10940820</v>
      </c>
      <c r="R148" s="10">
        <f>VLOOKUP(E148,'IVA COMPRAS'!L:Q,6,0)</f>
        <v>10940820</v>
      </c>
    </row>
    <row r="149" spans="1:18" s="10" customFormat="1" hidden="1" x14ac:dyDescent="0.3">
      <c r="A149" s="10" t="s">
        <v>785</v>
      </c>
      <c r="B149" s="10" t="s">
        <v>783</v>
      </c>
      <c r="C149" s="11">
        <v>2</v>
      </c>
      <c r="D149" s="11">
        <v>411</v>
      </c>
      <c r="E149" s="14" t="str">
        <f>CONCATENATE(H149,C149,D149)</f>
        <v>307113114042411</v>
      </c>
      <c r="F149" s="11">
        <v>74184847829167</v>
      </c>
      <c r="G149" s="10" t="s">
        <v>778</v>
      </c>
      <c r="H149" s="11">
        <v>30711311404</v>
      </c>
      <c r="I149" s="10" t="s">
        <v>116</v>
      </c>
      <c r="J149" s="11">
        <v>1</v>
      </c>
      <c r="K149" s="10" t="s">
        <v>779</v>
      </c>
      <c r="L149" s="11">
        <v>361680</v>
      </c>
      <c r="M149" s="11">
        <v>0</v>
      </c>
      <c r="N149" s="11">
        <v>0</v>
      </c>
      <c r="O149" s="11">
        <v>0</v>
      </c>
      <c r="P149" s="10">
        <v>75952.800000000003</v>
      </c>
      <c r="Q149" s="10">
        <v>437632.8</v>
      </c>
      <c r="R149" s="10">
        <f>VLOOKUP(E149,'IVA COMPRAS'!L:Q,6,0)</f>
        <v>-437632.8</v>
      </c>
    </row>
    <row r="150" spans="1:18" s="10" customFormat="1" hidden="1" x14ac:dyDescent="0.3">
      <c r="A150" s="10" t="s">
        <v>800</v>
      </c>
      <c r="B150" s="10" t="s">
        <v>777</v>
      </c>
      <c r="C150" s="11">
        <v>14</v>
      </c>
      <c r="D150" s="11">
        <v>66144</v>
      </c>
      <c r="E150" s="14" t="str">
        <f>CONCATENATE(H150,C150,D150)</f>
        <v>306026087901466144</v>
      </c>
      <c r="F150" s="11">
        <v>74190293483779</v>
      </c>
      <c r="G150" s="10" t="s">
        <v>778</v>
      </c>
      <c r="H150" s="11">
        <v>30602608790</v>
      </c>
      <c r="I150" s="10" t="s">
        <v>801</v>
      </c>
      <c r="J150" s="11">
        <v>1</v>
      </c>
      <c r="K150" s="10" t="s">
        <v>779</v>
      </c>
      <c r="L150" s="12">
        <v>950170.19</v>
      </c>
      <c r="M150" s="11">
        <v>0</v>
      </c>
      <c r="N150" s="11">
        <v>0</v>
      </c>
      <c r="O150" s="11">
        <v>0</v>
      </c>
      <c r="P150" s="12">
        <v>199535.74</v>
      </c>
      <c r="Q150" s="12">
        <v>1201965.31</v>
      </c>
      <c r="R150" s="10">
        <f>VLOOKUP(E150,'IVA COMPRAS'!L:Q,6,0)</f>
        <v>1201965.31</v>
      </c>
    </row>
    <row r="151" spans="1:18" s="10" customFormat="1" hidden="1" x14ac:dyDescent="0.3">
      <c r="A151" s="10" t="s">
        <v>800</v>
      </c>
      <c r="B151" s="10" t="s">
        <v>777</v>
      </c>
      <c r="C151" s="11">
        <v>14</v>
      </c>
      <c r="D151" s="11">
        <v>66145</v>
      </c>
      <c r="E151" s="14" t="str">
        <f>CONCATENATE(H151,C151,D151)</f>
        <v>306026087901466145</v>
      </c>
      <c r="F151" s="11">
        <v>74190294845922</v>
      </c>
      <c r="G151" s="10" t="s">
        <v>778</v>
      </c>
      <c r="H151" s="11">
        <v>30602608790</v>
      </c>
      <c r="I151" s="10" t="s">
        <v>801</v>
      </c>
      <c r="J151" s="11">
        <v>1</v>
      </c>
      <c r="K151" s="10" t="s">
        <v>779</v>
      </c>
      <c r="L151" s="12">
        <v>482191.62</v>
      </c>
      <c r="M151" s="11">
        <v>0</v>
      </c>
      <c r="N151" s="11">
        <v>0</v>
      </c>
      <c r="O151" s="11">
        <v>0</v>
      </c>
      <c r="P151" s="12">
        <v>101260.24</v>
      </c>
      <c r="Q151" s="12">
        <v>609972.38</v>
      </c>
      <c r="R151" s="10">
        <f>VLOOKUP(E151,'IVA COMPRAS'!L:Q,6,0)</f>
        <v>609972.39</v>
      </c>
    </row>
    <row r="152" spans="1:18" s="10" customFormat="1" hidden="1" x14ac:dyDescent="0.3">
      <c r="A152" s="10" t="s">
        <v>828</v>
      </c>
      <c r="B152" s="10" t="s">
        <v>777</v>
      </c>
      <c r="C152" s="11">
        <v>14</v>
      </c>
      <c r="D152" s="11">
        <v>66303</v>
      </c>
      <c r="E152" s="14" t="str">
        <f>CONCATENATE(H152,C152,D152)</f>
        <v>306026087901466303</v>
      </c>
      <c r="F152" s="11">
        <v>74210936080853</v>
      </c>
      <c r="G152" s="10" t="s">
        <v>778</v>
      </c>
      <c r="H152" s="11">
        <v>30602608790</v>
      </c>
      <c r="I152" s="10" t="s">
        <v>801</v>
      </c>
      <c r="J152" s="11">
        <v>1</v>
      </c>
      <c r="K152" s="10" t="s">
        <v>779</v>
      </c>
      <c r="L152" s="12">
        <v>908946.52</v>
      </c>
      <c r="M152" s="11">
        <v>0</v>
      </c>
      <c r="N152" s="11">
        <v>0</v>
      </c>
      <c r="O152" s="11">
        <v>0</v>
      </c>
      <c r="P152" s="12">
        <v>190878.77</v>
      </c>
      <c r="Q152" s="12">
        <v>1149817.33</v>
      </c>
      <c r="R152" s="10">
        <f>VLOOKUP(E152,'IVA COMPRAS'!L:Q,6,0)</f>
        <v>1149817.33</v>
      </c>
    </row>
    <row r="153" spans="1:18" s="10" customFormat="1" hidden="1" x14ac:dyDescent="0.3">
      <c r="A153" s="10" t="s">
        <v>810</v>
      </c>
      <c r="B153" s="10" t="s">
        <v>777</v>
      </c>
      <c r="C153" s="11">
        <v>135</v>
      </c>
      <c r="D153" s="11">
        <v>25953</v>
      </c>
      <c r="E153" s="14" t="str">
        <f>CONCATENATE(H153,C153,D153)</f>
        <v>3056610835213525953</v>
      </c>
      <c r="F153" s="11">
        <v>34172434144679</v>
      </c>
      <c r="G153" s="10" t="s">
        <v>778</v>
      </c>
      <c r="H153" s="11">
        <v>30566108352</v>
      </c>
      <c r="I153" s="10" t="s">
        <v>297</v>
      </c>
      <c r="J153" s="11">
        <v>1</v>
      </c>
      <c r="K153" s="10" t="s">
        <v>779</v>
      </c>
      <c r="L153" s="12">
        <v>20001667.43</v>
      </c>
      <c r="M153" s="11">
        <v>0</v>
      </c>
      <c r="N153" s="11">
        <v>0</v>
      </c>
      <c r="O153" s="11">
        <v>0</v>
      </c>
      <c r="P153" s="12">
        <v>4200350.16</v>
      </c>
      <c r="Q153" s="12">
        <v>25202100.98</v>
      </c>
      <c r="R153" s="10">
        <f>VLOOKUP(E153,'IVA COMPRAS'!L:Q,6,0)</f>
        <v>25202100.98</v>
      </c>
    </row>
    <row r="154" spans="1:18" s="10" customFormat="1" hidden="1" x14ac:dyDescent="0.3">
      <c r="A154" s="10" t="s">
        <v>820</v>
      </c>
      <c r="B154" s="10" t="s">
        <v>783</v>
      </c>
      <c r="C154" s="11">
        <v>135</v>
      </c>
      <c r="D154" s="11">
        <v>223030</v>
      </c>
      <c r="E154" s="14" t="str">
        <f>CONCATENATE(H154,C154,D154)</f>
        <v>30566108352135223030</v>
      </c>
      <c r="F154" s="11">
        <v>34202772450617</v>
      </c>
      <c r="G154" s="10" t="s">
        <v>778</v>
      </c>
      <c r="H154" s="11">
        <v>30566108352</v>
      </c>
      <c r="I154" s="10" t="s">
        <v>297</v>
      </c>
      <c r="J154" s="11">
        <v>1</v>
      </c>
      <c r="K154" s="10" t="s">
        <v>779</v>
      </c>
      <c r="L154" s="12">
        <v>3622587.14</v>
      </c>
      <c r="M154" s="11">
        <v>0</v>
      </c>
      <c r="N154" s="11">
        <v>0</v>
      </c>
      <c r="O154" s="11">
        <v>0</v>
      </c>
      <c r="P154" s="10">
        <v>760743.3</v>
      </c>
      <c r="Q154" s="12">
        <v>4383330.45</v>
      </c>
      <c r="R154" s="10">
        <f>VLOOKUP(E154,'IVA COMPRAS'!L:Q,6,0)</f>
        <v>-4383330.45</v>
      </c>
    </row>
    <row r="155" spans="1:18" s="10" customFormat="1" hidden="1" x14ac:dyDescent="0.3">
      <c r="A155" s="10" t="s">
        <v>834</v>
      </c>
      <c r="B155" s="10" t="s">
        <v>777</v>
      </c>
      <c r="C155" s="11">
        <v>161</v>
      </c>
      <c r="D155" s="11">
        <v>198599</v>
      </c>
      <c r="E155" s="14" t="str">
        <f>CONCATENATE(H155,C155,D155)</f>
        <v>30566108352161198599</v>
      </c>
      <c r="F155" s="11">
        <v>34202772450617</v>
      </c>
      <c r="G155" s="10" t="s">
        <v>778</v>
      </c>
      <c r="H155" s="11">
        <v>30566108352</v>
      </c>
      <c r="I155" s="10" t="s">
        <v>297</v>
      </c>
      <c r="J155" s="11">
        <v>1</v>
      </c>
      <c r="K155" s="10" t="s">
        <v>779</v>
      </c>
      <c r="L155" s="12">
        <v>2051932.67</v>
      </c>
      <c r="M155" s="11">
        <v>0</v>
      </c>
      <c r="N155" s="11">
        <v>0</v>
      </c>
      <c r="O155" s="11">
        <v>0</v>
      </c>
      <c r="P155" s="12">
        <v>430905.86</v>
      </c>
      <c r="Q155" s="12">
        <v>2585435.1800000002</v>
      </c>
      <c r="R155" s="10">
        <f>VLOOKUP(E155,'IVA COMPRAS'!L:Q,6,0)</f>
        <v>2585435.1800000002</v>
      </c>
    </row>
    <row r="156" spans="1:18" s="10" customFormat="1" hidden="1" x14ac:dyDescent="0.3">
      <c r="A156" s="10" t="s">
        <v>839</v>
      </c>
      <c r="B156" s="10" t="s">
        <v>777</v>
      </c>
      <c r="C156" s="11">
        <v>161</v>
      </c>
      <c r="D156" s="11">
        <v>198868</v>
      </c>
      <c r="E156" s="14" t="str">
        <f>CONCATENATE(H156,C156,D156)</f>
        <v>30566108352161198868</v>
      </c>
      <c r="F156" s="11">
        <v>34202772450617</v>
      </c>
      <c r="G156" s="10" t="s">
        <v>778</v>
      </c>
      <c r="H156" s="11">
        <v>30566108352</v>
      </c>
      <c r="I156" s="10" t="s">
        <v>297</v>
      </c>
      <c r="J156" s="11">
        <v>1</v>
      </c>
      <c r="K156" s="10" t="s">
        <v>779</v>
      </c>
      <c r="L156" s="12">
        <v>4103865.38</v>
      </c>
      <c r="M156" s="11">
        <v>0</v>
      </c>
      <c r="N156" s="11">
        <v>0</v>
      </c>
      <c r="O156" s="11">
        <v>0</v>
      </c>
      <c r="P156" s="12">
        <v>861811.73</v>
      </c>
      <c r="Q156" s="12">
        <v>5170870.3899999997</v>
      </c>
      <c r="R156" s="10">
        <f>VLOOKUP(E156,'IVA COMPRAS'!L:Q,6,0)</f>
        <v>5170870.3899999997</v>
      </c>
    </row>
    <row r="157" spans="1:18" s="10" customFormat="1" x14ac:dyDescent="0.3">
      <c r="A157" s="10" t="s">
        <v>839</v>
      </c>
      <c r="B157" s="10" t="s">
        <v>783</v>
      </c>
      <c r="C157" s="11">
        <v>135</v>
      </c>
      <c r="D157" s="11">
        <v>224140</v>
      </c>
      <c r="E157" s="14" t="str">
        <f>CONCATENATE(H157,C157,D157)</f>
        <v>30566108352135224140</v>
      </c>
      <c r="F157" s="11">
        <v>34202772450617</v>
      </c>
      <c r="G157" s="10" t="s">
        <v>778</v>
      </c>
      <c r="H157" s="11">
        <v>30566108352</v>
      </c>
      <c r="I157" s="10" t="s">
        <v>297</v>
      </c>
      <c r="J157" s="11">
        <v>1</v>
      </c>
      <c r="K157" s="10" t="s">
        <v>779</v>
      </c>
      <c r="L157" s="12">
        <v>143592.71</v>
      </c>
      <c r="M157" s="11">
        <v>0</v>
      </c>
      <c r="N157" s="11">
        <v>0</v>
      </c>
      <c r="O157" s="11">
        <v>0</v>
      </c>
      <c r="P157" s="12">
        <v>30154.47</v>
      </c>
      <c r="Q157" s="10">
        <v>-173747.20000000001</v>
      </c>
      <c r="R157" s="10" t="e">
        <f>VLOOKUP(E157,'IVA COMPRAS'!L:Q,6,0)</f>
        <v>#N/A</v>
      </c>
    </row>
    <row r="158" spans="1:18" s="10" customFormat="1" hidden="1" x14ac:dyDescent="0.3">
      <c r="A158" s="10" t="s">
        <v>835</v>
      </c>
      <c r="B158" s="10" t="s">
        <v>777</v>
      </c>
      <c r="C158" s="11">
        <v>1</v>
      </c>
      <c r="D158" s="11">
        <v>5831</v>
      </c>
      <c r="E158" s="14" t="str">
        <f>CONCATENATE(H158,C158,D158)</f>
        <v>2018411111015831</v>
      </c>
      <c r="F158" s="11">
        <v>74220506622869</v>
      </c>
      <c r="G158" s="10" t="s">
        <v>778</v>
      </c>
      <c r="H158" s="11">
        <v>20184111110</v>
      </c>
      <c r="I158" s="10" t="s">
        <v>529</v>
      </c>
      <c r="J158" s="11">
        <v>1</v>
      </c>
      <c r="K158" s="10" t="s">
        <v>779</v>
      </c>
      <c r="L158" s="12">
        <v>99173.57</v>
      </c>
      <c r="M158" s="11">
        <v>0</v>
      </c>
      <c r="N158" s="11">
        <v>0</v>
      </c>
      <c r="O158" s="11">
        <v>0</v>
      </c>
      <c r="P158" s="12">
        <v>20826.45</v>
      </c>
      <c r="Q158" s="11">
        <v>120000</v>
      </c>
      <c r="R158" s="10">
        <f>VLOOKUP(E158,'IVA COMPRAS'!L:Q,6,0)</f>
        <v>120000</v>
      </c>
    </row>
    <row r="159" spans="1:18" s="10" customFormat="1" hidden="1" x14ac:dyDescent="0.3">
      <c r="A159" s="10" t="s">
        <v>835</v>
      </c>
      <c r="B159" s="10" t="s">
        <v>777</v>
      </c>
      <c r="C159" s="11">
        <v>1</v>
      </c>
      <c r="D159" s="11">
        <v>5830</v>
      </c>
      <c r="E159" s="14" t="str">
        <f>CONCATENATE(H159,C159,D159)</f>
        <v>2018411111015830</v>
      </c>
      <c r="F159" s="11">
        <v>74220505024481</v>
      </c>
      <c r="G159" s="10" t="s">
        <v>778</v>
      </c>
      <c r="H159" s="11">
        <v>20184111110</v>
      </c>
      <c r="I159" s="10" t="s">
        <v>529</v>
      </c>
      <c r="J159" s="11">
        <v>1</v>
      </c>
      <c r="K159" s="10" t="s">
        <v>779</v>
      </c>
      <c r="L159" s="10">
        <v>6528.9</v>
      </c>
      <c r="M159" s="11">
        <v>0</v>
      </c>
      <c r="N159" s="11">
        <v>0</v>
      </c>
      <c r="O159" s="11">
        <v>0</v>
      </c>
      <c r="P159" s="12">
        <v>1371.07</v>
      </c>
      <c r="Q159" s="11">
        <v>7900</v>
      </c>
      <c r="R159" s="10">
        <f>VLOOKUP(E159,'IVA COMPRAS'!L:Q,6,0)</f>
        <v>7900</v>
      </c>
    </row>
    <row r="160" spans="1:18" s="10" customFormat="1" hidden="1" x14ac:dyDescent="0.3">
      <c r="A160" s="10" t="s">
        <v>818</v>
      </c>
      <c r="B160" s="10" t="s">
        <v>777</v>
      </c>
      <c r="C160" s="11">
        <v>4</v>
      </c>
      <c r="D160" s="11">
        <v>21233</v>
      </c>
      <c r="E160" s="14" t="str">
        <f>CONCATENATE(H160,C160,D160)</f>
        <v>30707225609421233</v>
      </c>
      <c r="F160" s="11">
        <v>74209001074522</v>
      </c>
      <c r="G160" s="10" t="s">
        <v>778</v>
      </c>
      <c r="H160" s="11">
        <v>30707225609</v>
      </c>
      <c r="I160" s="10" t="s">
        <v>323</v>
      </c>
      <c r="J160" s="11">
        <v>1</v>
      </c>
      <c r="K160" s="10" t="s">
        <v>779</v>
      </c>
      <c r="L160" s="11">
        <v>725400</v>
      </c>
      <c r="M160" s="11">
        <v>0</v>
      </c>
      <c r="N160" s="11">
        <v>0</v>
      </c>
      <c r="O160" s="11">
        <v>0</v>
      </c>
      <c r="P160" s="11">
        <v>152334</v>
      </c>
      <c r="Q160" s="11">
        <v>914004</v>
      </c>
      <c r="R160" s="10">
        <f>VLOOKUP(E160,'IVA COMPRAS'!L:Q,6,0)</f>
        <v>914004</v>
      </c>
    </row>
    <row r="161" spans="1:18" s="10" customFormat="1" x14ac:dyDescent="0.3">
      <c r="A161" s="10" t="s">
        <v>816</v>
      </c>
      <c r="B161" s="10" t="s">
        <v>777</v>
      </c>
      <c r="C161" s="11">
        <v>2</v>
      </c>
      <c r="D161" s="11">
        <v>37</v>
      </c>
      <c r="E161" s="14" t="str">
        <f>CONCATENATE(H161,C161,D161)</f>
        <v>20200362951237</v>
      </c>
      <c r="F161" s="11">
        <v>74201932256423</v>
      </c>
      <c r="G161" s="10" t="s">
        <v>778</v>
      </c>
      <c r="H161" s="11">
        <v>20200362951</v>
      </c>
      <c r="I161" s="10" t="s">
        <v>817</v>
      </c>
      <c r="J161" s="11">
        <v>1</v>
      </c>
      <c r="K161" s="10" t="s">
        <v>779</v>
      </c>
      <c r="L161" s="11">
        <v>185000</v>
      </c>
      <c r="M161" s="11">
        <v>0</v>
      </c>
      <c r="N161" s="11">
        <v>0</v>
      </c>
      <c r="O161" s="11">
        <v>0</v>
      </c>
      <c r="P161" s="11">
        <v>38850</v>
      </c>
      <c r="Q161" s="11">
        <v>223850</v>
      </c>
      <c r="R161" s="10" t="e">
        <f>VLOOKUP(E161,'IVA COMPRAS'!L:Q,6,0)</f>
        <v>#N/A</v>
      </c>
    </row>
    <row r="162" spans="1:18" s="10" customFormat="1" hidden="1" x14ac:dyDescent="0.3">
      <c r="A162" s="10" t="s">
        <v>818</v>
      </c>
      <c r="B162" s="10" t="s">
        <v>777</v>
      </c>
      <c r="C162" s="11">
        <v>3</v>
      </c>
      <c r="D162" s="11">
        <v>629</v>
      </c>
      <c r="E162" s="14" t="str">
        <f>CONCATENATE(H162,C162,D162)</f>
        <v>201722776093629</v>
      </c>
      <c r="F162" s="11">
        <v>74209033047455</v>
      </c>
      <c r="G162" s="10" t="s">
        <v>778</v>
      </c>
      <c r="H162" s="11">
        <v>20172277609</v>
      </c>
      <c r="I162" s="10" t="s">
        <v>320</v>
      </c>
      <c r="J162" s="11">
        <v>1</v>
      </c>
      <c r="K162" s="10" t="s">
        <v>779</v>
      </c>
      <c r="L162" s="11">
        <v>250000</v>
      </c>
      <c r="M162" s="11">
        <v>0</v>
      </c>
      <c r="N162" s="11">
        <v>0</v>
      </c>
      <c r="O162" s="11">
        <v>0</v>
      </c>
      <c r="P162" s="11">
        <v>52500</v>
      </c>
      <c r="Q162" s="11">
        <v>302500</v>
      </c>
      <c r="R162" s="10">
        <f>VLOOKUP(E162,'IVA COMPRAS'!L:Q,6,0)</f>
        <v>302500</v>
      </c>
    </row>
    <row r="163" spans="1:18" s="10" customFormat="1" hidden="1" x14ac:dyDescent="0.3">
      <c r="A163" s="10" t="s">
        <v>805</v>
      </c>
      <c r="B163" s="10" t="s">
        <v>777</v>
      </c>
      <c r="C163" s="11">
        <v>4</v>
      </c>
      <c r="D163" s="11">
        <v>28765</v>
      </c>
      <c r="E163" s="14" t="str">
        <f>CONCATENATE(H163,C163,D163)</f>
        <v>30645830446428765</v>
      </c>
      <c r="F163" s="11">
        <v>74196415769003</v>
      </c>
      <c r="G163" s="10" t="s">
        <v>778</v>
      </c>
      <c r="H163" s="11">
        <v>30645830446</v>
      </c>
      <c r="I163" s="10" t="s">
        <v>808</v>
      </c>
      <c r="J163" s="11">
        <v>1</v>
      </c>
      <c r="K163" s="10" t="s">
        <v>779</v>
      </c>
      <c r="L163" s="10">
        <v>3471927.3</v>
      </c>
      <c r="M163" s="11">
        <v>0</v>
      </c>
      <c r="N163" s="11">
        <v>0</v>
      </c>
      <c r="O163" s="11">
        <v>0</v>
      </c>
      <c r="P163" s="12">
        <v>729104.73</v>
      </c>
      <c r="Q163" s="10">
        <v>4374628.4000000004</v>
      </c>
      <c r="R163" s="10">
        <f>VLOOKUP(E163,'IVA COMPRAS'!L:Q,6,0)</f>
        <v>4374628.4000000004</v>
      </c>
    </row>
    <row r="164" spans="1:18" s="10" customFormat="1" hidden="1" x14ac:dyDescent="0.3">
      <c r="A164" s="10" t="s">
        <v>840</v>
      </c>
      <c r="B164" s="10" t="s">
        <v>777</v>
      </c>
      <c r="C164" s="11">
        <v>4</v>
      </c>
      <c r="D164" s="11">
        <v>29281</v>
      </c>
      <c r="E164" s="14" t="str">
        <f>CONCATENATE(H164,C164,D164)</f>
        <v>30645830446429281</v>
      </c>
      <c r="F164" s="11">
        <v>74226877318998</v>
      </c>
      <c r="G164" s="10" t="s">
        <v>778</v>
      </c>
      <c r="H164" s="11">
        <v>30645830446</v>
      </c>
      <c r="I164" s="10" t="s">
        <v>808</v>
      </c>
      <c r="J164" s="11">
        <v>1</v>
      </c>
      <c r="K164" s="10" t="s">
        <v>779</v>
      </c>
      <c r="L164" s="10">
        <v>8607834.4000000004</v>
      </c>
      <c r="M164" s="11">
        <v>0</v>
      </c>
      <c r="N164" s="11">
        <v>0</v>
      </c>
      <c r="O164" s="11">
        <v>0</v>
      </c>
      <c r="P164" s="12">
        <v>1807645.22</v>
      </c>
      <c r="Q164" s="12">
        <v>10845871.34</v>
      </c>
      <c r="R164" s="10">
        <f>VLOOKUP(E164,'IVA COMPRAS'!L:Q,6,0)</f>
        <v>10845871.34</v>
      </c>
    </row>
    <row r="165" spans="1:18" s="10" customFormat="1" hidden="1" x14ac:dyDescent="0.3">
      <c r="A165" s="10" t="s">
        <v>785</v>
      </c>
      <c r="B165" s="10" t="s">
        <v>777</v>
      </c>
      <c r="C165" s="11">
        <v>629</v>
      </c>
      <c r="D165" s="11">
        <v>5099970</v>
      </c>
      <c r="E165" s="14" t="str">
        <f>CONCATENATE(H165,C165,D165)</f>
        <v>306634985136295099970</v>
      </c>
      <c r="F165" s="11">
        <v>34173312878453</v>
      </c>
      <c r="G165" s="10" t="s">
        <v>778</v>
      </c>
      <c r="H165" s="11">
        <v>30663498513</v>
      </c>
      <c r="I165" s="10" t="s">
        <v>146</v>
      </c>
      <c r="J165" s="11">
        <v>1</v>
      </c>
      <c r="K165" s="10" t="s">
        <v>779</v>
      </c>
      <c r="L165" s="12">
        <v>1900.83</v>
      </c>
      <c r="M165" s="11">
        <v>0</v>
      </c>
      <c r="N165" s="11">
        <v>0</v>
      </c>
      <c r="O165" s="11">
        <v>0</v>
      </c>
      <c r="P165" s="12">
        <v>399.17</v>
      </c>
      <c r="Q165" s="12">
        <v>2357.02</v>
      </c>
      <c r="R165" s="10">
        <f>VLOOKUP(E165,'IVA COMPRAS'!L:Q,6,0)</f>
        <v>2357.02</v>
      </c>
    </row>
    <row r="166" spans="1:18" s="10" customFormat="1" hidden="1" x14ac:dyDescent="0.3">
      <c r="A166" s="10" t="s">
        <v>785</v>
      </c>
      <c r="B166" s="10" t="s">
        <v>777</v>
      </c>
      <c r="C166" s="11">
        <v>629</v>
      </c>
      <c r="D166" s="11">
        <v>5099324</v>
      </c>
      <c r="E166" s="14" t="str">
        <f>CONCATENATE(H166,C166,D166)</f>
        <v>306634985136295099324</v>
      </c>
      <c r="F166" s="11">
        <v>34173312878453</v>
      </c>
      <c r="G166" s="10" t="s">
        <v>778</v>
      </c>
      <c r="H166" s="11">
        <v>30663498513</v>
      </c>
      <c r="I166" s="10" t="s">
        <v>146</v>
      </c>
      <c r="J166" s="11">
        <v>1</v>
      </c>
      <c r="K166" s="10" t="s">
        <v>779</v>
      </c>
      <c r="L166" s="12">
        <v>247.93</v>
      </c>
      <c r="M166" s="11">
        <v>0</v>
      </c>
      <c r="N166" s="11">
        <v>0</v>
      </c>
      <c r="O166" s="11">
        <v>0</v>
      </c>
      <c r="P166" s="12">
        <v>52.07</v>
      </c>
      <c r="Q166" s="11">
        <v>300</v>
      </c>
      <c r="R166" s="10">
        <f>VLOOKUP(E166,'IVA COMPRAS'!L:Q,6,0)</f>
        <v>300</v>
      </c>
    </row>
    <row r="167" spans="1:18" s="10" customFormat="1" hidden="1" x14ac:dyDescent="0.3">
      <c r="A167" s="10" t="s">
        <v>826</v>
      </c>
      <c r="B167" s="10" t="s">
        <v>777</v>
      </c>
      <c r="C167" s="11">
        <v>2</v>
      </c>
      <c r="D167" s="11">
        <v>967</v>
      </c>
      <c r="E167" s="14" t="str">
        <f>CONCATENATE(H167,C167,D167)</f>
        <v>232559462692967</v>
      </c>
      <c r="F167" s="11">
        <v>74219748500907</v>
      </c>
      <c r="G167" s="10" t="s">
        <v>778</v>
      </c>
      <c r="H167" s="11">
        <v>23255946269</v>
      </c>
      <c r="I167" s="10" t="s">
        <v>398</v>
      </c>
      <c r="J167" s="11">
        <v>1</v>
      </c>
      <c r="K167" s="10" t="s">
        <v>779</v>
      </c>
      <c r="L167" s="11">
        <v>360000</v>
      </c>
      <c r="M167" s="11">
        <v>0</v>
      </c>
      <c r="N167" s="11">
        <v>0</v>
      </c>
      <c r="O167" s="11">
        <v>0</v>
      </c>
      <c r="P167" s="11">
        <v>75600</v>
      </c>
      <c r="Q167" s="11">
        <v>435600</v>
      </c>
      <c r="R167" s="10">
        <f>VLOOKUP(E167,'IVA COMPRAS'!L:Q,6,0)</f>
        <v>435600</v>
      </c>
    </row>
    <row r="168" spans="1:18" s="10" customFormat="1" hidden="1" x14ac:dyDescent="0.3">
      <c r="A168" s="10" t="s">
        <v>785</v>
      </c>
      <c r="B168" s="10" t="s">
        <v>777</v>
      </c>
      <c r="C168" s="11">
        <v>5</v>
      </c>
      <c r="D168" s="11">
        <v>7357</v>
      </c>
      <c r="E168" s="14" t="str">
        <f>CONCATENATE(H168,C168,D168)</f>
        <v>3070961478557357</v>
      </c>
      <c r="F168" s="11">
        <v>74185804613431</v>
      </c>
      <c r="G168" s="10" t="s">
        <v>778</v>
      </c>
      <c r="H168" s="11">
        <v>30709614785</v>
      </c>
      <c r="I168" s="10" t="s">
        <v>791</v>
      </c>
      <c r="J168" s="11">
        <v>1</v>
      </c>
      <c r="K168" s="10" t="s">
        <v>779</v>
      </c>
      <c r="L168" s="11">
        <v>385560</v>
      </c>
      <c r="M168" s="11">
        <v>0</v>
      </c>
      <c r="N168" s="11">
        <v>0</v>
      </c>
      <c r="O168" s="11">
        <v>0</v>
      </c>
      <c r="P168" s="10">
        <v>80967.600000000006</v>
      </c>
      <c r="Q168" s="10">
        <v>466527.6</v>
      </c>
      <c r="R168" s="10">
        <f>VLOOKUP(E168,'IVA COMPRAS'!L:Q,6,0)</f>
        <v>466527.6</v>
      </c>
    </row>
    <row r="169" spans="1:18" s="10" customFormat="1" hidden="1" x14ac:dyDescent="0.3">
      <c r="A169" s="10" t="s">
        <v>826</v>
      </c>
      <c r="B169" s="10" t="s">
        <v>777</v>
      </c>
      <c r="C169" s="11">
        <v>101</v>
      </c>
      <c r="D169" s="11">
        <v>44206</v>
      </c>
      <c r="E169" s="14" t="str">
        <f>CONCATENATE(H169,C169,D169)</f>
        <v>3052225035610144206</v>
      </c>
      <c r="F169" s="11">
        <v>34206761824690</v>
      </c>
      <c r="G169" s="10" t="s">
        <v>778</v>
      </c>
      <c r="H169" s="11">
        <v>30522250356</v>
      </c>
      <c r="I169" s="10" t="s">
        <v>409</v>
      </c>
      <c r="J169" s="11">
        <v>1</v>
      </c>
      <c r="K169" s="10" t="s">
        <v>779</v>
      </c>
      <c r="L169" s="12">
        <v>428034.71</v>
      </c>
      <c r="M169" s="11">
        <v>0</v>
      </c>
      <c r="N169" s="11">
        <v>0</v>
      </c>
      <c r="O169" s="11">
        <v>0</v>
      </c>
      <c r="P169" s="12">
        <v>89887.29</v>
      </c>
      <c r="Q169" s="12">
        <v>526482.68000000005</v>
      </c>
      <c r="R169" s="10">
        <f>VLOOKUP(E169,'IVA COMPRAS'!L:Q,6,0)</f>
        <v>526482.68000000005</v>
      </c>
    </row>
    <row r="170" spans="1:18" s="10" customFormat="1" hidden="1" x14ac:dyDescent="0.3">
      <c r="A170" s="10" t="s">
        <v>820</v>
      </c>
      <c r="B170" s="10" t="s">
        <v>777</v>
      </c>
      <c r="C170" s="11">
        <v>10</v>
      </c>
      <c r="D170" s="11">
        <v>5758</v>
      </c>
      <c r="E170" s="14" t="str">
        <f>CONCATENATE(H170,C170,D170)</f>
        <v>30708784687105758</v>
      </c>
      <c r="F170" s="11">
        <v>74207293074505</v>
      </c>
      <c r="G170" s="10" t="s">
        <v>778</v>
      </c>
      <c r="H170" s="11">
        <v>30708784687</v>
      </c>
      <c r="I170" s="10" t="s">
        <v>821</v>
      </c>
      <c r="J170" s="11">
        <v>1</v>
      </c>
      <c r="K170" s="10" t="s">
        <v>779</v>
      </c>
      <c r="L170" s="11">
        <v>1939940</v>
      </c>
      <c r="M170" s="11">
        <v>0</v>
      </c>
      <c r="N170" s="11">
        <v>0</v>
      </c>
      <c r="O170" s="11">
        <v>0</v>
      </c>
      <c r="P170" s="10">
        <v>407387.4</v>
      </c>
      <c r="Q170" s="10">
        <v>2347327.4</v>
      </c>
      <c r="R170" s="10">
        <f>VLOOKUP(E170,'IVA COMPRAS'!L:Q,6,0)</f>
        <v>2347327.4</v>
      </c>
    </row>
    <row r="171" spans="1:18" s="10" customFormat="1" hidden="1" x14ac:dyDescent="0.3">
      <c r="A171" s="10" t="s">
        <v>823</v>
      </c>
      <c r="B171" s="10" t="s">
        <v>777</v>
      </c>
      <c r="C171" s="11">
        <v>10</v>
      </c>
      <c r="D171" s="11">
        <v>5759</v>
      </c>
      <c r="E171" s="14" t="str">
        <f>CONCATENATE(H171,C171,D171)</f>
        <v>30708784687105759</v>
      </c>
      <c r="F171" s="11">
        <v>74207357258990</v>
      </c>
      <c r="G171" s="10" t="s">
        <v>778</v>
      </c>
      <c r="H171" s="11">
        <v>30708784687</v>
      </c>
      <c r="I171" s="10" t="s">
        <v>821</v>
      </c>
      <c r="J171" s="11">
        <v>1</v>
      </c>
      <c r="K171" s="10" t="s">
        <v>779</v>
      </c>
      <c r="L171" s="11">
        <v>487350</v>
      </c>
      <c r="M171" s="11">
        <v>0</v>
      </c>
      <c r="N171" s="11">
        <v>0</v>
      </c>
      <c r="O171" s="11">
        <v>0</v>
      </c>
      <c r="P171" s="10">
        <v>102343.5</v>
      </c>
      <c r="Q171" s="10">
        <v>589693.5</v>
      </c>
      <c r="R171" s="10">
        <f>VLOOKUP(E171,'IVA COMPRAS'!L:Q,6,0)</f>
        <v>589693.5</v>
      </c>
    </row>
    <row r="172" spans="1:18" s="10" customFormat="1" hidden="1" x14ac:dyDescent="0.3">
      <c r="A172" s="10" t="s">
        <v>834</v>
      </c>
      <c r="B172" s="10" t="s">
        <v>777</v>
      </c>
      <c r="C172" s="11">
        <v>10</v>
      </c>
      <c r="D172" s="11">
        <v>5771</v>
      </c>
      <c r="E172" s="14" t="str">
        <f>CONCATENATE(H172,C172,D172)</f>
        <v>30708784687105771</v>
      </c>
      <c r="F172" s="11">
        <v>74227429840508</v>
      </c>
      <c r="G172" s="10" t="s">
        <v>778</v>
      </c>
      <c r="H172" s="11">
        <v>30708784687</v>
      </c>
      <c r="I172" s="10" t="s">
        <v>821</v>
      </c>
      <c r="J172" s="11">
        <v>1</v>
      </c>
      <c r="K172" s="10" t="s">
        <v>779</v>
      </c>
      <c r="L172" s="11">
        <v>1677450</v>
      </c>
      <c r="M172" s="11">
        <v>0</v>
      </c>
      <c r="N172" s="11">
        <v>0</v>
      </c>
      <c r="O172" s="11">
        <v>0</v>
      </c>
      <c r="P172" s="10">
        <v>352264.5</v>
      </c>
      <c r="Q172" s="10">
        <v>2029714.5</v>
      </c>
      <c r="R172" s="10">
        <f>VLOOKUP(E172,'IVA COMPRAS'!L:Q,6,0)</f>
        <v>2029714.5</v>
      </c>
    </row>
    <row r="173" spans="1:18" s="10" customFormat="1" hidden="1" x14ac:dyDescent="0.3">
      <c r="A173" s="10" t="s">
        <v>835</v>
      </c>
      <c r="B173" s="10" t="s">
        <v>783</v>
      </c>
      <c r="C173" s="11">
        <v>10</v>
      </c>
      <c r="D173" s="11">
        <v>1165</v>
      </c>
      <c r="E173" s="14" t="str">
        <f>CONCATENATE(H173,C173,D173)</f>
        <v>30708784687101165</v>
      </c>
      <c r="F173" s="11">
        <v>74227522560929</v>
      </c>
      <c r="G173" s="10" t="s">
        <v>778</v>
      </c>
      <c r="H173" s="11">
        <v>30708784687</v>
      </c>
      <c r="I173" s="10" t="s">
        <v>821</v>
      </c>
      <c r="J173" s="11">
        <v>1</v>
      </c>
      <c r="K173" s="10" t="s">
        <v>779</v>
      </c>
      <c r="L173" s="11">
        <v>5362</v>
      </c>
      <c r="M173" s="11">
        <v>0</v>
      </c>
      <c r="N173" s="11">
        <v>0</v>
      </c>
      <c r="O173" s="11">
        <v>0</v>
      </c>
      <c r="P173" s="12">
        <v>1126.02</v>
      </c>
      <c r="Q173" s="12">
        <v>6488.02</v>
      </c>
      <c r="R173" s="10">
        <f>VLOOKUP(E173,'IVA COMPRAS'!L:Q,6,0)</f>
        <v>-6488.02</v>
      </c>
    </row>
    <row r="174" spans="1:18" s="10" customFormat="1" hidden="1" x14ac:dyDescent="0.3">
      <c r="A174" s="10" t="s">
        <v>835</v>
      </c>
      <c r="B174" s="10" t="s">
        <v>783</v>
      </c>
      <c r="C174" s="11">
        <v>10</v>
      </c>
      <c r="D174" s="11">
        <v>1164</v>
      </c>
      <c r="E174" s="14" t="str">
        <f>CONCATENATE(H174,C174,D174)</f>
        <v>30708784687101164</v>
      </c>
      <c r="F174" s="11">
        <v>74227520448079</v>
      </c>
      <c r="G174" s="10" t="s">
        <v>778</v>
      </c>
      <c r="H174" s="11">
        <v>30708784687</v>
      </c>
      <c r="I174" s="10" t="s">
        <v>821</v>
      </c>
      <c r="J174" s="11">
        <v>1</v>
      </c>
      <c r="K174" s="10" t="s">
        <v>779</v>
      </c>
      <c r="L174" s="11">
        <v>457680</v>
      </c>
      <c r="M174" s="11">
        <v>0</v>
      </c>
      <c r="N174" s="11">
        <v>0</v>
      </c>
      <c r="O174" s="11">
        <v>0</v>
      </c>
      <c r="P174" s="10">
        <v>96112.8</v>
      </c>
      <c r="Q174" s="10">
        <v>553792.80000000005</v>
      </c>
      <c r="R174" s="10">
        <f>VLOOKUP(E174,'IVA COMPRAS'!L:Q,6,0)</f>
        <v>-553792.80000000005</v>
      </c>
    </row>
    <row r="175" spans="1:18" s="10" customFormat="1" hidden="1" x14ac:dyDescent="0.3">
      <c r="A175" s="10" t="s">
        <v>838</v>
      </c>
      <c r="B175" s="10" t="s">
        <v>777</v>
      </c>
      <c r="C175" s="11">
        <v>10</v>
      </c>
      <c r="D175" s="11">
        <v>5775</v>
      </c>
      <c r="E175" s="14" t="str">
        <f>CONCATENATE(H175,C175,D175)</f>
        <v>30708784687105775</v>
      </c>
      <c r="F175" s="11">
        <v>74227630645126</v>
      </c>
      <c r="G175" s="10" t="s">
        <v>778</v>
      </c>
      <c r="H175" s="11">
        <v>30708784687</v>
      </c>
      <c r="I175" s="10" t="s">
        <v>821</v>
      </c>
      <c r="J175" s="11">
        <v>1</v>
      </c>
      <c r="K175" s="10" t="s">
        <v>779</v>
      </c>
      <c r="L175" s="11">
        <v>457680</v>
      </c>
      <c r="M175" s="11">
        <v>0</v>
      </c>
      <c r="N175" s="11">
        <v>0</v>
      </c>
      <c r="O175" s="11">
        <v>0</v>
      </c>
      <c r="P175" s="10">
        <v>96112.8</v>
      </c>
      <c r="Q175" s="10">
        <v>553792.80000000005</v>
      </c>
      <c r="R175" s="10">
        <f>VLOOKUP(E175,'IVA COMPRAS'!L:Q,6,0)</f>
        <v>553792.80000000005</v>
      </c>
    </row>
    <row r="176" spans="1:18" s="10" customFormat="1" hidden="1" x14ac:dyDescent="0.3">
      <c r="A176" s="10" t="s">
        <v>785</v>
      </c>
      <c r="B176" s="10" t="s">
        <v>777</v>
      </c>
      <c r="C176" s="11">
        <v>43</v>
      </c>
      <c r="D176" s="11">
        <v>22763</v>
      </c>
      <c r="E176" s="14" t="str">
        <f>CONCATENATE(H176,C176,D176)</f>
        <v>305670207344322763</v>
      </c>
      <c r="F176" s="11">
        <v>74184798736866</v>
      </c>
      <c r="G176" s="10" t="s">
        <v>778</v>
      </c>
      <c r="H176" s="11">
        <v>30567020734</v>
      </c>
      <c r="I176" s="10" t="s">
        <v>790</v>
      </c>
      <c r="J176" s="11">
        <v>1</v>
      </c>
      <c r="K176" s="10" t="s">
        <v>779</v>
      </c>
      <c r="L176" s="11">
        <v>3525514</v>
      </c>
      <c r="M176" s="11">
        <v>0</v>
      </c>
      <c r="N176" s="11">
        <v>0</v>
      </c>
      <c r="O176" s="11">
        <v>0</v>
      </c>
      <c r="P176" s="12">
        <v>740357.94</v>
      </c>
      <c r="Q176" s="12">
        <v>4265871.92</v>
      </c>
      <c r="R176" s="10">
        <f>VLOOKUP(E176,'IVA COMPRAS'!L:Q,6,0)</f>
        <v>4265871.92</v>
      </c>
    </row>
    <row r="177" spans="1:18" s="10" customFormat="1" hidden="1" x14ac:dyDescent="0.3">
      <c r="A177" s="10" t="s">
        <v>805</v>
      </c>
      <c r="B177" s="10" t="s">
        <v>777</v>
      </c>
      <c r="C177" s="11">
        <v>12</v>
      </c>
      <c r="D177" s="11">
        <v>79899</v>
      </c>
      <c r="E177" s="14" t="str">
        <f>CONCATENATE(H177,C177,D177)</f>
        <v>306976466271279899</v>
      </c>
      <c r="F177" s="11">
        <v>74197382908431</v>
      </c>
      <c r="G177" s="10" t="s">
        <v>778</v>
      </c>
      <c r="H177" s="11">
        <v>30697646627</v>
      </c>
      <c r="I177" s="10" t="s">
        <v>256</v>
      </c>
      <c r="J177" s="11">
        <v>1</v>
      </c>
      <c r="K177" s="10" t="s">
        <v>779</v>
      </c>
      <c r="L177" s="12">
        <v>1305404.8600000001</v>
      </c>
      <c r="N177" s="11">
        <v>0</v>
      </c>
      <c r="O177" s="11">
        <v>0</v>
      </c>
      <c r="P177" s="12">
        <v>274135.02</v>
      </c>
      <c r="Q177" s="12">
        <v>1618702.05</v>
      </c>
      <c r="R177" s="10">
        <f>VLOOKUP(E177,'IVA COMPRAS'!L:Q,6,0)</f>
        <v>1618702.05</v>
      </c>
    </row>
    <row r="178" spans="1:18" s="10" customFormat="1" hidden="1" x14ac:dyDescent="0.3">
      <c r="A178" s="10" t="s">
        <v>827</v>
      </c>
      <c r="B178" s="10" t="s">
        <v>777</v>
      </c>
      <c r="C178" s="11">
        <v>12</v>
      </c>
      <c r="D178" s="11">
        <v>80047</v>
      </c>
      <c r="E178" s="14" t="str">
        <f>CONCATENATE(H178,C178,D178)</f>
        <v>306976466271280047</v>
      </c>
      <c r="F178" s="11">
        <v>74217783869085</v>
      </c>
      <c r="G178" s="10" t="s">
        <v>778</v>
      </c>
      <c r="H178" s="11">
        <v>30697646627</v>
      </c>
      <c r="I178" s="10" t="s">
        <v>256</v>
      </c>
      <c r="J178" s="11">
        <v>1</v>
      </c>
      <c r="K178" s="10" t="s">
        <v>779</v>
      </c>
      <c r="L178" s="10">
        <v>3442033.9</v>
      </c>
      <c r="N178" s="11">
        <v>0</v>
      </c>
      <c r="O178" s="11">
        <v>0</v>
      </c>
      <c r="P178" s="12">
        <v>722827.12</v>
      </c>
      <c r="Q178" s="12">
        <v>4268122.0599999996</v>
      </c>
      <c r="R178" s="10">
        <f>VLOOKUP(E178,'IVA COMPRAS'!L:Q,6,0)</f>
        <v>4268122.0599999996</v>
      </c>
    </row>
    <row r="179" spans="1:18" s="10" customFormat="1" hidden="1" x14ac:dyDescent="0.3">
      <c r="A179" s="10" t="s">
        <v>840</v>
      </c>
      <c r="B179" s="10" t="s">
        <v>784</v>
      </c>
      <c r="C179" s="11">
        <v>2</v>
      </c>
      <c r="D179" s="11">
        <v>459</v>
      </c>
      <c r="E179" s="14" t="str">
        <f>CONCATENATE(H179,C179,D179)</f>
        <v>272644372592459</v>
      </c>
      <c r="F179" s="11">
        <v>74229882096820</v>
      </c>
      <c r="G179" s="10" t="s">
        <v>778</v>
      </c>
      <c r="H179" s="11">
        <v>27264437259</v>
      </c>
      <c r="I179" s="10" t="s">
        <v>629</v>
      </c>
      <c r="J179" s="11">
        <v>1</v>
      </c>
      <c r="K179" s="10" t="s">
        <v>779</v>
      </c>
      <c r="O179" s="11">
        <v>0</v>
      </c>
      <c r="Q179" s="11">
        <v>250000</v>
      </c>
      <c r="R179" s="10">
        <f>VLOOKUP(E179,'IVA COMPRAS'!L:Q,6,0)</f>
        <v>250000</v>
      </c>
    </row>
    <row r="180" spans="1:18" s="10" customFormat="1" hidden="1" x14ac:dyDescent="0.3">
      <c r="A180" s="10" t="s">
        <v>820</v>
      </c>
      <c r="B180" s="10" t="s">
        <v>777</v>
      </c>
      <c r="C180" s="11">
        <v>2</v>
      </c>
      <c r="D180" s="11">
        <v>16657</v>
      </c>
      <c r="E180" s="14" t="str">
        <f>CONCATENATE(H180,C180,D180)</f>
        <v>30708904534216657</v>
      </c>
      <c r="F180" s="11">
        <v>74204283794491</v>
      </c>
      <c r="G180" s="10" t="s">
        <v>778</v>
      </c>
      <c r="H180" s="11">
        <v>30708904534</v>
      </c>
      <c r="I180" s="10" t="s">
        <v>822</v>
      </c>
      <c r="J180" s="11">
        <v>1</v>
      </c>
      <c r="K180" s="10" t="s">
        <v>779</v>
      </c>
      <c r="L180" s="11">
        <v>1074240</v>
      </c>
      <c r="M180" s="11">
        <v>0</v>
      </c>
      <c r="N180" s="11">
        <v>0</v>
      </c>
      <c r="O180" s="11">
        <v>0</v>
      </c>
      <c r="P180" s="10">
        <v>225590.39999999999</v>
      </c>
      <c r="Q180" s="10">
        <v>1299830.3999999999</v>
      </c>
      <c r="R180" s="10">
        <f>VLOOKUP(E180,'IVA COMPRAS'!L:Q,6,0)</f>
        <v>1299830.3999999999</v>
      </c>
    </row>
    <row r="181" spans="1:18" s="10" customFormat="1" hidden="1" x14ac:dyDescent="0.3">
      <c r="A181" s="10" t="s">
        <v>826</v>
      </c>
      <c r="B181" s="10" t="s">
        <v>777</v>
      </c>
      <c r="C181" s="11">
        <v>2</v>
      </c>
      <c r="D181" s="11">
        <v>16695</v>
      </c>
      <c r="E181" s="14" t="str">
        <f>CONCATENATE(H181,C181,D181)</f>
        <v>30708904534216695</v>
      </c>
      <c r="F181" s="11">
        <v>74214680455864</v>
      </c>
      <c r="G181" s="10" t="s">
        <v>778</v>
      </c>
      <c r="H181" s="11">
        <v>30708904534</v>
      </c>
      <c r="I181" s="10" t="s">
        <v>822</v>
      </c>
      <c r="J181" s="11">
        <v>1</v>
      </c>
      <c r="K181" s="10" t="s">
        <v>779</v>
      </c>
      <c r="L181" s="11">
        <v>124720</v>
      </c>
      <c r="M181" s="11">
        <v>0</v>
      </c>
      <c r="N181" s="11">
        <v>0</v>
      </c>
      <c r="O181" s="11">
        <v>0</v>
      </c>
      <c r="P181" s="10">
        <v>26191.200000000001</v>
      </c>
      <c r="Q181" s="10">
        <v>150911.20000000001</v>
      </c>
      <c r="R181" s="10">
        <f>VLOOKUP(E181,'IVA COMPRAS'!L:Q,6,0)</f>
        <v>150911.20000000001</v>
      </c>
    </row>
    <row r="182" spans="1:18" s="10" customFormat="1" hidden="1" x14ac:dyDescent="0.3">
      <c r="A182" s="10" t="s">
        <v>809</v>
      </c>
      <c r="B182" s="10" t="s">
        <v>777</v>
      </c>
      <c r="C182" s="11">
        <v>60</v>
      </c>
      <c r="D182" s="11">
        <v>308546</v>
      </c>
      <c r="E182" s="14" t="str">
        <f>CONCATENATE(H182,C182,D182)</f>
        <v>3370725983960308546</v>
      </c>
      <c r="F182" s="11">
        <v>34179568259102</v>
      </c>
      <c r="G182" s="10" t="s">
        <v>778</v>
      </c>
      <c r="H182" s="11">
        <v>33707259839</v>
      </c>
      <c r="I182" s="10" t="s">
        <v>281</v>
      </c>
      <c r="J182" s="11">
        <v>1</v>
      </c>
      <c r="K182" s="10" t="s">
        <v>779</v>
      </c>
      <c r="L182" s="12">
        <v>326397.65999999997</v>
      </c>
      <c r="M182" s="11">
        <v>0</v>
      </c>
      <c r="N182" s="11">
        <v>0</v>
      </c>
      <c r="O182" s="12">
        <v>6527.95</v>
      </c>
      <c r="P182" s="12">
        <v>68543.509999999995</v>
      </c>
      <c r="Q182" s="12">
        <v>411261.05</v>
      </c>
      <c r="R182" s="10">
        <f>VLOOKUP(E182,'IVA COMPRAS'!L:Q,6,0)</f>
        <v>411261.05</v>
      </c>
    </row>
    <row r="183" spans="1:18" s="10" customFormat="1" hidden="1" x14ac:dyDescent="0.3">
      <c r="A183" s="10" t="s">
        <v>839</v>
      </c>
      <c r="B183" s="10" t="s">
        <v>777</v>
      </c>
      <c r="C183" s="11">
        <v>6</v>
      </c>
      <c r="D183" s="11">
        <v>35176</v>
      </c>
      <c r="E183" s="14" t="str">
        <f>CONCATENATE(H183,C183,D183)</f>
        <v>30709459399635176</v>
      </c>
      <c r="F183" s="11">
        <v>74229800643238</v>
      </c>
      <c r="G183" s="10" t="s">
        <v>778</v>
      </c>
      <c r="H183" s="11">
        <v>30709459399</v>
      </c>
      <c r="I183" s="10" t="s">
        <v>568</v>
      </c>
      <c r="J183" s="11">
        <v>1</v>
      </c>
      <c r="K183" s="10" t="s">
        <v>779</v>
      </c>
      <c r="L183" s="12">
        <v>199641.63</v>
      </c>
      <c r="M183" s="11">
        <v>0</v>
      </c>
      <c r="N183" s="11">
        <v>0</v>
      </c>
      <c r="O183" s="11">
        <v>0</v>
      </c>
      <c r="P183" s="12">
        <v>20962.37</v>
      </c>
      <c r="Q183" s="11">
        <v>220604</v>
      </c>
      <c r="R183" s="10">
        <f>VLOOKUP(E183,'IVA COMPRAS'!L:Q,6,0)</f>
        <v>220604</v>
      </c>
    </row>
    <row r="184" spans="1:18" s="10" customFormat="1" hidden="1" x14ac:dyDescent="0.3">
      <c r="A184" s="10" t="s">
        <v>785</v>
      </c>
      <c r="B184" s="10" t="s">
        <v>777</v>
      </c>
      <c r="C184" s="11">
        <v>63</v>
      </c>
      <c r="D184" s="11">
        <v>65647</v>
      </c>
      <c r="E184" s="14" t="str">
        <f>CONCATENATE(H184,C184,D184)</f>
        <v>305038616386365647</v>
      </c>
      <c r="F184" s="11">
        <v>34178423648308</v>
      </c>
      <c r="G184" s="10" t="s">
        <v>778</v>
      </c>
      <c r="H184" s="11">
        <v>30503861638</v>
      </c>
      <c r="I184" s="10" t="s">
        <v>136</v>
      </c>
      <c r="J184" s="11">
        <v>1</v>
      </c>
      <c r="K184" s="10" t="s">
        <v>779</v>
      </c>
      <c r="L184" s="11">
        <v>627598</v>
      </c>
      <c r="O184" s="11">
        <v>0</v>
      </c>
      <c r="P184" s="12">
        <v>131795.57999999999</v>
      </c>
      <c r="Q184" s="12">
        <v>790773.45</v>
      </c>
      <c r="R184" s="10">
        <f>VLOOKUP(E184,'IVA COMPRAS'!L:Q,6,0)</f>
        <v>790773.45</v>
      </c>
    </row>
    <row r="185" spans="1:18" s="10" customFormat="1" hidden="1" x14ac:dyDescent="0.3">
      <c r="A185" s="10" t="s">
        <v>810</v>
      </c>
      <c r="B185" s="10" t="s">
        <v>777</v>
      </c>
      <c r="C185" s="11">
        <v>63</v>
      </c>
      <c r="D185" s="11">
        <v>65758</v>
      </c>
      <c r="E185" s="14" t="str">
        <f>CONCATENATE(H185,C185,D185)</f>
        <v>305038616386365758</v>
      </c>
      <c r="F185" s="11">
        <v>34178423648308</v>
      </c>
      <c r="G185" s="10" t="s">
        <v>778</v>
      </c>
      <c r="H185" s="11">
        <v>30503861638</v>
      </c>
      <c r="I185" s="10" t="s">
        <v>136</v>
      </c>
      <c r="J185" s="11">
        <v>1</v>
      </c>
      <c r="K185" s="10" t="s">
        <v>779</v>
      </c>
      <c r="L185" s="12">
        <v>576480.86</v>
      </c>
      <c r="O185" s="11">
        <v>0</v>
      </c>
      <c r="P185" s="12">
        <v>121060.98</v>
      </c>
      <c r="Q185" s="12">
        <v>726365.85</v>
      </c>
      <c r="R185" s="10">
        <f>VLOOKUP(E185,'IVA COMPRAS'!L:Q,6,0)</f>
        <v>726365.87</v>
      </c>
    </row>
    <row r="186" spans="1:18" s="10" customFormat="1" hidden="1" x14ac:dyDescent="0.3">
      <c r="A186" s="10" t="s">
        <v>828</v>
      </c>
      <c r="B186" s="10" t="s">
        <v>777</v>
      </c>
      <c r="C186" s="11">
        <v>63</v>
      </c>
      <c r="D186" s="11">
        <v>65934</v>
      </c>
      <c r="E186" s="14" t="str">
        <f>CONCATENATE(H186,C186,D186)</f>
        <v>305038616386365934</v>
      </c>
      <c r="F186" s="11">
        <v>34208679412215</v>
      </c>
      <c r="G186" s="10" t="s">
        <v>778</v>
      </c>
      <c r="H186" s="11">
        <v>30503861638</v>
      </c>
      <c r="I186" s="10" t="s">
        <v>136</v>
      </c>
      <c r="J186" s="11">
        <v>1</v>
      </c>
      <c r="K186" s="10" t="s">
        <v>779</v>
      </c>
      <c r="L186" s="12">
        <v>717279.43</v>
      </c>
      <c r="O186" s="11">
        <v>0</v>
      </c>
      <c r="P186" s="12">
        <v>150628.68</v>
      </c>
      <c r="Q186" s="12">
        <v>903772.06</v>
      </c>
      <c r="R186" s="10">
        <f>VLOOKUP(E186,'IVA COMPRAS'!L:Q,6,0)</f>
        <v>903772.06</v>
      </c>
    </row>
    <row r="187" spans="1:18" s="10" customFormat="1" hidden="1" x14ac:dyDescent="0.3">
      <c r="A187" s="10" t="s">
        <v>840</v>
      </c>
      <c r="B187" s="10" t="s">
        <v>777</v>
      </c>
      <c r="C187" s="11">
        <v>63</v>
      </c>
      <c r="D187" s="11">
        <v>66065</v>
      </c>
      <c r="E187" s="14" t="str">
        <f>CONCATENATE(H187,C187,D187)</f>
        <v>305038616386366065</v>
      </c>
      <c r="F187" s="11">
        <v>34208679412215</v>
      </c>
      <c r="G187" s="10" t="s">
        <v>778</v>
      </c>
      <c r="H187" s="11">
        <v>30503861638</v>
      </c>
      <c r="I187" s="10" t="s">
        <v>136</v>
      </c>
      <c r="J187" s="11">
        <v>1</v>
      </c>
      <c r="K187" s="10" t="s">
        <v>779</v>
      </c>
      <c r="L187" s="12">
        <v>263109.67</v>
      </c>
      <c r="O187" s="11">
        <v>0</v>
      </c>
      <c r="P187" s="12">
        <v>55253.03</v>
      </c>
      <c r="Q187" s="10">
        <v>331518.2</v>
      </c>
      <c r="R187" s="10">
        <f>VLOOKUP(E187,'IVA COMPRAS'!L:Q,6,0)</f>
        <v>331518.2</v>
      </c>
    </row>
    <row r="188" spans="1:18" s="10" customFormat="1" hidden="1" x14ac:dyDescent="0.3">
      <c r="A188" s="10" t="s">
        <v>840</v>
      </c>
      <c r="B188" s="10" t="s">
        <v>777</v>
      </c>
      <c r="C188" s="11">
        <v>63</v>
      </c>
      <c r="D188" s="11">
        <v>66067</v>
      </c>
      <c r="E188" s="14" t="str">
        <f>CONCATENATE(H188,C188,D188)</f>
        <v>305038616386366067</v>
      </c>
      <c r="F188" s="11">
        <v>34208679412215</v>
      </c>
      <c r="G188" s="10" t="s">
        <v>778</v>
      </c>
      <c r="H188" s="11">
        <v>30503861638</v>
      </c>
      <c r="I188" s="10" t="s">
        <v>136</v>
      </c>
      <c r="J188" s="11">
        <v>1</v>
      </c>
      <c r="K188" s="10" t="s">
        <v>779</v>
      </c>
      <c r="L188" s="12">
        <v>184519.24</v>
      </c>
      <c r="O188" s="11">
        <v>0</v>
      </c>
      <c r="P188" s="12">
        <v>38749.040000000001</v>
      </c>
      <c r="Q188" s="12">
        <v>232494.24</v>
      </c>
      <c r="R188" s="10">
        <f>VLOOKUP(E188,'IVA COMPRAS'!L:Q,6,0)</f>
        <v>232494.24</v>
      </c>
    </row>
    <row r="189" spans="1:18" s="10" customFormat="1" hidden="1" x14ac:dyDescent="0.3">
      <c r="A189" s="10" t="s">
        <v>810</v>
      </c>
      <c r="B189" s="10" t="s">
        <v>777</v>
      </c>
      <c r="C189" s="11">
        <v>1</v>
      </c>
      <c r="D189" s="11">
        <v>5529</v>
      </c>
      <c r="E189" s="14" t="str">
        <f>CONCATENATE(H189,C189,D189)</f>
        <v>3071642303015529</v>
      </c>
      <c r="F189" s="11">
        <v>74190627890997</v>
      </c>
      <c r="G189" s="10" t="s">
        <v>778</v>
      </c>
      <c r="H189" s="11">
        <v>30716423030</v>
      </c>
      <c r="I189" s="10" t="s">
        <v>813</v>
      </c>
      <c r="J189" s="11">
        <v>1</v>
      </c>
      <c r="K189" s="10" t="s">
        <v>779</v>
      </c>
      <c r="L189" s="10">
        <v>291698.5</v>
      </c>
      <c r="M189" s="11">
        <v>0</v>
      </c>
      <c r="N189" s="11">
        <v>0</v>
      </c>
      <c r="O189" s="11">
        <v>0</v>
      </c>
      <c r="P189" s="12">
        <v>61256.69</v>
      </c>
      <c r="Q189" s="12">
        <v>352955.19</v>
      </c>
      <c r="R189" s="10">
        <f>VLOOKUP(E189,'IVA COMPRAS'!L:Q,6,0)</f>
        <v>352955.19</v>
      </c>
    </row>
    <row r="190" spans="1:18" s="10" customFormat="1" hidden="1" x14ac:dyDescent="0.3">
      <c r="A190" s="10" t="s">
        <v>810</v>
      </c>
      <c r="B190" s="10" t="s">
        <v>777</v>
      </c>
      <c r="C190" s="11">
        <v>1</v>
      </c>
      <c r="D190" s="11">
        <v>5530</v>
      </c>
      <c r="E190" s="14" t="str">
        <f>CONCATENATE(H190,C190,D190)</f>
        <v>3071642303015530</v>
      </c>
      <c r="F190" s="11">
        <v>74190628485332</v>
      </c>
      <c r="G190" s="10" t="s">
        <v>778</v>
      </c>
      <c r="H190" s="11">
        <v>30716423030</v>
      </c>
      <c r="I190" s="10" t="s">
        <v>813</v>
      </c>
      <c r="J190" s="11">
        <v>1</v>
      </c>
      <c r="K190" s="10" t="s">
        <v>779</v>
      </c>
      <c r="L190" s="12">
        <v>336898.38</v>
      </c>
      <c r="M190" s="11">
        <v>0</v>
      </c>
      <c r="N190" s="11">
        <v>0</v>
      </c>
      <c r="O190" s="11">
        <v>0</v>
      </c>
      <c r="P190" s="12">
        <v>70748.66</v>
      </c>
      <c r="Q190" s="12">
        <v>407647.04</v>
      </c>
      <c r="R190" s="10">
        <f>VLOOKUP(E190,'IVA COMPRAS'!L:Q,6,0)</f>
        <v>407647.04</v>
      </c>
    </row>
    <row r="191" spans="1:18" s="10" customFormat="1" hidden="1" x14ac:dyDescent="0.3">
      <c r="A191" s="10" t="s">
        <v>816</v>
      </c>
      <c r="B191" s="10" t="s">
        <v>783</v>
      </c>
      <c r="C191" s="11">
        <v>1</v>
      </c>
      <c r="D191" s="11">
        <v>374</v>
      </c>
      <c r="E191" s="14" t="str">
        <f>CONCATENATE(H191,C191,D191)</f>
        <v>307164230301374</v>
      </c>
      <c r="F191" s="11">
        <v>74200929821239</v>
      </c>
      <c r="G191" s="10" t="s">
        <v>778</v>
      </c>
      <c r="H191" s="11">
        <v>30716423030</v>
      </c>
      <c r="I191" s="10" t="s">
        <v>813</v>
      </c>
      <c r="J191" s="11">
        <v>1</v>
      </c>
      <c r="K191" s="10" t="s">
        <v>779</v>
      </c>
      <c r="L191" s="11">
        <v>92399</v>
      </c>
      <c r="M191" s="11">
        <v>0</v>
      </c>
      <c r="N191" s="11">
        <v>0</v>
      </c>
      <c r="O191" s="11">
        <v>0</v>
      </c>
      <c r="P191" s="12">
        <v>19403.79</v>
      </c>
      <c r="Q191" s="12">
        <v>111802.79</v>
      </c>
      <c r="R191" s="10">
        <f>VLOOKUP(E191,'IVA COMPRAS'!L:Q,6,0)</f>
        <v>-111802.79</v>
      </c>
    </row>
    <row r="192" spans="1:18" s="10" customFormat="1" hidden="1" x14ac:dyDescent="0.3">
      <c r="A192" s="10" t="s">
        <v>832</v>
      </c>
      <c r="B192" s="10" t="s">
        <v>777</v>
      </c>
      <c r="C192" s="11">
        <v>1</v>
      </c>
      <c r="D192" s="11">
        <v>5605</v>
      </c>
      <c r="E192" s="14" t="str">
        <f>CONCATENATE(H192,C192,D192)</f>
        <v>3071642303015605</v>
      </c>
      <c r="F192" s="11">
        <v>74210146426970</v>
      </c>
      <c r="G192" s="10" t="s">
        <v>778</v>
      </c>
      <c r="H192" s="11">
        <v>30716423030</v>
      </c>
      <c r="I192" s="10" t="s">
        <v>813</v>
      </c>
      <c r="J192" s="11">
        <v>1</v>
      </c>
      <c r="K192" s="10" t="s">
        <v>779</v>
      </c>
      <c r="L192" s="12">
        <v>822235.16</v>
      </c>
      <c r="M192" s="11">
        <v>0</v>
      </c>
      <c r="N192" s="11">
        <v>0</v>
      </c>
      <c r="O192" s="11">
        <v>0</v>
      </c>
      <c r="P192" s="12">
        <v>172669.38</v>
      </c>
      <c r="Q192" s="12">
        <v>994904.54</v>
      </c>
      <c r="R192" s="10">
        <f>VLOOKUP(E192,'IVA COMPRAS'!L:Q,6,0)</f>
        <v>994904.54</v>
      </c>
    </row>
    <row r="193" spans="1:18" s="10" customFormat="1" hidden="1" x14ac:dyDescent="0.3">
      <c r="A193" s="10" t="s">
        <v>819</v>
      </c>
      <c r="B193" s="10" t="s">
        <v>783</v>
      </c>
      <c r="C193" s="11">
        <v>34</v>
      </c>
      <c r="D193" s="11">
        <v>26574</v>
      </c>
      <c r="E193" s="14" t="str">
        <f>CONCATENATE(H193,C193,D193)</f>
        <v>306871474363426574</v>
      </c>
      <c r="F193" s="11">
        <v>74206152497143</v>
      </c>
      <c r="G193" s="10" t="s">
        <v>778</v>
      </c>
      <c r="H193" s="11">
        <v>30687147436</v>
      </c>
      <c r="I193" s="10" t="s">
        <v>350</v>
      </c>
      <c r="J193" s="11">
        <v>1</v>
      </c>
      <c r="K193" s="10" t="s">
        <v>779</v>
      </c>
      <c r="L193" s="12">
        <v>41400.379999999997</v>
      </c>
      <c r="O193" s="11">
        <v>0</v>
      </c>
      <c r="P193" s="12">
        <v>8694.08</v>
      </c>
      <c r="Q193" s="12">
        <v>50094.44</v>
      </c>
      <c r="R193" s="10">
        <f>VLOOKUP(E193,'IVA COMPRAS'!L:Q,6,0)</f>
        <v>-50094.44</v>
      </c>
    </row>
    <row r="194" spans="1:18" s="10" customFormat="1" hidden="1" x14ac:dyDescent="0.3">
      <c r="A194" s="10" t="s">
        <v>832</v>
      </c>
      <c r="B194" s="10" t="s">
        <v>777</v>
      </c>
      <c r="C194" s="11">
        <v>2</v>
      </c>
      <c r="D194" s="11">
        <v>2550</v>
      </c>
      <c r="E194" s="14" t="str">
        <f>CONCATENATE(H194,C194,D194)</f>
        <v>2018057502322550</v>
      </c>
      <c r="F194" s="11">
        <v>74223444439203</v>
      </c>
      <c r="G194" s="10" t="s">
        <v>778</v>
      </c>
      <c r="H194" s="11">
        <v>20180575023</v>
      </c>
      <c r="I194" s="10" t="s">
        <v>489</v>
      </c>
      <c r="J194" s="11">
        <v>1</v>
      </c>
      <c r="K194" s="10" t="s">
        <v>779</v>
      </c>
      <c r="L194" s="11">
        <v>32000</v>
      </c>
      <c r="M194" s="11">
        <v>0</v>
      </c>
      <c r="N194" s="11">
        <v>0</v>
      </c>
      <c r="O194" s="11">
        <v>0</v>
      </c>
      <c r="P194" s="11">
        <v>6720</v>
      </c>
      <c r="Q194" s="11">
        <v>38720</v>
      </c>
      <c r="R194" s="10">
        <f>VLOOKUP(E194,'IVA COMPRAS'!L:Q,6,0)</f>
        <v>38720</v>
      </c>
    </row>
    <row r="195" spans="1:18" s="10" customFormat="1" hidden="1" x14ac:dyDescent="0.3">
      <c r="A195" s="10" t="s">
        <v>838</v>
      </c>
      <c r="B195" s="10" t="s">
        <v>777</v>
      </c>
      <c r="C195" s="11">
        <v>2</v>
      </c>
      <c r="D195" s="11">
        <v>2557</v>
      </c>
      <c r="E195" s="14" t="str">
        <f>CONCATENATE(H195,C195,D195)</f>
        <v>2018057502322557</v>
      </c>
      <c r="F195" s="11">
        <v>74223759790255</v>
      </c>
      <c r="G195" s="10" t="s">
        <v>778</v>
      </c>
      <c r="H195" s="11">
        <v>20180575023</v>
      </c>
      <c r="I195" s="10" t="s">
        <v>489</v>
      </c>
      <c r="J195" s="11">
        <v>1</v>
      </c>
      <c r="K195" s="10" t="s">
        <v>779</v>
      </c>
      <c r="L195" s="11">
        <v>76800</v>
      </c>
      <c r="M195" s="11">
        <v>0</v>
      </c>
      <c r="N195" s="11">
        <v>0</v>
      </c>
      <c r="O195" s="11">
        <v>0</v>
      </c>
      <c r="P195" s="11">
        <v>16128</v>
      </c>
      <c r="Q195" s="11">
        <v>92928</v>
      </c>
      <c r="R195" s="10">
        <f>VLOOKUP(E195,'IVA COMPRAS'!L:Q,6,0)</f>
        <v>92928</v>
      </c>
    </row>
    <row r="196" spans="1:18" s="10" customFormat="1" hidden="1" x14ac:dyDescent="0.3">
      <c r="A196" s="10" t="s">
        <v>785</v>
      </c>
      <c r="B196" s="10" t="s">
        <v>777</v>
      </c>
      <c r="C196" s="11">
        <v>90</v>
      </c>
      <c r="D196" s="11">
        <v>437347</v>
      </c>
      <c r="E196" s="14" t="str">
        <f>CONCATENATE(H196,C196,D196)</f>
        <v>3070705980690437347</v>
      </c>
      <c r="F196" s="11">
        <v>74186737702619</v>
      </c>
      <c r="G196" s="10" t="s">
        <v>778</v>
      </c>
      <c r="H196" s="11">
        <v>30707059806</v>
      </c>
      <c r="I196" s="10" t="s">
        <v>789</v>
      </c>
      <c r="J196" s="11">
        <v>1</v>
      </c>
      <c r="K196" s="10" t="s">
        <v>779</v>
      </c>
      <c r="L196" s="12">
        <v>881541.19</v>
      </c>
      <c r="M196" s="11">
        <v>0</v>
      </c>
      <c r="N196" s="11">
        <v>0</v>
      </c>
      <c r="O196" s="11">
        <v>0</v>
      </c>
      <c r="P196" s="12">
        <v>185123.65</v>
      </c>
      <c r="Q196" s="12">
        <v>1137188.1499999999</v>
      </c>
      <c r="R196" s="10">
        <f>VLOOKUP(E196,'IVA COMPRAS'!L:Q,6,0)</f>
        <v>1137188.1499999999</v>
      </c>
    </row>
    <row r="197" spans="1:18" s="10" customFormat="1" hidden="1" x14ac:dyDescent="0.3">
      <c r="A197" s="10" t="s">
        <v>810</v>
      </c>
      <c r="B197" s="10" t="s">
        <v>777</v>
      </c>
      <c r="C197" s="11">
        <v>91</v>
      </c>
      <c r="D197" s="11">
        <v>243492</v>
      </c>
      <c r="E197" s="14" t="str">
        <f>CONCATENATE(H197,C197,D197)</f>
        <v>3070705980691243492</v>
      </c>
      <c r="F197" s="11">
        <v>74196504157062</v>
      </c>
      <c r="G197" s="10" t="s">
        <v>778</v>
      </c>
      <c r="H197" s="11">
        <v>30707059806</v>
      </c>
      <c r="I197" s="10" t="s">
        <v>789</v>
      </c>
      <c r="J197" s="11">
        <v>1</v>
      </c>
      <c r="K197" s="10" t="s">
        <v>779</v>
      </c>
      <c r="L197" s="11">
        <v>4050000</v>
      </c>
      <c r="M197" s="11">
        <v>0</v>
      </c>
      <c r="N197" s="11">
        <v>0</v>
      </c>
      <c r="O197" s="11">
        <v>0</v>
      </c>
      <c r="P197" s="11">
        <v>850500</v>
      </c>
      <c r="Q197" s="11">
        <v>5224500</v>
      </c>
      <c r="R197" s="10">
        <f>VLOOKUP(E197,'IVA COMPRAS'!L:Q,6,0)</f>
        <v>5224500</v>
      </c>
    </row>
    <row r="198" spans="1:18" s="10" customFormat="1" hidden="1" x14ac:dyDescent="0.3">
      <c r="A198" s="10" t="s">
        <v>810</v>
      </c>
      <c r="B198" s="10" t="s">
        <v>777</v>
      </c>
      <c r="C198" s="11">
        <v>90</v>
      </c>
      <c r="D198" s="11">
        <v>438286</v>
      </c>
      <c r="E198" s="14" t="str">
        <f>CONCATENATE(H198,C198,D198)</f>
        <v>3070705980690438286</v>
      </c>
      <c r="F198" s="11">
        <v>74196504138389</v>
      </c>
      <c r="G198" s="10" t="s">
        <v>778</v>
      </c>
      <c r="H198" s="11">
        <v>30707059806</v>
      </c>
      <c r="I198" s="10" t="s">
        <v>789</v>
      </c>
      <c r="J198" s="11">
        <v>1</v>
      </c>
      <c r="K198" s="10" t="s">
        <v>779</v>
      </c>
      <c r="L198" s="11">
        <v>609840</v>
      </c>
      <c r="M198" s="11">
        <v>0</v>
      </c>
      <c r="N198" s="11">
        <v>0</v>
      </c>
      <c r="O198" s="11">
        <v>0</v>
      </c>
      <c r="P198" s="10">
        <v>128066.4</v>
      </c>
      <c r="Q198" s="14">
        <v>786693.6</v>
      </c>
      <c r="R198" s="10" t="e">
        <f>VLOOKUP(E198,'IVA COMPRAS'!L:Q,6,0)</f>
        <v>#N/A</v>
      </c>
    </row>
    <row r="199" spans="1:18" s="10" customFormat="1" hidden="1" x14ac:dyDescent="0.3">
      <c r="A199" s="10" t="s">
        <v>818</v>
      </c>
      <c r="B199" s="10" t="s">
        <v>777</v>
      </c>
      <c r="C199" s="11">
        <v>90</v>
      </c>
      <c r="D199" s="11">
        <v>438559</v>
      </c>
      <c r="E199" s="14" t="str">
        <f>CONCATENATE(H199,C199,D199)</f>
        <v>3070705980690438559</v>
      </c>
      <c r="F199" s="11">
        <v>74206942001131</v>
      </c>
      <c r="G199" s="10" t="s">
        <v>778</v>
      </c>
      <c r="H199" s="11">
        <v>30707059806</v>
      </c>
      <c r="I199" s="10" t="s">
        <v>789</v>
      </c>
      <c r="J199" s="11">
        <v>1</v>
      </c>
      <c r="K199" s="10" t="s">
        <v>779</v>
      </c>
      <c r="L199" s="11">
        <v>609840</v>
      </c>
      <c r="M199" s="11">
        <v>0</v>
      </c>
      <c r="N199" s="11">
        <v>0</v>
      </c>
      <c r="O199" s="11">
        <v>0</v>
      </c>
      <c r="P199" s="10">
        <v>128066.4</v>
      </c>
      <c r="Q199" s="10">
        <v>786693.6</v>
      </c>
      <c r="R199" s="10">
        <f>VLOOKUP(E199,'IVA COMPRAS'!L:Q,6,0)</f>
        <v>786693.6</v>
      </c>
    </row>
    <row r="200" spans="1:18" s="10" customFormat="1" hidden="1" x14ac:dyDescent="0.3">
      <c r="A200" s="10" t="s">
        <v>818</v>
      </c>
      <c r="B200" s="10" t="s">
        <v>783</v>
      </c>
      <c r="C200" s="11">
        <v>90</v>
      </c>
      <c r="D200" s="11">
        <v>41539</v>
      </c>
      <c r="E200" s="14" t="str">
        <f>CONCATENATE(H200,C200,D200)</f>
        <v>307070598069041539</v>
      </c>
      <c r="F200" s="11">
        <v>74206041692765</v>
      </c>
      <c r="G200" s="10" t="s">
        <v>778</v>
      </c>
      <c r="H200" s="11">
        <v>30707059806</v>
      </c>
      <c r="I200" s="10" t="s">
        <v>789</v>
      </c>
      <c r="J200" s="11">
        <v>1</v>
      </c>
      <c r="K200" s="10" t="s">
        <v>779</v>
      </c>
      <c r="L200" s="11">
        <v>609840</v>
      </c>
      <c r="M200" s="11">
        <v>0</v>
      </c>
      <c r="N200" s="11">
        <v>0</v>
      </c>
      <c r="O200" s="11">
        <v>0</v>
      </c>
      <c r="P200" s="10">
        <v>128066.4</v>
      </c>
      <c r="Q200" s="14">
        <v>-786693.6</v>
      </c>
      <c r="R200" s="10" t="e">
        <f>VLOOKUP(E200,'IVA COMPRAS'!L:Q,6,0)</f>
        <v>#N/A</v>
      </c>
    </row>
    <row r="201" spans="1:18" s="10" customFormat="1" hidden="1" x14ac:dyDescent="0.3">
      <c r="A201" s="10" t="s">
        <v>832</v>
      </c>
      <c r="B201" s="10" t="s">
        <v>777</v>
      </c>
      <c r="C201" s="11">
        <v>90</v>
      </c>
      <c r="D201" s="11">
        <v>440251</v>
      </c>
      <c r="E201" s="14" t="str">
        <f>CONCATENATE(H201,C201,D201)</f>
        <v>3070705980690440251</v>
      </c>
      <c r="F201" s="11">
        <v>74216079050684</v>
      </c>
      <c r="G201" s="10" t="s">
        <v>778</v>
      </c>
      <c r="H201" s="11">
        <v>30707059806</v>
      </c>
      <c r="I201" s="10" t="s">
        <v>789</v>
      </c>
      <c r="J201" s="11">
        <v>1</v>
      </c>
      <c r="K201" s="10" t="s">
        <v>779</v>
      </c>
      <c r="L201" s="12">
        <v>804677.52</v>
      </c>
      <c r="M201" s="11">
        <v>0</v>
      </c>
      <c r="N201" s="11">
        <v>0</v>
      </c>
      <c r="O201" s="11">
        <v>0</v>
      </c>
      <c r="P201" s="12">
        <v>168982.28</v>
      </c>
      <c r="Q201" s="12">
        <v>1038033.99</v>
      </c>
      <c r="R201" s="10">
        <f>VLOOKUP(E201,'IVA COMPRAS'!L:Q,6,0)</f>
        <v>1038033.99</v>
      </c>
    </row>
    <row r="202" spans="1:18" s="10" customFormat="1" hidden="1" x14ac:dyDescent="0.3">
      <c r="A202" s="10" t="s">
        <v>840</v>
      </c>
      <c r="B202" s="10" t="s">
        <v>777</v>
      </c>
      <c r="C202" s="11">
        <v>90</v>
      </c>
      <c r="D202" s="11">
        <v>441348</v>
      </c>
      <c r="E202" s="14" t="str">
        <f>CONCATENATE(H202,C202,D202)</f>
        <v>3070705980690441348</v>
      </c>
      <c r="F202" s="11">
        <v>74226824178960</v>
      </c>
      <c r="G202" s="10" t="s">
        <v>778</v>
      </c>
      <c r="H202" s="11">
        <v>30707059806</v>
      </c>
      <c r="I202" s="10" t="s">
        <v>789</v>
      </c>
      <c r="J202" s="11">
        <v>1</v>
      </c>
      <c r="K202" s="10" t="s">
        <v>779</v>
      </c>
      <c r="L202" s="11">
        <v>216138</v>
      </c>
      <c r="M202" s="11">
        <v>0</v>
      </c>
      <c r="N202" s="11">
        <v>0</v>
      </c>
      <c r="O202" s="11">
        <v>0</v>
      </c>
      <c r="P202" s="12">
        <v>45388.98</v>
      </c>
      <c r="Q202" s="12">
        <v>278818.02</v>
      </c>
      <c r="R202" s="10">
        <f>VLOOKUP(E202,'IVA COMPRAS'!L:Q,6,0)</f>
        <v>278818.02</v>
      </c>
    </row>
    <row r="203" spans="1:18" s="10" customFormat="1" hidden="1" x14ac:dyDescent="0.3">
      <c r="A203" s="10" t="s">
        <v>834</v>
      </c>
      <c r="B203" s="10" t="s">
        <v>777</v>
      </c>
      <c r="C203" s="11">
        <v>9</v>
      </c>
      <c r="D203" s="11">
        <v>40793</v>
      </c>
      <c r="E203" s="14" t="str">
        <f>CONCATENATE(H203,C203,D203)</f>
        <v>30585754869940793</v>
      </c>
      <c r="F203" s="11">
        <v>74229427196305</v>
      </c>
      <c r="G203" s="10" t="s">
        <v>778</v>
      </c>
      <c r="H203" s="11">
        <v>30585754869</v>
      </c>
      <c r="I203" s="10" t="s">
        <v>510</v>
      </c>
      <c r="J203" s="11">
        <v>1</v>
      </c>
      <c r="K203" s="10" t="s">
        <v>779</v>
      </c>
      <c r="L203" s="12">
        <v>699504.14</v>
      </c>
      <c r="M203" s="11">
        <v>0</v>
      </c>
      <c r="N203" s="11">
        <v>0</v>
      </c>
      <c r="O203" s="11">
        <v>0</v>
      </c>
      <c r="P203" s="12">
        <v>146895.87</v>
      </c>
      <c r="Q203" s="12">
        <v>902360.33</v>
      </c>
      <c r="R203" s="10">
        <f>VLOOKUP(E203,'IVA COMPRAS'!L:Q,6,0)</f>
        <v>902360.33</v>
      </c>
    </row>
    <row r="204" spans="1:18" s="10" customFormat="1" hidden="1" x14ac:dyDescent="0.3">
      <c r="A204" s="10" t="s">
        <v>840</v>
      </c>
      <c r="B204" s="10" t="s">
        <v>777</v>
      </c>
      <c r="C204" s="11">
        <v>4</v>
      </c>
      <c r="D204" s="11">
        <v>4835</v>
      </c>
      <c r="E204" s="14" t="str">
        <f>CONCATENATE(H204,C204,D204)</f>
        <v>2005503657944835</v>
      </c>
      <c r="F204" s="11">
        <v>74229874584259</v>
      </c>
      <c r="G204" s="10" t="s">
        <v>778</v>
      </c>
      <c r="H204" s="11">
        <v>20055036579</v>
      </c>
      <c r="I204" s="10" t="s">
        <v>33</v>
      </c>
      <c r="J204" s="11">
        <v>1</v>
      </c>
      <c r="K204" s="10" t="s">
        <v>779</v>
      </c>
      <c r="L204" s="10">
        <v>221609.8</v>
      </c>
      <c r="M204" s="11">
        <v>0</v>
      </c>
      <c r="N204" s="11">
        <v>0</v>
      </c>
      <c r="O204" s="11">
        <v>0</v>
      </c>
      <c r="P204" s="12">
        <v>46538.06</v>
      </c>
      <c r="Q204" s="12">
        <v>268147.86</v>
      </c>
      <c r="R204" s="10">
        <f>VLOOKUP(E204,'IVA COMPRAS'!L:Q,6,0)</f>
        <v>268147.86</v>
      </c>
    </row>
    <row r="205" spans="1:18" s="10" customFormat="1" hidden="1" x14ac:dyDescent="0.3">
      <c r="A205" s="10" t="s">
        <v>834</v>
      </c>
      <c r="B205" s="10" t="s">
        <v>777</v>
      </c>
      <c r="C205" s="11">
        <v>2</v>
      </c>
      <c r="D205" s="11">
        <v>154</v>
      </c>
      <c r="E205" s="14" t="str">
        <f>CONCATENATE(H205,C205,D205)</f>
        <v>233070028092154</v>
      </c>
      <c r="F205" s="11">
        <v>74229396275122</v>
      </c>
      <c r="G205" s="10" t="s">
        <v>778</v>
      </c>
      <c r="H205" s="11">
        <v>23307002809</v>
      </c>
      <c r="I205" s="10" t="s">
        <v>506</v>
      </c>
      <c r="J205" s="11">
        <v>1</v>
      </c>
      <c r="K205" s="10" t="s">
        <v>779</v>
      </c>
      <c r="L205" s="11">
        <v>103600</v>
      </c>
      <c r="M205" s="11">
        <v>0</v>
      </c>
      <c r="N205" s="11">
        <v>0</v>
      </c>
      <c r="O205" s="11">
        <v>0</v>
      </c>
      <c r="P205" s="11">
        <v>21756</v>
      </c>
      <c r="Q205" s="11">
        <v>125356</v>
      </c>
      <c r="R205" s="10">
        <f>VLOOKUP(E205,'IVA COMPRAS'!L:Q,6,0)</f>
        <v>125356</v>
      </c>
    </row>
    <row r="206" spans="1:18" s="10" customFormat="1" hidden="1" x14ac:dyDescent="0.3">
      <c r="A206" s="10" t="s">
        <v>816</v>
      </c>
      <c r="B206" s="10" t="s">
        <v>777</v>
      </c>
      <c r="C206" s="11">
        <v>10</v>
      </c>
      <c r="D206" s="11">
        <v>44587</v>
      </c>
      <c r="E206" s="14" t="str">
        <f>CONCATENATE(H206,C206,D206)</f>
        <v>305529105121044587</v>
      </c>
      <c r="F206" s="11">
        <v>74202928720511</v>
      </c>
      <c r="G206" s="10" t="s">
        <v>778</v>
      </c>
      <c r="H206" s="11">
        <v>30552910512</v>
      </c>
      <c r="I206" s="10" t="s">
        <v>52</v>
      </c>
      <c r="J206" s="11">
        <v>1</v>
      </c>
      <c r="K206" s="10" t="s">
        <v>779</v>
      </c>
      <c r="L206" s="11">
        <v>22344000</v>
      </c>
      <c r="M206" s="11">
        <v>0</v>
      </c>
      <c r="N206" s="11">
        <v>0</v>
      </c>
      <c r="O206" s="11">
        <v>0</v>
      </c>
      <c r="P206" s="11">
        <v>4692240</v>
      </c>
      <c r="Q206" s="11">
        <v>28153440</v>
      </c>
      <c r="R206" s="10">
        <f>VLOOKUP(E206,'IVA COMPRAS'!L:Q,6,0)</f>
        <v>28153440</v>
      </c>
    </row>
    <row r="207" spans="1:18" s="10" customFormat="1" hidden="1" x14ac:dyDescent="0.3">
      <c r="A207" s="10" t="s">
        <v>831</v>
      </c>
      <c r="B207" s="10" t="s">
        <v>783</v>
      </c>
      <c r="C207" s="11">
        <v>10</v>
      </c>
      <c r="D207" s="11">
        <v>7715</v>
      </c>
      <c r="E207" s="14" t="str">
        <f>CONCATENATE(H207,C207,D207)</f>
        <v>30552910512107715</v>
      </c>
      <c r="F207" s="11">
        <v>74212066862554</v>
      </c>
      <c r="G207" s="10" t="s">
        <v>778</v>
      </c>
      <c r="H207" s="11">
        <v>30552910512</v>
      </c>
      <c r="I207" s="10" t="s">
        <v>52</v>
      </c>
      <c r="J207" s="11">
        <v>1</v>
      </c>
      <c r="K207" s="10" t="s">
        <v>779</v>
      </c>
      <c r="L207" s="11">
        <v>5550</v>
      </c>
      <c r="M207" s="11">
        <v>0</v>
      </c>
      <c r="N207" s="11">
        <v>0</v>
      </c>
      <c r="O207" s="11">
        <v>0</v>
      </c>
      <c r="P207" s="10">
        <v>1165.5</v>
      </c>
      <c r="Q207" s="11">
        <v>6993</v>
      </c>
      <c r="R207" s="10">
        <f>VLOOKUP(E207,'IVA COMPRAS'!L:Q,6,0)</f>
        <v>-6993</v>
      </c>
    </row>
    <row r="208" spans="1:18" s="10" customFormat="1" hidden="1" x14ac:dyDescent="0.3">
      <c r="A208" s="10" t="s">
        <v>832</v>
      </c>
      <c r="B208" s="10" t="s">
        <v>777</v>
      </c>
      <c r="C208" s="11">
        <v>10</v>
      </c>
      <c r="D208" s="11">
        <v>44701</v>
      </c>
      <c r="E208" s="14" t="str">
        <f>CONCATENATE(H208,C208,D208)</f>
        <v>305529105121044701</v>
      </c>
      <c r="F208" s="11">
        <v>74212125194868</v>
      </c>
      <c r="G208" s="10" t="s">
        <v>778</v>
      </c>
      <c r="H208" s="11">
        <v>30552910512</v>
      </c>
      <c r="I208" s="10" t="s">
        <v>52</v>
      </c>
      <c r="J208" s="11">
        <v>1</v>
      </c>
      <c r="K208" s="10" t="s">
        <v>779</v>
      </c>
      <c r="L208" s="11">
        <v>8172000</v>
      </c>
      <c r="M208" s="11">
        <v>0</v>
      </c>
      <c r="N208" s="11">
        <v>0</v>
      </c>
      <c r="O208" s="11">
        <v>0</v>
      </c>
      <c r="P208" s="11">
        <v>1716120</v>
      </c>
      <c r="Q208" s="11">
        <v>10296720</v>
      </c>
      <c r="R208" s="10">
        <f>VLOOKUP(E208,'IVA COMPRAS'!L:Q,6,0)</f>
        <v>10296720</v>
      </c>
    </row>
    <row r="209" spans="1:18" s="10" customFormat="1" hidden="1" x14ac:dyDescent="0.3">
      <c r="A209" s="10" t="s">
        <v>839</v>
      </c>
      <c r="B209" s="10" t="s">
        <v>777</v>
      </c>
      <c r="C209" s="11">
        <v>110</v>
      </c>
      <c r="D209" s="11">
        <v>88830</v>
      </c>
      <c r="E209" s="14" t="str">
        <f>CONCATENATE(H209,C209,D209)</f>
        <v>3071130359211088830</v>
      </c>
      <c r="F209" s="11">
        <v>74222719146081</v>
      </c>
      <c r="G209" s="10" t="s">
        <v>778</v>
      </c>
      <c r="H209" s="11">
        <v>30711303592</v>
      </c>
      <c r="I209" s="10" t="s">
        <v>579</v>
      </c>
      <c r="J209" s="11">
        <v>1</v>
      </c>
      <c r="K209" s="10" t="s">
        <v>779</v>
      </c>
      <c r="L209" s="12">
        <v>9635167.5199999996</v>
      </c>
      <c r="M209" s="11">
        <v>0</v>
      </c>
      <c r="N209" s="11">
        <v>0</v>
      </c>
      <c r="O209" s="11">
        <v>0</v>
      </c>
      <c r="P209" s="12">
        <v>2023385.18</v>
      </c>
      <c r="Q209" s="12">
        <v>12429366.109999999</v>
      </c>
      <c r="R209" s="10">
        <f>VLOOKUP(E209,'IVA COMPRAS'!L:Q,6,0)</f>
        <v>12429366.109999999</v>
      </c>
    </row>
    <row r="210" spans="1:18" s="10" customFormat="1" hidden="1" x14ac:dyDescent="0.3">
      <c r="A210" s="10" t="s">
        <v>839</v>
      </c>
      <c r="B210" s="10" t="s">
        <v>783</v>
      </c>
      <c r="C210" s="11">
        <v>110</v>
      </c>
      <c r="D210" s="11">
        <v>95351</v>
      </c>
      <c r="E210" s="14" t="str">
        <f>CONCATENATE(H210,C210,D210)</f>
        <v>3071130359211095351</v>
      </c>
      <c r="F210" s="11">
        <v>74222719149571</v>
      </c>
      <c r="G210" s="10" t="s">
        <v>778</v>
      </c>
      <c r="H210" s="11">
        <v>30711303592</v>
      </c>
      <c r="I210" s="10" t="s">
        <v>579</v>
      </c>
      <c r="J210" s="11">
        <v>1</v>
      </c>
      <c r="K210" s="10" t="s">
        <v>779</v>
      </c>
      <c r="L210" s="12">
        <v>1148229.19</v>
      </c>
      <c r="M210" s="11">
        <v>0</v>
      </c>
      <c r="N210" s="11">
        <v>0</v>
      </c>
      <c r="O210" s="11">
        <v>0</v>
      </c>
      <c r="P210" s="12">
        <v>241128.13</v>
      </c>
      <c r="Q210" s="12">
        <v>1423804.15</v>
      </c>
      <c r="R210" s="10">
        <f>VLOOKUP(E210,'IVA COMPRAS'!L:Q,6,0)</f>
        <v>-1423804.15</v>
      </c>
    </row>
    <row r="211" spans="1:18" s="10" customFormat="1" hidden="1" x14ac:dyDescent="0.3">
      <c r="A211" s="10" t="s">
        <v>810</v>
      </c>
      <c r="B211" s="10" t="s">
        <v>777</v>
      </c>
      <c r="C211" s="11">
        <v>6</v>
      </c>
      <c r="D211" s="11">
        <v>1145</v>
      </c>
      <c r="E211" s="14" t="str">
        <f>CONCATENATE(H211,C211,D211)</f>
        <v>3071414473861145</v>
      </c>
      <c r="F211" s="11">
        <v>74198613493471</v>
      </c>
      <c r="G211" s="10" t="s">
        <v>778</v>
      </c>
      <c r="H211" s="11">
        <v>30714144738</v>
      </c>
      <c r="I211" s="10" t="s">
        <v>811</v>
      </c>
      <c r="J211" s="11">
        <v>1</v>
      </c>
      <c r="K211" s="10" t="s">
        <v>779</v>
      </c>
      <c r="L211" s="11">
        <v>4384440</v>
      </c>
      <c r="M211" s="11">
        <v>0</v>
      </c>
      <c r="N211" s="11">
        <v>0</v>
      </c>
      <c r="O211" s="11">
        <v>0</v>
      </c>
      <c r="P211" s="10">
        <v>920732.4</v>
      </c>
      <c r="Q211" s="14">
        <v>5392861.2000000002</v>
      </c>
      <c r="R211" s="10" t="e">
        <f>VLOOKUP(E211,'IVA COMPRAS'!L:Q,6,0)</f>
        <v>#N/A</v>
      </c>
    </row>
    <row r="212" spans="1:18" s="10" customFormat="1" hidden="1" x14ac:dyDescent="0.3">
      <c r="A212" s="10" t="s">
        <v>819</v>
      </c>
      <c r="B212" s="10" t="s">
        <v>783</v>
      </c>
      <c r="C212" s="11">
        <v>6</v>
      </c>
      <c r="D212" s="11">
        <v>442</v>
      </c>
      <c r="E212" s="14" t="str">
        <f>CONCATENATE(H212,C212,D212)</f>
        <v>307141447386442</v>
      </c>
      <c r="F212" s="11">
        <v>74208127216705</v>
      </c>
      <c r="G212" s="10" t="s">
        <v>778</v>
      </c>
      <c r="H212" s="11">
        <v>30714144738</v>
      </c>
      <c r="I212" s="10" t="s">
        <v>811</v>
      </c>
      <c r="J212" s="11">
        <v>1</v>
      </c>
      <c r="K212" s="10" t="s">
        <v>779</v>
      </c>
      <c r="L212" s="11">
        <v>4384440</v>
      </c>
      <c r="M212" s="11">
        <v>0</v>
      </c>
      <c r="N212" s="11">
        <v>0</v>
      </c>
      <c r="O212" s="11">
        <v>0</v>
      </c>
      <c r="P212" s="10">
        <v>920732.4</v>
      </c>
      <c r="Q212" s="14">
        <v>-5392861.2000000002</v>
      </c>
      <c r="R212" s="10" t="e">
        <f>VLOOKUP(E212,'IVA COMPRAS'!L:Q,6,0)</f>
        <v>#N/A</v>
      </c>
    </row>
    <row r="213" spans="1:18" s="10" customFormat="1" hidden="1" x14ac:dyDescent="0.3">
      <c r="A213" s="10" t="s">
        <v>800</v>
      </c>
      <c r="B213" s="10" t="s">
        <v>777</v>
      </c>
      <c r="C213" s="11">
        <v>6156</v>
      </c>
      <c r="D213" s="11">
        <v>6747755</v>
      </c>
      <c r="E213" s="14" t="str">
        <f>CONCATENATE(H213,C213,D213)</f>
        <v>3054724233161566747755</v>
      </c>
      <c r="F213" s="11">
        <v>34171981319830</v>
      </c>
      <c r="G213" s="10" t="s">
        <v>778</v>
      </c>
      <c r="H213" s="11">
        <v>30547242331</v>
      </c>
      <c r="I213" s="10" t="s">
        <v>42</v>
      </c>
      <c r="J213" s="11">
        <v>1</v>
      </c>
      <c r="K213" s="10" t="s">
        <v>779</v>
      </c>
      <c r="L213" s="12">
        <v>536294.43000000005</v>
      </c>
      <c r="M213" s="11">
        <v>0</v>
      </c>
      <c r="N213" s="11">
        <v>0</v>
      </c>
      <c r="O213" s="11">
        <v>0</v>
      </c>
      <c r="P213" s="12">
        <v>112621.83</v>
      </c>
      <c r="Q213" s="12">
        <v>675152.15</v>
      </c>
      <c r="R213" s="10">
        <f>VLOOKUP(E213,'IVA COMPRAS'!L:Q,6,0)</f>
        <v>675152.15</v>
      </c>
    </row>
    <row r="214" spans="1:18" s="10" customFormat="1" hidden="1" x14ac:dyDescent="0.3">
      <c r="A214" s="10" t="s">
        <v>818</v>
      </c>
      <c r="B214" s="10" t="s">
        <v>777</v>
      </c>
      <c r="C214" s="11">
        <v>6156</v>
      </c>
      <c r="D214" s="11">
        <v>6759515</v>
      </c>
      <c r="E214" s="14" t="str">
        <f>CONCATENATE(H214,C214,D214)</f>
        <v>3054724233161566759515</v>
      </c>
      <c r="F214" s="11">
        <v>34171981319830</v>
      </c>
      <c r="G214" s="10" t="s">
        <v>778</v>
      </c>
      <c r="H214" s="11">
        <v>30547242331</v>
      </c>
      <c r="I214" s="10" t="s">
        <v>42</v>
      </c>
      <c r="J214" s="11">
        <v>1</v>
      </c>
      <c r="K214" s="10" t="s">
        <v>779</v>
      </c>
      <c r="L214" s="12">
        <v>1283570.57</v>
      </c>
      <c r="M214" s="11">
        <v>0</v>
      </c>
      <c r="N214" s="11">
        <v>0</v>
      </c>
      <c r="O214" s="11">
        <v>0</v>
      </c>
      <c r="P214" s="12">
        <v>269549.82</v>
      </c>
      <c r="Q214" s="12">
        <v>1616527.15</v>
      </c>
      <c r="R214" s="10">
        <f>VLOOKUP(E214,'IVA COMPRAS'!L:Q,6,0)</f>
        <v>1616527.15</v>
      </c>
    </row>
    <row r="215" spans="1:18" s="10" customFormat="1" hidden="1" x14ac:dyDescent="0.3">
      <c r="A215" s="10" t="s">
        <v>819</v>
      </c>
      <c r="B215" s="10" t="s">
        <v>783</v>
      </c>
      <c r="C215" s="11">
        <v>6156</v>
      </c>
      <c r="D215" s="11">
        <v>2548155</v>
      </c>
      <c r="E215" s="14" t="str">
        <f>CONCATENATE(H215,C215,D215)</f>
        <v>3054724233161562548155</v>
      </c>
      <c r="F215" s="11">
        <v>34171981319830</v>
      </c>
      <c r="G215" s="10" t="s">
        <v>778</v>
      </c>
      <c r="H215" s="11">
        <v>30547242331</v>
      </c>
      <c r="I215" s="10" t="s">
        <v>42</v>
      </c>
      <c r="J215" s="11">
        <v>1</v>
      </c>
      <c r="K215" s="10" t="s">
        <v>779</v>
      </c>
      <c r="L215" s="12">
        <v>733286.52</v>
      </c>
      <c r="M215" s="11">
        <v>0</v>
      </c>
      <c r="N215" s="11">
        <v>0</v>
      </c>
      <c r="O215" s="11">
        <v>0</v>
      </c>
      <c r="P215" s="12">
        <v>153990.17000000001</v>
      </c>
      <c r="Q215" s="12">
        <v>909275.29</v>
      </c>
      <c r="R215" s="10">
        <f>VLOOKUP(E215,'IVA COMPRAS'!L:Q,6,0)</f>
        <v>-909275.29</v>
      </c>
    </row>
    <row r="216" spans="1:18" s="10" customFormat="1" hidden="1" x14ac:dyDescent="0.3">
      <c r="A216" s="10" t="s">
        <v>820</v>
      </c>
      <c r="B216" s="10" t="s">
        <v>777</v>
      </c>
      <c r="C216" s="11">
        <v>6156</v>
      </c>
      <c r="D216" s="11">
        <v>6764437</v>
      </c>
      <c r="E216" s="14" t="str">
        <f>CONCATENATE(H216,C216,D216)</f>
        <v>3054724233161566764437</v>
      </c>
      <c r="F216" s="11">
        <v>34191380885066</v>
      </c>
      <c r="G216" s="10" t="s">
        <v>778</v>
      </c>
      <c r="H216" s="11">
        <v>30547242331</v>
      </c>
      <c r="I216" s="10" t="s">
        <v>42</v>
      </c>
      <c r="J216" s="11">
        <v>1</v>
      </c>
      <c r="K216" s="10" t="s">
        <v>779</v>
      </c>
      <c r="L216" s="12">
        <v>812618.95</v>
      </c>
      <c r="M216" s="11">
        <v>0</v>
      </c>
      <c r="N216" s="11">
        <v>0</v>
      </c>
      <c r="O216" s="11">
        <v>0</v>
      </c>
      <c r="P216" s="12">
        <v>170649.98</v>
      </c>
      <c r="Q216" s="10">
        <v>1023899.9</v>
      </c>
      <c r="R216" s="10">
        <f>VLOOKUP(E216,'IVA COMPRAS'!L:Q,6,0)</f>
        <v>1023899.9</v>
      </c>
    </row>
    <row r="217" spans="1:18" s="10" customFormat="1" hidden="1" x14ac:dyDescent="0.3">
      <c r="A217" s="10" t="s">
        <v>823</v>
      </c>
      <c r="B217" s="10" t="s">
        <v>777</v>
      </c>
      <c r="C217" s="11">
        <v>6156</v>
      </c>
      <c r="D217" s="11">
        <v>6766677</v>
      </c>
      <c r="E217" s="14" t="str">
        <f>CONCATENATE(H217,C217,D217)</f>
        <v>3054724233161566766677</v>
      </c>
      <c r="F217" s="11">
        <v>34191380885066</v>
      </c>
      <c r="G217" s="10" t="s">
        <v>778</v>
      </c>
      <c r="H217" s="11">
        <v>30547242331</v>
      </c>
      <c r="I217" s="10" t="s">
        <v>42</v>
      </c>
      <c r="J217" s="11">
        <v>1</v>
      </c>
      <c r="K217" s="10" t="s">
        <v>779</v>
      </c>
      <c r="L217" s="12">
        <v>12863.14</v>
      </c>
      <c r="M217" s="11">
        <v>0</v>
      </c>
      <c r="N217" s="11">
        <v>0</v>
      </c>
      <c r="O217" s="11">
        <v>0</v>
      </c>
      <c r="P217" s="12">
        <v>2701.26</v>
      </c>
      <c r="Q217" s="12">
        <v>15821.68</v>
      </c>
      <c r="R217" s="10">
        <f>VLOOKUP(E217,'IVA COMPRAS'!L:Q,6,0)</f>
        <v>15821.68</v>
      </c>
    </row>
    <row r="218" spans="1:18" s="10" customFormat="1" hidden="1" x14ac:dyDescent="0.3">
      <c r="A218" s="10" t="s">
        <v>824</v>
      </c>
      <c r="B218" s="10" t="s">
        <v>783</v>
      </c>
      <c r="C218" s="11">
        <v>6156</v>
      </c>
      <c r="D218" s="11">
        <v>2550901</v>
      </c>
      <c r="E218" s="14" t="str">
        <f>CONCATENATE(H218,C218,D218)</f>
        <v>3054724233161562550901</v>
      </c>
      <c r="F218" s="11">
        <v>34191380885066</v>
      </c>
      <c r="G218" s="10" t="s">
        <v>778</v>
      </c>
      <c r="H218" s="11">
        <v>30547242331</v>
      </c>
      <c r="I218" s="10" t="s">
        <v>42</v>
      </c>
      <c r="J218" s="11">
        <v>1</v>
      </c>
      <c r="K218" s="10" t="s">
        <v>779</v>
      </c>
      <c r="L218" s="10">
        <v>84949.1</v>
      </c>
      <c r="M218" s="11">
        <v>0</v>
      </c>
      <c r="N218" s="11">
        <v>0</v>
      </c>
      <c r="O218" s="11">
        <v>0</v>
      </c>
      <c r="P218" s="12">
        <v>17839.310000000001</v>
      </c>
      <c r="Q218" s="12">
        <v>105336.89</v>
      </c>
      <c r="R218" s="10">
        <f>VLOOKUP(E218,'IVA COMPRAS'!L:Q,6,0)</f>
        <v>-105336.89</v>
      </c>
    </row>
    <row r="219" spans="1:18" s="10" customFormat="1" hidden="1" x14ac:dyDescent="0.3">
      <c r="A219" s="10" t="s">
        <v>827</v>
      </c>
      <c r="B219" s="10" t="s">
        <v>777</v>
      </c>
      <c r="C219" s="11">
        <v>6156</v>
      </c>
      <c r="D219" s="11">
        <v>6772292</v>
      </c>
      <c r="E219" s="14" t="str">
        <f>CONCATENATE(H219,C219,D219)</f>
        <v>3054724233161566772292</v>
      </c>
      <c r="F219" s="11">
        <v>34191380885066</v>
      </c>
      <c r="G219" s="10" t="s">
        <v>778</v>
      </c>
      <c r="H219" s="11">
        <v>30547242331</v>
      </c>
      <c r="I219" s="10" t="s">
        <v>42</v>
      </c>
      <c r="J219" s="11">
        <v>1</v>
      </c>
      <c r="K219" s="10" t="s">
        <v>779</v>
      </c>
      <c r="L219" s="10">
        <v>294436.90000000002</v>
      </c>
      <c r="M219" s="11">
        <v>0</v>
      </c>
      <c r="N219" s="11">
        <v>0</v>
      </c>
      <c r="O219" s="11">
        <v>0</v>
      </c>
      <c r="P219" s="12">
        <v>61831.75</v>
      </c>
      <c r="Q219" s="12">
        <v>370990.49</v>
      </c>
      <c r="R219" s="10">
        <f>VLOOKUP(E219,'IVA COMPRAS'!L:Q,6,0)</f>
        <v>370990.49</v>
      </c>
    </row>
    <row r="220" spans="1:18" s="10" customFormat="1" hidden="1" x14ac:dyDescent="0.3">
      <c r="A220" s="10" t="s">
        <v>828</v>
      </c>
      <c r="B220" s="10" t="s">
        <v>783</v>
      </c>
      <c r="C220" s="11">
        <v>6156</v>
      </c>
      <c r="D220" s="11">
        <v>2554125</v>
      </c>
      <c r="E220" s="14" t="str">
        <f>CONCATENATE(H220,C220,D220)</f>
        <v>3054724233161562554125</v>
      </c>
      <c r="F220" s="11">
        <v>34191380885066</v>
      </c>
      <c r="G220" s="10" t="s">
        <v>778</v>
      </c>
      <c r="H220" s="11">
        <v>30547242331</v>
      </c>
      <c r="I220" s="10" t="s">
        <v>42</v>
      </c>
      <c r="J220" s="11">
        <v>1</v>
      </c>
      <c r="K220" s="10" t="s">
        <v>779</v>
      </c>
      <c r="L220" s="11">
        <v>72981</v>
      </c>
      <c r="M220" s="11">
        <v>0</v>
      </c>
      <c r="N220" s="11">
        <v>0</v>
      </c>
      <c r="O220" s="11">
        <v>0</v>
      </c>
      <c r="P220" s="12">
        <v>15326.01</v>
      </c>
      <c r="Q220" s="12">
        <v>90496.44</v>
      </c>
      <c r="R220" s="10">
        <f>VLOOKUP(E220,'IVA COMPRAS'!L:Q,6,0)</f>
        <v>-90496.44</v>
      </c>
    </row>
    <row r="221" spans="1:18" s="10" customFormat="1" hidden="1" x14ac:dyDescent="0.3">
      <c r="A221" s="10" t="s">
        <v>831</v>
      </c>
      <c r="B221" s="10" t="s">
        <v>777</v>
      </c>
      <c r="C221" s="11">
        <v>6156</v>
      </c>
      <c r="D221" s="11">
        <v>6776549</v>
      </c>
      <c r="E221" s="14" t="str">
        <f>CONCATENATE(H221,C221,D221)</f>
        <v>3054724233161566776549</v>
      </c>
      <c r="F221" s="11">
        <v>34191380885066</v>
      </c>
      <c r="G221" s="10" t="s">
        <v>778</v>
      </c>
      <c r="H221" s="11">
        <v>30547242331</v>
      </c>
      <c r="I221" s="10" t="s">
        <v>42</v>
      </c>
      <c r="J221" s="11">
        <v>1</v>
      </c>
      <c r="K221" s="10" t="s">
        <v>779</v>
      </c>
      <c r="L221" s="12">
        <v>279575.52</v>
      </c>
      <c r="M221" s="11">
        <v>0</v>
      </c>
      <c r="N221" s="11">
        <v>0</v>
      </c>
      <c r="O221" s="11">
        <v>0</v>
      </c>
      <c r="P221" s="12">
        <v>58710.86</v>
      </c>
      <c r="Q221" s="12">
        <v>351879.27</v>
      </c>
      <c r="R221" s="10">
        <f>VLOOKUP(E221,'IVA COMPRAS'!L:Q,6,0)</f>
        <v>351879.27</v>
      </c>
    </row>
    <row r="222" spans="1:18" s="10" customFormat="1" hidden="1" x14ac:dyDescent="0.3">
      <c r="A222" s="10" t="s">
        <v>835</v>
      </c>
      <c r="B222" s="10" t="s">
        <v>777</v>
      </c>
      <c r="C222" s="11">
        <v>6156</v>
      </c>
      <c r="D222" s="11">
        <v>6784569</v>
      </c>
      <c r="E222" s="14" t="str">
        <f>CONCATENATE(H222,C222,D222)</f>
        <v>3054724233161566784569</v>
      </c>
      <c r="F222" s="11">
        <v>34191380885066</v>
      </c>
      <c r="G222" s="10" t="s">
        <v>778</v>
      </c>
      <c r="H222" s="11">
        <v>30547242331</v>
      </c>
      <c r="I222" s="10" t="s">
        <v>42</v>
      </c>
      <c r="J222" s="11">
        <v>1</v>
      </c>
      <c r="K222" s="10" t="s">
        <v>779</v>
      </c>
      <c r="L222" s="10">
        <v>105640.1</v>
      </c>
      <c r="M222" s="11">
        <v>0</v>
      </c>
      <c r="N222" s="11">
        <v>0</v>
      </c>
      <c r="O222" s="11">
        <v>0</v>
      </c>
      <c r="P222" s="12">
        <v>22184.42</v>
      </c>
      <c r="Q222" s="12">
        <v>132141.79</v>
      </c>
      <c r="R222" s="10">
        <f>VLOOKUP(E222,'IVA COMPRAS'!L:Q,6,0)</f>
        <v>132141.79</v>
      </c>
    </row>
    <row r="223" spans="1:18" s="10" customFormat="1" x14ac:dyDescent="0.3">
      <c r="A223" s="10" t="s">
        <v>839</v>
      </c>
      <c r="B223" s="10" t="s">
        <v>783</v>
      </c>
      <c r="C223" s="11">
        <v>6162</v>
      </c>
      <c r="D223" s="11">
        <v>40971</v>
      </c>
      <c r="E223" s="14" t="str">
        <f>CONCATENATE(H223,C223,D223)</f>
        <v>30547242331616240971</v>
      </c>
      <c r="F223" s="11">
        <v>34191380885066</v>
      </c>
      <c r="G223" s="10" t="s">
        <v>778</v>
      </c>
      <c r="H223" s="11">
        <v>30547242331</v>
      </c>
      <c r="I223" s="10" t="s">
        <v>42</v>
      </c>
      <c r="J223" s="11">
        <v>1</v>
      </c>
      <c r="K223" s="10" t="s">
        <v>779</v>
      </c>
      <c r="L223" s="12">
        <v>22080.95</v>
      </c>
      <c r="M223" s="11">
        <v>0</v>
      </c>
      <c r="N223" s="11">
        <v>0</v>
      </c>
      <c r="O223" s="11">
        <v>0</v>
      </c>
      <c r="P223" s="11">
        <v>4637</v>
      </c>
      <c r="Q223" s="12">
        <v>-26717.93</v>
      </c>
      <c r="R223" s="10" t="e">
        <f>VLOOKUP(E223,'IVA COMPRAS'!L:Q,6,0)</f>
        <v>#N/A</v>
      </c>
    </row>
    <row r="224" spans="1:18" s="10" customFormat="1" x14ac:dyDescent="0.3">
      <c r="A224" s="10" t="s">
        <v>839</v>
      </c>
      <c r="B224" s="10" t="s">
        <v>783</v>
      </c>
      <c r="C224" s="11">
        <v>6162</v>
      </c>
      <c r="D224" s="11">
        <v>40972</v>
      </c>
      <c r="E224" s="14" t="str">
        <f>CONCATENATE(H224,C224,D224)</f>
        <v>30547242331616240972</v>
      </c>
      <c r="F224" s="11">
        <v>34191380885066</v>
      </c>
      <c r="G224" s="10" t="s">
        <v>778</v>
      </c>
      <c r="H224" s="11">
        <v>30547242331</v>
      </c>
      <c r="I224" s="10" t="s">
        <v>42</v>
      </c>
      <c r="J224" s="11">
        <v>1</v>
      </c>
      <c r="K224" s="10" t="s">
        <v>779</v>
      </c>
      <c r="L224" s="12">
        <v>69574.48</v>
      </c>
      <c r="M224" s="11">
        <v>0</v>
      </c>
      <c r="N224" s="11">
        <v>0</v>
      </c>
      <c r="O224" s="11">
        <v>0</v>
      </c>
      <c r="P224" s="12">
        <v>14610.64</v>
      </c>
      <c r="Q224" s="12">
        <v>-84185.11</v>
      </c>
      <c r="R224" s="10" t="e">
        <f>VLOOKUP(E224,'IVA COMPRAS'!L:Q,6,0)</f>
        <v>#N/A</v>
      </c>
    </row>
    <row r="225" spans="1:18" s="10" customFormat="1" hidden="1" x14ac:dyDescent="0.3">
      <c r="A225" s="10" t="s">
        <v>831</v>
      </c>
      <c r="B225" s="10" t="s">
        <v>777</v>
      </c>
      <c r="C225" s="11">
        <v>10</v>
      </c>
      <c r="D225" s="11">
        <v>80392</v>
      </c>
      <c r="E225" s="14" t="str">
        <f>CONCATENATE(H225,C225,D225)</f>
        <v>306124309731080392</v>
      </c>
      <c r="F225" s="11">
        <v>74213007425001</v>
      </c>
      <c r="G225" s="10" t="s">
        <v>778</v>
      </c>
      <c r="H225" s="11">
        <v>30612430973</v>
      </c>
      <c r="I225" s="10" t="s">
        <v>467</v>
      </c>
      <c r="J225" s="11">
        <v>1</v>
      </c>
      <c r="K225" s="10" t="s">
        <v>779</v>
      </c>
      <c r="L225" s="12">
        <v>34642.53</v>
      </c>
      <c r="M225" s="11">
        <v>0</v>
      </c>
      <c r="N225" s="11">
        <v>0</v>
      </c>
      <c r="O225" s="11">
        <v>0</v>
      </c>
      <c r="P225" s="12">
        <v>3637.47</v>
      </c>
      <c r="Q225" s="12">
        <v>38972.85</v>
      </c>
      <c r="R225" s="10">
        <f>VLOOKUP(E225,'IVA COMPRAS'!L:Q,6,0)</f>
        <v>38972.85</v>
      </c>
    </row>
    <row r="226" spans="1:18" s="10" customFormat="1" hidden="1" x14ac:dyDescent="0.3">
      <c r="A226" s="10" t="s">
        <v>828</v>
      </c>
      <c r="B226" s="10" t="s">
        <v>783</v>
      </c>
      <c r="C226" s="11">
        <v>12</v>
      </c>
      <c r="D226" s="11">
        <v>4183</v>
      </c>
      <c r="E226" s="14" t="str">
        <f>CONCATENATE(H226,C226,D226)</f>
        <v>30708938021124183</v>
      </c>
      <c r="F226" s="11">
        <v>74211958727267</v>
      </c>
      <c r="G226" s="10" t="s">
        <v>778</v>
      </c>
      <c r="H226" s="11">
        <v>30708938021</v>
      </c>
      <c r="I226" s="10" t="s">
        <v>830</v>
      </c>
      <c r="J226" s="11">
        <v>1</v>
      </c>
      <c r="K226" s="10" t="s">
        <v>779</v>
      </c>
      <c r="L226" s="10">
        <v>350343.5</v>
      </c>
      <c r="M226" s="11">
        <v>0</v>
      </c>
      <c r="N226" s="11">
        <v>0</v>
      </c>
      <c r="O226" s="11">
        <v>0</v>
      </c>
      <c r="P226" s="12">
        <v>73572.14</v>
      </c>
      <c r="Q226" s="12">
        <v>430922.51</v>
      </c>
      <c r="R226" s="10">
        <f>VLOOKUP(E226,'IVA COMPRAS'!L:Q,6,0)</f>
        <v>-430922.51</v>
      </c>
    </row>
    <row r="227" spans="1:18" s="10" customFormat="1" hidden="1" x14ac:dyDescent="0.3">
      <c r="A227" s="10" t="s">
        <v>832</v>
      </c>
      <c r="B227" s="10" t="s">
        <v>777</v>
      </c>
      <c r="C227" s="11">
        <v>12</v>
      </c>
      <c r="D227" s="11">
        <v>53175</v>
      </c>
      <c r="E227" s="14" t="str">
        <f>CONCATENATE(H227,C227,D227)</f>
        <v>307089380211253175</v>
      </c>
      <c r="F227" s="11">
        <v>74211134173281</v>
      </c>
      <c r="G227" s="10" t="s">
        <v>778</v>
      </c>
      <c r="H227" s="11">
        <v>30708938021</v>
      </c>
      <c r="I227" s="10" t="s">
        <v>830</v>
      </c>
      <c r="J227" s="11">
        <v>1</v>
      </c>
      <c r="K227" s="10" t="s">
        <v>779</v>
      </c>
      <c r="L227" s="11">
        <v>2694950</v>
      </c>
      <c r="M227" s="11">
        <v>0</v>
      </c>
      <c r="N227" s="11">
        <v>0</v>
      </c>
      <c r="O227" s="11">
        <v>0</v>
      </c>
      <c r="P227" s="10">
        <v>565939.5</v>
      </c>
      <c r="Q227" s="10">
        <v>3314788.5</v>
      </c>
      <c r="R227" s="10">
        <f>VLOOKUP(E227,'IVA COMPRAS'!L:Q,6,0)</f>
        <v>3314788.5</v>
      </c>
    </row>
    <row r="228" spans="1:18" s="10" customFormat="1" hidden="1" x14ac:dyDescent="0.3">
      <c r="A228" s="10" t="s">
        <v>834</v>
      </c>
      <c r="B228" s="10" t="s">
        <v>783</v>
      </c>
      <c r="C228" s="11">
        <v>12</v>
      </c>
      <c r="D228" s="11">
        <v>4217</v>
      </c>
      <c r="E228" s="14" t="str">
        <f>CONCATENATE(H228,C228,D228)</f>
        <v>30708938021124217</v>
      </c>
      <c r="F228" s="11">
        <v>74221441863747</v>
      </c>
      <c r="G228" s="10" t="s">
        <v>778</v>
      </c>
      <c r="H228" s="11">
        <v>30708938021</v>
      </c>
      <c r="I228" s="10" t="s">
        <v>830</v>
      </c>
      <c r="J228" s="11">
        <v>1</v>
      </c>
      <c r="K228" s="10" t="s">
        <v>779</v>
      </c>
      <c r="L228" s="10">
        <v>80848.5</v>
      </c>
      <c r="M228" s="11">
        <v>0</v>
      </c>
      <c r="N228" s="11">
        <v>0</v>
      </c>
      <c r="O228" s="11">
        <v>0</v>
      </c>
      <c r="P228" s="12">
        <v>16978.189999999999</v>
      </c>
      <c r="Q228" s="12">
        <v>99443.66</v>
      </c>
      <c r="R228" s="10">
        <f>VLOOKUP(E228,'IVA COMPRAS'!L:Q,6,0)</f>
        <v>-99443.66</v>
      </c>
    </row>
    <row r="229" spans="1:18" s="10" customFormat="1" hidden="1" x14ac:dyDescent="0.3">
      <c r="A229" s="10" t="s">
        <v>839</v>
      </c>
      <c r="B229" s="10" t="s">
        <v>777</v>
      </c>
      <c r="C229" s="11">
        <v>12</v>
      </c>
      <c r="D229" s="11">
        <v>53433</v>
      </c>
      <c r="E229" s="14" t="str">
        <f>CONCATENATE(H229,C229,D229)</f>
        <v>307089380211253433</v>
      </c>
      <c r="F229" s="11">
        <v>74221729452282</v>
      </c>
      <c r="G229" s="10" t="s">
        <v>778</v>
      </c>
      <c r="H229" s="11">
        <v>30708938021</v>
      </c>
      <c r="I229" s="10" t="s">
        <v>830</v>
      </c>
      <c r="J229" s="11">
        <v>1</v>
      </c>
      <c r="K229" s="10" t="s">
        <v>779</v>
      </c>
      <c r="L229" s="11">
        <v>5389900</v>
      </c>
      <c r="M229" s="11">
        <v>0</v>
      </c>
      <c r="N229" s="11">
        <v>0</v>
      </c>
      <c r="O229" s="11">
        <v>0</v>
      </c>
      <c r="P229" s="11">
        <v>1131879</v>
      </c>
      <c r="Q229" s="11">
        <v>6629577</v>
      </c>
      <c r="R229" s="10">
        <f>VLOOKUP(E229,'IVA COMPRAS'!L:Q,6,0)</f>
        <v>6629577</v>
      </c>
    </row>
    <row r="230" spans="1:18" s="10" customFormat="1" hidden="1" x14ac:dyDescent="0.3">
      <c r="A230" s="10" t="s">
        <v>792</v>
      </c>
      <c r="B230" s="10" t="s">
        <v>777</v>
      </c>
      <c r="C230" s="11">
        <v>622</v>
      </c>
      <c r="D230" s="11">
        <v>275203</v>
      </c>
      <c r="E230" s="14" t="str">
        <f>CONCATENATE(H230,C230,D230)</f>
        <v>30682032630622275203</v>
      </c>
      <c r="F230" s="11">
        <v>34170960760369</v>
      </c>
      <c r="G230" s="10" t="s">
        <v>778</v>
      </c>
      <c r="H230" s="11">
        <v>30682032630</v>
      </c>
      <c r="I230" s="10" t="s">
        <v>793</v>
      </c>
      <c r="J230" s="11">
        <v>1</v>
      </c>
      <c r="K230" s="10" t="s">
        <v>779</v>
      </c>
      <c r="L230" s="10">
        <v>471501.9</v>
      </c>
      <c r="M230" s="11">
        <v>0</v>
      </c>
      <c r="N230" s="11">
        <v>0</v>
      </c>
      <c r="O230" s="11">
        <v>0</v>
      </c>
      <c r="P230" s="10">
        <v>99015.4</v>
      </c>
      <c r="Q230" s="12">
        <v>608237.46</v>
      </c>
      <c r="R230" s="10">
        <f>VLOOKUP(E230,'IVA COMPRAS'!L:Q,6,0)</f>
        <v>608237.46</v>
      </c>
    </row>
    <row r="231" spans="1:18" s="10" customFormat="1" hidden="1" x14ac:dyDescent="0.3">
      <c r="A231" s="10" t="s">
        <v>814</v>
      </c>
      <c r="B231" s="10" t="s">
        <v>777</v>
      </c>
      <c r="C231" s="11">
        <v>622</v>
      </c>
      <c r="D231" s="11">
        <v>277360</v>
      </c>
      <c r="E231" s="14" t="str">
        <f>CONCATENATE(H231,C231,D231)</f>
        <v>30682032630622277360</v>
      </c>
      <c r="F231" s="11">
        <v>34170960760369</v>
      </c>
      <c r="G231" s="10" t="s">
        <v>778</v>
      </c>
      <c r="H231" s="11">
        <v>30682032630</v>
      </c>
      <c r="I231" s="10" t="s">
        <v>793</v>
      </c>
      <c r="J231" s="11">
        <v>1</v>
      </c>
      <c r="K231" s="10" t="s">
        <v>779</v>
      </c>
      <c r="L231" s="10">
        <v>1117382.8999999999</v>
      </c>
      <c r="M231" s="11">
        <v>0</v>
      </c>
      <c r="N231" s="11">
        <v>0</v>
      </c>
      <c r="O231" s="11">
        <v>0</v>
      </c>
      <c r="P231" s="12">
        <v>234650.41</v>
      </c>
      <c r="Q231" s="12">
        <v>1441423.95</v>
      </c>
      <c r="R231" s="10">
        <f>VLOOKUP(E231,'IVA COMPRAS'!L:Q,6,0)</f>
        <v>1441423.95</v>
      </c>
    </row>
    <row r="232" spans="1:18" s="10" customFormat="1" hidden="1" x14ac:dyDescent="0.3">
      <c r="A232" s="10" t="s">
        <v>820</v>
      </c>
      <c r="B232" s="10" t="s">
        <v>777</v>
      </c>
      <c r="C232" s="11">
        <v>622</v>
      </c>
      <c r="D232" s="11">
        <v>278945</v>
      </c>
      <c r="E232" s="14" t="str">
        <f>CONCATENATE(H232,C232,D232)</f>
        <v>30682032630622278945</v>
      </c>
      <c r="F232" s="11">
        <v>34200003189276</v>
      </c>
      <c r="G232" s="10" t="s">
        <v>778</v>
      </c>
      <c r="H232" s="11">
        <v>30682032630</v>
      </c>
      <c r="I232" s="10" t="s">
        <v>793</v>
      </c>
      <c r="J232" s="11">
        <v>1</v>
      </c>
      <c r="K232" s="10" t="s">
        <v>779</v>
      </c>
      <c r="L232" s="12">
        <v>198702.38</v>
      </c>
      <c r="M232" s="11">
        <v>0</v>
      </c>
      <c r="N232" s="11">
        <v>0</v>
      </c>
      <c r="O232" s="11">
        <v>0</v>
      </c>
      <c r="P232" s="10">
        <v>41727.5</v>
      </c>
      <c r="Q232" s="12">
        <v>256326.05</v>
      </c>
      <c r="R232" s="10">
        <f>VLOOKUP(E232,'IVA COMPRAS'!L:Q,6,0)</f>
        <v>256326.05</v>
      </c>
    </row>
    <row r="233" spans="1:18" s="10" customFormat="1" hidden="1" x14ac:dyDescent="0.3">
      <c r="A233" s="10" t="s">
        <v>824</v>
      </c>
      <c r="B233" s="10" t="s">
        <v>777</v>
      </c>
      <c r="C233" s="11">
        <v>622</v>
      </c>
      <c r="D233" s="11">
        <v>279869</v>
      </c>
      <c r="E233" s="14" t="str">
        <f>CONCATENATE(H233,C233,D233)</f>
        <v>30682032630622279869</v>
      </c>
      <c r="F233" s="11">
        <v>34200003189276</v>
      </c>
      <c r="G233" s="10" t="s">
        <v>778</v>
      </c>
      <c r="H233" s="11">
        <v>30682032630</v>
      </c>
      <c r="I233" s="10" t="s">
        <v>793</v>
      </c>
      <c r="J233" s="11">
        <v>1</v>
      </c>
      <c r="K233" s="10" t="s">
        <v>779</v>
      </c>
      <c r="L233" s="12">
        <v>707252.86</v>
      </c>
      <c r="M233" s="11">
        <v>0</v>
      </c>
      <c r="N233" s="11">
        <v>0</v>
      </c>
      <c r="O233" s="11">
        <v>0</v>
      </c>
      <c r="P233" s="10">
        <v>148523.1</v>
      </c>
      <c r="Q233" s="12">
        <v>912356.19</v>
      </c>
      <c r="R233" s="10">
        <f>VLOOKUP(E233,'IVA COMPRAS'!L:Q,6,0)</f>
        <v>912356.19</v>
      </c>
    </row>
    <row r="234" spans="1:18" s="10" customFormat="1" hidden="1" x14ac:dyDescent="0.3">
      <c r="A234" s="10" t="s">
        <v>839</v>
      </c>
      <c r="B234" s="10" t="s">
        <v>777</v>
      </c>
      <c r="C234" s="11">
        <v>622</v>
      </c>
      <c r="D234" s="11">
        <v>282905</v>
      </c>
      <c r="E234" s="14" t="str">
        <f>CONCATENATE(H234,C234,D234)</f>
        <v>30682032630622282905</v>
      </c>
      <c r="F234" s="11">
        <v>34200003189276</v>
      </c>
      <c r="G234" s="10" t="s">
        <v>778</v>
      </c>
      <c r="H234" s="11">
        <v>30682032630</v>
      </c>
      <c r="I234" s="10" t="s">
        <v>793</v>
      </c>
      <c r="J234" s="11">
        <v>1</v>
      </c>
      <c r="K234" s="10" t="s">
        <v>779</v>
      </c>
      <c r="L234" s="12">
        <v>119221.43</v>
      </c>
      <c r="M234" s="11">
        <v>0</v>
      </c>
      <c r="N234" s="11">
        <v>0</v>
      </c>
      <c r="O234" s="11">
        <v>0</v>
      </c>
      <c r="P234" s="10">
        <v>25036.5</v>
      </c>
      <c r="Q234" s="12">
        <v>153795.63</v>
      </c>
      <c r="R234" s="10">
        <f>VLOOKUP(E234,'IVA COMPRAS'!L:Q,6,0)</f>
        <v>153795.63</v>
      </c>
    </row>
    <row r="235" spans="1:18" s="10" customFormat="1" hidden="1" x14ac:dyDescent="0.3">
      <c r="A235" s="10" t="s">
        <v>839</v>
      </c>
      <c r="B235" s="10" t="s">
        <v>777</v>
      </c>
      <c r="C235" s="11">
        <v>622</v>
      </c>
      <c r="D235" s="11">
        <v>282906</v>
      </c>
      <c r="E235" s="14" t="str">
        <f>CONCATENATE(H235,C235,D235)</f>
        <v>30682032630622282906</v>
      </c>
      <c r="F235" s="11">
        <v>34200003189276</v>
      </c>
      <c r="G235" s="10" t="s">
        <v>778</v>
      </c>
      <c r="H235" s="11">
        <v>30682032630</v>
      </c>
      <c r="I235" s="10" t="s">
        <v>793</v>
      </c>
      <c r="J235" s="11">
        <v>1</v>
      </c>
      <c r="K235" s="10" t="s">
        <v>779</v>
      </c>
      <c r="L235" s="12">
        <v>597151.62</v>
      </c>
      <c r="M235" s="11">
        <v>0</v>
      </c>
      <c r="N235" s="11">
        <v>0</v>
      </c>
      <c r="O235" s="11">
        <v>0</v>
      </c>
      <c r="P235" s="12">
        <v>125401.84</v>
      </c>
      <c r="Q235" s="12">
        <v>770325.59</v>
      </c>
      <c r="R235" s="10">
        <f>VLOOKUP(E235,'IVA COMPRAS'!L:Q,6,0)</f>
        <v>770325.59</v>
      </c>
    </row>
    <row r="236" spans="1:18" s="10" customFormat="1" hidden="1" x14ac:dyDescent="0.3">
      <c r="A236" s="10" t="s">
        <v>776</v>
      </c>
      <c r="B236" s="10" t="s">
        <v>777</v>
      </c>
      <c r="C236" s="11">
        <v>2002</v>
      </c>
      <c r="D236" s="11">
        <v>285263</v>
      </c>
      <c r="E236" s="14" t="str">
        <f>CONCATENATE(H236,C236,D236)</f>
        <v>305007682622002285263</v>
      </c>
      <c r="F236" s="11">
        <v>34172588354734</v>
      </c>
      <c r="G236" s="10" t="s">
        <v>778</v>
      </c>
      <c r="H236" s="11">
        <v>30500768262</v>
      </c>
      <c r="I236" s="10" t="s">
        <v>780</v>
      </c>
      <c r="J236" s="11">
        <v>1</v>
      </c>
      <c r="K236" s="10" t="s">
        <v>779</v>
      </c>
      <c r="L236" s="12">
        <v>1214533.19</v>
      </c>
      <c r="M236" s="11">
        <v>0</v>
      </c>
      <c r="N236" s="11">
        <v>0</v>
      </c>
      <c r="O236" s="11">
        <v>0</v>
      </c>
      <c r="P236" s="12">
        <v>255051.97</v>
      </c>
      <c r="Q236" s="12">
        <v>1566747.81</v>
      </c>
      <c r="R236" s="10">
        <f>VLOOKUP(E236,'IVA COMPRAS'!L:Q,6,0)</f>
        <v>1566747.81</v>
      </c>
    </row>
    <row r="237" spans="1:18" s="10" customFormat="1" hidden="1" x14ac:dyDescent="0.3">
      <c r="A237" s="10" t="s">
        <v>785</v>
      </c>
      <c r="B237" s="10" t="s">
        <v>777</v>
      </c>
      <c r="C237" s="11">
        <v>2002</v>
      </c>
      <c r="D237" s="11">
        <v>285596</v>
      </c>
      <c r="E237" s="14" t="str">
        <f>CONCATENATE(H237,C237,D237)</f>
        <v>305007682622002285596</v>
      </c>
      <c r="F237" s="11">
        <v>34172588354734</v>
      </c>
      <c r="G237" s="10" t="s">
        <v>778</v>
      </c>
      <c r="H237" s="11">
        <v>30500768262</v>
      </c>
      <c r="I237" s="10" t="s">
        <v>780</v>
      </c>
      <c r="J237" s="11">
        <v>1</v>
      </c>
      <c r="K237" s="10" t="s">
        <v>779</v>
      </c>
      <c r="L237" s="12">
        <v>3548942.19</v>
      </c>
      <c r="M237" s="11">
        <v>0</v>
      </c>
      <c r="N237" s="11">
        <v>0</v>
      </c>
      <c r="O237" s="11">
        <v>0</v>
      </c>
      <c r="P237" s="12">
        <v>745277.86</v>
      </c>
      <c r="Q237" s="10">
        <v>4578135.4000000004</v>
      </c>
      <c r="R237" s="10">
        <f>VLOOKUP(E237,'IVA COMPRAS'!L:Q,6,0)</f>
        <v>4578135.4000000004</v>
      </c>
    </row>
    <row r="238" spans="1:18" s="10" customFormat="1" hidden="1" x14ac:dyDescent="0.3">
      <c r="A238" s="10" t="s">
        <v>796</v>
      </c>
      <c r="B238" s="10" t="s">
        <v>777</v>
      </c>
      <c r="C238" s="11">
        <v>2002</v>
      </c>
      <c r="D238" s="11">
        <v>285926</v>
      </c>
      <c r="E238" s="14" t="str">
        <f>CONCATENATE(H238,C238,D238)</f>
        <v>305007682622002285926</v>
      </c>
      <c r="F238" s="11">
        <v>34172588354734</v>
      </c>
      <c r="G238" s="10" t="s">
        <v>778</v>
      </c>
      <c r="H238" s="11">
        <v>30500768262</v>
      </c>
      <c r="I238" s="10" t="s">
        <v>780</v>
      </c>
      <c r="J238" s="11">
        <v>1</v>
      </c>
      <c r="K238" s="10" t="s">
        <v>779</v>
      </c>
      <c r="L238" s="11">
        <v>4496250</v>
      </c>
      <c r="M238" s="11">
        <v>0</v>
      </c>
      <c r="N238" s="11">
        <v>0</v>
      </c>
      <c r="O238" s="11">
        <v>0</v>
      </c>
      <c r="P238" s="10">
        <v>944212.5</v>
      </c>
      <c r="Q238" s="10">
        <v>5800162.5</v>
      </c>
      <c r="R238" s="10">
        <f>VLOOKUP(E238,'IVA COMPRAS'!L:Q,6,0)</f>
        <v>5800162.5</v>
      </c>
    </row>
    <row r="239" spans="1:18" s="10" customFormat="1" hidden="1" x14ac:dyDescent="0.3">
      <c r="A239" s="10" t="s">
        <v>810</v>
      </c>
      <c r="B239" s="10" t="s">
        <v>777</v>
      </c>
      <c r="C239" s="11">
        <v>2002</v>
      </c>
      <c r="D239" s="11">
        <v>286552</v>
      </c>
      <c r="E239" s="14" t="str">
        <f>CONCATENATE(H239,C239,D239)</f>
        <v>305007682622002286552</v>
      </c>
      <c r="F239" s="11">
        <v>34172588354734</v>
      </c>
      <c r="G239" s="10" t="s">
        <v>778</v>
      </c>
      <c r="H239" s="11">
        <v>30500768262</v>
      </c>
      <c r="I239" s="10" t="s">
        <v>780</v>
      </c>
      <c r="J239" s="11">
        <v>1</v>
      </c>
      <c r="K239" s="10" t="s">
        <v>779</v>
      </c>
      <c r="L239" s="12">
        <v>6019427.6200000001</v>
      </c>
      <c r="M239" s="11">
        <v>0</v>
      </c>
      <c r="N239" s="11">
        <v>0</v>
      </c>
      <c r="O239" s="11">
        <v>0</v>
      </c>
      <c r="P239" s="10">
        <v>1264079.8</v>
      </c>
      <c r="Q239" s="12">
        <v>7765061.6399999997</v>
      </c>
      <c r="R239" s="10">
        <f>VLOOKUP(E239,'IVA COMPRAS'!L:Q,6,0)</f>
        <v>7765061.6399999997</v>
      </c>
    </row>
    <row r="240" spans="1:18" s="10" customFormat="1" hidden="1" x14ac:dyDescent="0.3">
      <c r="A240" s="10" t="s">
        <v>818</v>
      </c>
      <c r="B240" s="10" t="s">
        <v>777</v>
      </c>
      <c r="C240" s="11">
        <v>2002</v>
      </c>
      <c r="D240" s="11">
        <v>286991</v>
      </c>
      <c r="E240" s="14" t="str">
        <f>CONCATENATE(H240,C240,D240)</f>
        <v>305007682622002286991</v>
      </c>
      <c r="F240" s="11">
        <v>34172588354734</v>
      </c>
      <c r="G240" s="10" t="s">
        <v>778</v>
      </c>
      <c r="H240" s="11">
        <v>30500768262</v>
      </c>
      <c r="I240" s="10" t="s">
        <v>780</v>
      </c>
      <c r="J240" s="11">
        <v>1</v>
      </c>
      <c r="K240" s="10" t="s">
        <v>779</v>
      </c>
      <c r="L240" s="12">
        <v>375571.38</v>
      </c>
      <c r="M240" s="11">
        <v>0</v>
      </c>
      <c r="N240" s="11">
        <v>0</v>
      </c>
      <c r="O240" s="11">
        <v>0</v>
      </c>
      <c r="P240" s="12">
        <v>78869.990000000005</v>
      </c>
      <c r="Q240" s="10">
        <v>484487.1</v>
      </c>
      <c r="R240" s="10">
        <f>VLOOKUP(E240,'IVA COMPRAS'!L:Q,6,0)</f>
        <v>484487.1</v>
      </c>
    </row>
    <row r="241" spans="1:18" s="10" customFormat="1" hidden="1" x14ac:dyDescent="0.3">
      <c r="A241" s="10" t="s">
        <v>823</v>
      </c>
      <c r="B241" s="10" t="s">
        <v>777</v>
      </c>
      <c r="C241" s="11">
        <v>2002</v>
      </c>
      <c r="D241" s="11">
        <v>287512</v>
      </c>
      <c r="E241" s="14" t="str">
        <f>CONCATENATE(H241,C241,D241)</f>
        <v>305007682622002287512</v>
      </c>
      <c r="F241" s="11">
        <v>34192731183387</v>
      </c>
      <c r="G241" s="10" t="s">
        <v>778</v>
      </c>
      <c r="H241" s="11">
        <v>30500768262</v>
      </c>
      <c r="I241" s="10" t="s">
        <v>780</v>
      </c>
      <c r="J241" s="11">
        <v>1</v>
      </c>
      <c r="K241" s="10" t="s">
        <v>779</v>
      </c>
      <c r="L241" s="12">
        <v>4166284.14</v>
      </c>
      <c r="M241" s="11">
        <v>0</v>
      </c>
      <c r="N241" s="11">
        <v>0</v>
      </c>
      <c r="O241" s="11">
        <v>0</v>
      </c>
      <c r="P241" s="12">
        <v>874919.67</v>
      </c>
      <c r="Q241" s="12">
        <v>5374506.54</v>
      </c>
      <c r="R241" s="10">
        <f>VLOOKUP(E241,'IVA COMPRAS'!L:Q,6,0)</f>
        <v>5374506.54</v>
      </c>
    </row>
    <row r="242" spans="1:18" s="10" customFormat="1" hidden="1" x14ac:dyDescent="0.3">
      <c r="A242" s="10" t="s">
        <v>827</v>
      </c>
      <c r="B242" s="10" t="s">
        <v>777</v>
      </c>
      <c r="C242" s="11">
        <v>2002</v>
      </c>
      <c r="D242" s="11">
        <v>287766</v>
      </c>
      <c r="E242" s="14" t="str">
        <f>CONCATENATE(H242,C242,D242)</f>
        <v>305007682622002287766</v>
      </c>
      <c r="F242" s="11">
        <v>34192731183387</v>
      </c>
      <c r="G242" s="10" t="s">
        <v>778</v>
      </c>
      <c r="H242" s="11">
        <v>30500768262</v>
      </c>
      <c r="I242" s="10" t="s">
        <v>780</v>
      </c>
      <c r="J242" s="11">
        <v>1</v>
      </c>
      <c r="K242" s="10" t="s">
        <v>779</v>
      </c>
      <c r="L242" s="12">
        <v>7027679.3799999999</v>
      </c>
      <c r="M242" s="11">
        <v>0</v>
      </c>
      <c r="N242" s="11">
        <v>0</v>
      </c>
      <c r="O242" s="11">
        <v>0</v>
      </c>
      <c r="P242" s="12">
        <v>1475812.67</v>
      </c>
      <c r="Q242" s="12">
        <v>9065706.3900000006</v>
      </c>
      <c r="R242" s="10">
        <f>VLOOKUP(E242,'IVA COMPRAS'!L:Q,6,0)</f>
        <v>9065706.3900000006</v>
      </c>
    </row>
    <row r="243" spans="1:18" s="10" customFormat="1" hidden="1" x14ac:dyDescent="0.3">
      <c r="A243" s="10" t="s">
        <v>827</v>
      </c>
      <c r="B243" s="10" t="s">
        <v>777</v>
      </c>
      <c r="C243" s="11">
        <v>2002</v>
      </c>
      <c r="D243" s="11">
        <v>287829</v>
      </c>
      <c r="E243" s="14" t="str">
        <f>CONCATENATE(H243,C243,D243)</f>
        <v>305007682622002287829</v>
      </c>
      <c r="F243" s="11">
        <v>34192731183387</v>
      </c>
      <c r="G243" s="10" t="s">
        <v>778</v>
      </c>
      <c r="H243" s="11">
        <v>30500768262</v>
      </c>
      <c r="I243" s="10" t="s">
        <v>780</v>
      </c>
      <c r="J243" s="11">
        <v>1</v>
      </c>
      <c r="K243" s="10" t="s">
        <v>779</v>
      </c>
      <c r="L243" s="12">
        <v>2065190.81</v>
      </c>
      <c r="M243" s="11">
        <v>0</v>
      </c>
      <c r="N243" s="11">
        <v>0</v>
      </c>
      <c r="O243" s="11">
        <v>0</v>
      </c>
      <c r="P243" s="12">
        <v>433690.07</v>
      </c>
      <c r="Q243" s="12">
        <v>2664096.12</v>
      </c>
      <c r="R243" s="10">
        <f>VLOOKUP(E243,'IVA COMPRAS'!L:Q,6,0)</f>
        <v>2664096.12</v>
      </c>
    </row>
    <row r="244" spans="1:18" s="10" customFormat="1" hidden="1" x14ac:dyDescent="0.3">
      <c r="A244" s="10" t="s">
        <v>828</v>
      </c>
      <c r="B244" s="10" t="s">
        <v>777</v>
      </c>
      <c r="C244" s="11">
        <v>2002</v>
      </c>
      <c r="D244" s="11">
        <v>288067</v>
      </c>
      <c r="E244" s="14" t="str">
        <f>CONCATENATE(H244,C244,D244)</f>
        <v>305007682622002288067</v>
      </c>
      <c r="F244" s="11">
        <v>34192731183387</v>
      </c>
      <c r="G244" s="10" t="s">
        <v>778</v>
      </c>
      <c r="H244" s="11">
        <v>30500768262</v>
      </c>
      <c r="I244" s="10" t="s">
        <v>780</v>
      </c>
      <c r="J244" s="11">
        <v>1</v>
      </c>
      <c r="K244" s="10" t="s">
        <v>779</v>
      </c>
      <c r="L244" s="12">
        <v>7828573.5700000003</v>
      </c>
      <c r="M244" s="11">
        <v>0</v>
      </c>
      <c r="N244" s="11">
        <v>0</v>
      </c>
      <c r="O244" s="11">
        <v>0</v>
      </c>
      <c r="P244" s="12">
        <v>1644000.45</v>
      </c>
      <c r="Q244" s="12">
        <v>10098859.869999999</v>
      </c>
      <c r="R244" s="10">
        <f>VLOOKUP(E244,'IVA COMPRAS'!L:Q,6,0)</f>
        <v>10098859.869999999</v>
      </c>
    </row>
    <row r="245" spans="1:18" s="10" customFormat="1" hidden="1" x14ac:dyDescent="0.3">
      <c r="A245" s="10" t="s">
        <v>835</v>
      </c>
      <c r="B245" s="10" t="s">
        <v>777</v>
      </c>
      <c r="C245" s="11">
        <v>2002</v>
      </c>
      <c r="D245" s="11">
        <v>288887</v>
      </c>
      <c r="E245" s="14" t="str">
        <f>CONCATENATE(H245,C245,D245)</f>
        <v>305007682622002288887</v>
      </c>
      <c r="F245" s="11">
        <v>34192731183387</v>
      </c>
      <c r="G245" s="10" t="s">
        <v>778</v>
      </c>
      <c r="H245" s="11">
        <v>30500768262</v>
      </c>
      <c r="I245" s="10" t="s">
        <v>780</v>
      </c>
      <c r="J245" s="11">
        <v>1</v>
      </c>
      <c r="K245" s="10" t="s">
        <v>779</v>
      </c>
      <c r="L245" s="12">
        <v>2903209.57</v>
      </c>
      <c r="M245" s="11">
        <v>0</v>
      </c>
      <c r="N245" s="11">
        <v>0</v>
      </c>
      <c r="O245" s="11">
        <v>0</v>
      </c>
      <c r="P245" s="12">
        <v>609674.01</v>
      </c>
      <c r="Q245" s="12">
        <v>3745140.34</v>
      </c>
      <c r="R245" s="10">
        <f>VLOOKUP(E245,'IVA COMPRAS'!L:Q,6,0)</f>
        <v>3745140.34</v>
      </c>
    </row>
    <row r="246" spans="1:18" s="10" customFormat="1" hidden="1" x14ac:dyDescent="0.3">
      <c r="A246" s="10" t="s">
        <v>840</v>
      </c>
      <c r="B246" s="10" t="s">
        <v>777</v>
      </c>
      <c r="C246" s="11">
        <v>2002</v>
      </c>
      <c r="D246" s="11">
        <v>289424</v>
      </c>
      <c r="E246" s="14" t="str">
        <f>CONCATENATE(H246,C246,D246)</f>
        <v>305007682622002289424</v>
      </c>
      <c r="F246" s="11">
        <v>34192731183387</v>
      </c>
      <c r="G246" s="10" t="s">
        <v>778</v>
      </c>
      <c r="H246" s="11">
        <v>30500768262</v>
      </c>
      <c r="I246" s="10" t="s">
        <v>780</v>
      </c>
      <c r="J246" s="11">
        <v>1</v>
      </c>
      <c r="K246" s="10" t="s">
        <v>779</v>
      </c>
      <c r="L246" s="10">
        <v>8290191.9000000004</v>
      </c>
      <c r="M246" s="11">
        <v>0</v>
      </c>
      <c r="N246" s="11">
        <v>0</v>
      </c>
      <c r="O246" s="11">
        <v>0</v>
      </c>
      <c r="P246" s="10">
        <v>1740940.3</v>
      </c>
      <c r="Q246" s="12">
        <v>10694347.560000001</v>
      </c>
      <c r="R246" s="10">
        <f>VLOOKUP(E246,'IVA COMPRAS'!L:Q,6,0)</f>
        <v>10694347.560000001</v>
      </c>
    </row>
    <row r="247" spans="1:18" s="10" customFormat="1" hidden="1" x14ac:dyDescent="0.3">
      <c r="A247" s="10" t="s">
        <v>840</v>
      </c>
      <c r="B247" s="10" t="s">
        <v>777</v>
      </c>
      <c r="C247" s="11">
        <v>2002</v>
      </c>
      <c r="D247" s="11">
        <v>289425</v>
      </c>
      <c r="E247" s="14" t="str">
        <f>CONCATENATE(H247,C247,D247)</f>
        <v>305007682622002289425</v>
      </c>
      <c r="F247" s="11">
        <v>34192731183387</v>
      </c>
      <c r="G247" s="10" t="s">
        <v>778</v>
      </c>
      <c r="H247" s="11">
        <v>30500768262</v>
      </c>
      <c r="I247" s="10" t="s">
        <v>780</v>
      </c>
      <c r="J247" s="11">
        <v>1</v>
      </c>
      <c r="K247" s="10" t="s">
        <v>779</v>
      </c>
      <c r="L247" s="12">
        <v>3077162.86</v>
      </c>
      <c r="M247" s="11">
        <v>0</v>
      </c>
      <c r="N247" s="11">
        <v>0</v>
      </c>
      <c r="O247" s="11">
        <v>0</v>
      </c>
      <c r="P247" s="10">
        <v>646204.19999999995</v>
      </c>
      <c r="Q247" s="12">
        <v>3969540.09</v>
      </c>
      <c r="R247" s="10">
        <f>VLOOKUP(E247,'IVA COMPRAS'!L:Q,6,0)</f>
        <v>3969540.09</v>
      </c>
    </row>
    <row r="248" spans="1:18" s="10" customFormat="1" hidden="1" x14ac:dyDescent="0.3">
      <c r="A248" s="10" t="s">
        <v>805</v>
      </c>
      <c r="B248" s="10" t="s">
        <v>777</v>
      </c>
      <c r="C248" s="11">
        <v>884</v>
      </c>
      <c r="D248" s="11">
        <v>103413</v>
      </c>
      <c r="E248" s="14" t="str">
        <f>CONCATENATE(H248,C248,D248)</f>
        <v>30507950848884103413</v>
      </c>
      <c r="F248" s="11">
        <v>34178855699802</v>
      </c>
      <c r="G248" s="10" t="s">
        <v>778</v>
      </c>
      <c r="H248" s="11">
        <v>30507950848</v>
      </c>
      <c r="I248" s="10" t="s">
        <v>807</v>
      </c>
      <c r="J248" s="11">
        <v>1</v>
      </c>
      <c r="K248" s="10" t="s">
        <v>779</v>
      </c>
      <c r="L248" s="10">
        <v>1290829.1000000001</v>
      </c>
      <c r="M248" s="11">
        <v>0</v>
      </c>
      <c r="N248" s="11">
        <v>0</v>
      </c>
      <c r="O248" s="12">
        <v>38724.870000000003</v>
      </c>
      <c r="P248" s="12">
        <v>271074.11</v>
      </c>
      <c r="Q248" s="12">
        <v>1665169.51</v>
      </c>
      <c r="R248" s="10">
        <f>VLOOKUP(E248,'IVA COMPRAS'!L:Q,6,0)</f>
        <v>1665169.51</v>
      </c>
    </row>
    <row r="249" spans="1:18" s="10" customFormat="1" hidden="1" x14ac:dyDescent="0.3">
      <c r="A249" s="10" t="s">
        <v>818</v>
      </c>
      <c r="B249" s="10" t="s">
        <v>777</v>
      </c>
      <c r="C249" s="11">
        <v>1152</v>
      </c>
      <c r="D249" s="11">
        <v>68054</v>
      </c>
      <c r="E249" s="14" t="str">
        <f>CONCATENATE(H249,C249,D249)</f>
        <v>30507950848115268054</v>
      </c>
      <c r="F249" s="11">
        <v>34178855699802</v>
      </c>
      <c r="G249" s="10" t="s">
        <v>778</v>
      </c>
      <c r="H249" s="11">
        <v>30507950848</v>
      </c>
      <c r="I249" s="10" t="s">
        <v>807</v>
      </c>
      <c r="J249" s="11">
        <v>1</v>
      </c>
      <c r="K249" s="10" t="s">
        <v>779</v>
      </c>
      <c r="L249" s="11">
        <v>1576080</v>
      </c>
      <c r="M249" s="11">
        <v>0</v>
      </c>
      <c r="N249" s="11">
        <v>0</v>
      </c>
      <c r="O249" s="10">
        <v>47282.400000000001</v>
      </c>
      <c r="P249" s="10">
        <v>330976.8</v>
      </c>
      <c r="Q249" s="14">
        <v>2033143.2</v>
      </c>
      <c r="R249" s="10" t="e">
        <f>VLOOKUP(E249,'IVA COMPRAS'!L:Q,6,0)</f>
        <v>#N/A</v>
      </c>
    </row>
    <row r="250" spans="1:18" s="10" customFormat="1" hidden="1" x14ac:dyDescent="0.3">
      <c r="A250" s="10" t="s">
        <v>819</v>
      </c>
      <c r="B250" s="10" t="s">
        <v>783</v>
      </c>
      <c r="C250" s="11">
        <v>1152</v>
      </c>
      <c r="D250" s="11">
        <v>6336</v>
      </c>
      <c r="E250" s="14" t="str">
        <f>CONCATENATE(H250,C250,D250)</f>
        <v>3050795084811526336</v>
      </c>
      <c r="F250" s="11">
        <v>34178855699802</v>
      </c>
      <c r="G250" s="10" t="s">
        <v>778</v>
      </c>
      <c r="H250" s="11">
        <v>30507950848</v>
      </c>
      <c r="I250" s="10" t="s">
        <v>807</v>
      </c>
      <c r="J250" s="11">
        <v>1</v>
      </c>
      <c r="K250" s="10" t="s">
        <v>779</v>
      </c>
      <c r="L250" s="11">
        <v>1576080</v>
      </c>
      <c r="M250" s="11">
        <v>0</v>
      </c>
      <c r="N250" s="11">
        <v>0</v>
      </c>
      <c r="O250" s="10">
        <v>47282.400000000001</v>
      </c>
      <c r="P250" s="10">
        <v>330976.8</v>
      </c>
      <c r="Q250" s="14">
        <v>-2033143.2</v>
      </c>
      <c r="R250" s="10" t="e">
        <f>VLOOKUP(E250,'IVA COMPRAS'!L:Q,6,0)</f>
        <v>#N/A</v>
      </c>
    </row>
    <row r="251" spans="1:18" s="10" customFormat="1" hidden="1" x14ac:dyDescent="0.3">
      <c r="A251" s="10" t="s">
        <v>827</v>
      </c>
      <c r="B251" s="10" t="s">
        <v>777</v>
      </c>
      <c r="C251" s="11">
        <v>1152</v>
      </c>
      <c r="D251" s="11">
        <v>68842</v>
      </c>
      <c r="E251" s="14" t="str">
        <f>CONCATENATE(H251,C251,D251)</f>
        <v>30507950848115268842</v>
      </c>
      <c r="F251" s="11">
        <v>34208516110176</v>
      </c>
      <c r="G251" s="10" t="s">
        <v>778</v>
      </c>
      <c r="H251" s="11">
        <v>30507950848</v>
      </c>
      <c r="I251" s="10" t="s">
        <v>807</v>
      </c>
      <c r="J251" s="11">
        <v>1</v>
      </c>
      <c r="K251" s="10" t="s">
        <v>779</v>
      </c>
      <c r="L251" s="11">
        <v>936892</v>
      </c>
      <c r="M251" s="11">
        <v>0</v>
      </c>
      <c r="N251" s="11">
        <v>0</v>
      </c>
      <c r="O251" s="12">
        <v>28106.76</v>
      </c>
      <c r="P251" s="12">
        <v>196747.32</v>
      </c>
      <c r="Q251" s="16">
        <v>1208590.68</v>
      </c>
      <c r="R251" s="10" t="e">
        <f>VLOOKUP(E251,'IVA COMPRAS'!L:Q,6,0)</f>
        <v>#N/A</v>
      </c>
    </row>
    <row r="252" spans="1:18" s="10" customFormat="1" hidden="1" x14ac:dyDescent="0.3">
      <c r="A252" s="10" t="s">
        <v>828</v>
      </c>
      <c r="B252" s="10" t="s">
        <v>783</v>
      </c>
      <c r="C252" s="11">
        <v>1152</v>
      </c>
      <c r="D252" s="11">
        <v>6427</v>
      </c>
      <c r="E252" s="14" t="str">
        <f>CONCATENATE(H252,C252,D252)</f>
        <v>3050795084811526427</v>
      </c>
      <c r="F252" s="11">
        <v>34208516110176</v>
      </c>
      <c r="G252" s="10" t="s">
        <v>778</v>
      </c>
      <c r="H252" s="11">
        <v>30507950848</v>
      </c>
      <c r="I252" s="10" t="s">
        <v>807</v>
      </c>
      <c r="J252" s="11">
        <v>1</v>
      </c>
      <c r="K252" s="10" t="s">
        <v>779</v>
      </c>
      <c r="L252" s="11">
        <v>936892</v>
      </c>
      <c r="M252" s="11">
        <v>0</v>
      </c>
      <c r="N252" s="11">
        <v>0</v>
      </c>
      <c r="O252" s="12">
        <v>28106.76</v>
      </c>
      <c r="P252" s="12">
        <v>196747.32</v>
      </c>
      <c r="Q252" s="16">
        <v>-1208590.68</v>
      </c>
      <c r="R252" s="10" t="e">
        <f>VLOOKUP(E252,'IVA COMPRAS'!L:Q,6,0)</f>
        <v>#N/A</v>
      </c>
    </row>
    <row r="253" spans="1:18" s="10" customFormat="1" hidden="1" x14ac:dyDescent="0.3">
      <c r="A253" s="10" t="s">
        <v>834</v>
      </c>
      <c r="B253" s="10" t="s">
        <v>777</v>
      </c>
      <c r="C253" s="11">
        <v>316</v>
      </c>
      <c r="D253" s="11">
        <v>161059</v>
      </c>
      <c r="E253" s="14" t="str">
        <f>CONCATENATE(H253,C253,D253)</f>
        <v>30507950848316161059</v>
      </c>
      <c r="F253" s="11">
        <v>34208516110176</v>
      </c>
      <c r="G253" s="10" t="s">
        <v>778</v>
      </c>
      <c r="H253" s="11">
        <v>30507950848</v>
      </c>
      <c r="I253" s="10" t="s">
        <v>807</v>
      </c>
      <c r="J253" s="11">
        <v>1</v>
      </c>
      <c r="K253" s="10" t="s">
        <v>779</v>
      </c>
      <c r="L253" s="12">
        <v>9950743.2400000002</v>
      </c>
      <c r="M253" s="11">
        <v>0</v>
      </c>
      <c r="N253" s="11">
        <v>0</v>
      </c>
      <c r="O253" s="10">
        <v>298522.3</v>
      </c>
      <c r="P253" s="12">
        <v>2089656.08</v>
      </c>
      <c r="Q253" s="12">
        <v>12836458.77</v>
      </c>
      <c r="R253" s="10">
        <f>VLOOKUP(E253,'IVA COMPRAS'!L:Q,6,0)</f>
        <v>12836458.77</v>
      </c>
    </row>
    <row r="254" spans="1:18" s="10" customFormat="1" hidden="1" x14ac:dyDescent="0.3">
      <c r="A254" s="10" t="s">
        <v>814</v>
      </c>
      <c r="B254" s="10" t="s">
        <v>777</v>
      </c>
      <c r="C254" s="11">
        <v>100</v>
      </c>
      <c r="D254" s="11">
        <v>293969</v>
      </c>
      <c r="E254" s="14" t="str">
        <f>CONCATENATE(H254,C254,D254)</f>
        <v>30534040713100293969</v>
      </c>
      <c r="F254" s="11">
        <v>34173352621583</v>
      </c>
      <c r="G254" s="10" t="s">
        <v>778</v>
      </c>
      <c r="H254" s="11">
        <v>30534040713</v>
      </c>
      <c r="I254" s="10" t="s">
        <v>815</v>
      </c>
      <c r="J254" s="11">
        <v>1</v>
      </c>
      <c r="K254" s="10" t="s">
        <v>779</v>
      </c>
      <c r="L254" s="12">
        <v>1617300.76</v>
      </c>
      <c r="O254" s="11">
        <v>0</v>
      </c>
      <c r="P254" s="12">
        <v>169816.58</v>
      </c>
      <c r="Q254" s="12">
        <v>1892241.84</v>
      </c>
      <c r="R254" s="10">
        <f>VLOOKUP(E254,'IVA COMPRAS'!L:Q,6,0)</f>
        <v>1892241.84</v>
      </c>
    </row>
    <row r="255" spans="1:18" s="10" customFormat="1" hidden="1" x14ac:dyDescent="0.3">
      <c r="A255" s="10" t="s">
        <v>814</v>
      </c>
      <c r="B255" s="10" t="s">
        <v>777</v>
      </c>
      <c r="C255" s="11">
        <v>100</v>
      </c>
      <c r="D255" s="11">
        <v>293972</v>
      </c>
      <c r="E255" s="14" t="str">
        <f>CONCATENATE(H255,C255,D255)</f>
        <v>30534040713100293972</v>
      </c>
      <c r="F255" s="11">
        <v>34173352621583</v>
      </c>
      <c r="G255" s="10" t="s">
        <v>778</v>
      </c>
      <c r="H255" s="11">
        <v>30534040713</v>
      </c>
      <c r="I255" s="10" t="s">
        <v>815</v>
      </c>
      <c r="J255" s="11">
        <v>1</v>
      </c>
      <c r="K255" s="10" t="s">
        <v>779</v>
      </c>
      <c r="L255" s="12">
        <v>782076.29</v>
      </c>
      <c r="O255" s="11">
        <v>0</v>
      </c>
      <c r="P255" s="12">
        <v>82118.009999999995</v>
      </c>
      <c r="Q255" s="12">
        <v>915029.23</v>
      </c>
      <c r="R255" s="10">
        <f>VLOOKUP(E255,'IVA COMPRAS'!L:Q,6,0)</f>
        <v>915029.23</v>
      </c>
    </row>
    <row r="256" spans="1:18" s="10" customFormat="1" hidden="1" x14ac:dyDescent="0.3">
      <c r="A256" s="10" t="s">
        <v>831</v>
      </c>
      <c r="B256" s="10" t="s">
        <v>777</v>
      </c>
      <c r="C256" s="11">
        <v>702</v>
      </c>
      <c r="D256" s="11">
        <v>427814</v>
      </c>
      <c r="E256" s="14" t="str">
        <f>CONCATENATE(H256,C256,D256)</f>
        <v>30500858628702427814</v>
      </c>
      <c r="F256" s="11">
        <v>34198667115228</v>
      </c>
      <c r="G256" s="10" t="s">
        <v>778</v>
      </c>
      <c r="H256" s="11">
        <v>30500858628</v>
      </c>
      <c r="I256" s="10" t="s">
        <v>472</v>
      </c>
      <c r="J256" s="11">
        <v>1</v>
      </c>
      <c r="K256" s="10" t="s">
        <v>779</v>
      </c>
      <c r="L256" s="12">
        <v>139203.43</v>
      </c>
      <c r="O256" s="11">
        <v>0</v>
      </c>
      <c r="P256" s="12">
        <v>29232.720000000001</v>
      </c>
      <c r="Q256" s="16">
        <v>179572.44</v>
      </c>
      <c r="R256" s="10" t="e">
        <f>VLOOKUP(E256,'IVA COMPRAS'!L:Q,6,0)</f>
        <v>#N/A</v>
      </c>
    </row>
    <row r="257" spans="1:18" s="10" customFormat="1" hidden="1" x14ac:dyDescent="0.3">
      <c r="A257" s="10" t="s">
        <v>831</v>
      </c>
      <c r="B257" s="10" t="s">
        <v>777</v>
      </c>
      <c r="C257" s="11">
        <v>702</v>
      </c>
      <c r="D257" s="11">
        <v>427815</v>
      </c>
      <c r="E257" s="14" t="str">
        <f>CONCATENATE(H257,C257,D257)</f>
        <v>30500858628702427815</v>
      </c>
      <c r="F257" s="11">
        <v>34198667115228</v>
      </c>
      <c r="G257" s="10" t="s">
        <v>778</v>
      </c>
      <c r="H257" s="11">
        <v>30500858628</v>
      </c>
      <c r="I257" s="10" t="s">
        <v>472</v>
      </c>
      <c r="J257" s="11">
        <v>1</v>
      </c>
      <c r="K257" s="10" t="s">
        <v>779</v>
      </c>
      <c r="L257" s="12">
        <v>552363.86</v>
      </c>
      <c r="O257" s="11">
        <v>0</v>
      </c>
      <c r="P257" s="12">
        <v>115996.41</v>
      </c>
      <c r="Q257" s="12">
        <v>712549.39</v>
      </c>
      <c r="R257" s="10">
        <f>VLOOKUP(E257,'IVA COMPRAS'!L:Q,6,0)</f>
        <v>712549.39</v>
      </c>
    </row>
    <row r="258" spans="1:18" s="10" customFormat="1" hidden="1" x14ac:dyDescent="0.3">
      <c r="A258" s="10" t="s">
        <v>831</v>
      </c>
      <c r="B258" s="10" t="s">
        <v>777</v>
      </c>
      <c r="C258" s="11">
        <v>702</v>
      </c>
      <c r="D258" s="11">
        <v>427816</v>
      </c>
      <c r="E258" s="14" t="str">
        <f>CONCATENATE(H258,C258,D258)</f>
        <v>30500858628702427816</v>
      </c>
      <c r="F258" s="11">
        <v>34198667115228</v>
      </c>
      <c r="G258" s="10" t="s">
        <v>778</v>
      </c>
      <c r="H258" s="11">
        <v>30500858628</v>
      </c>
      <c r="I258" s="10" t="s">
        <v>472</v>
      </c>
      <c r="J258" s="11">
        <v>1</v>
      </c>
      <c r="K258" s="10" t="s">
        <v>779</v>
      </c>
      <c r="L258" s="12">
        <v>352127.24</v>
      </c>
      <c r="O258" s="11">
        <v>0</v>
      </c>
      <c r="P258" s="12">
        <v>73946.720000000001</v>
      </c>
      <c r="Q258" s="12">
        <v>454244.17</v>
      </c>
      <c r="R258" s="10">
        <f>VLOOKUP(E258,'IVA COMPRAS'!L:Q,6,0)</f>
        <v>454244.17</v>
      </c>
    </row>
    <row r="259" spans="1:18" s="10" customFormat="1" hidden="1" x14ac:dyDescent="0.3">
      <c r="A259" s="10" t="s">
        <v>831</v>
      </c>
      <c r="B259" s="10" t="s">
        <v>777</v>
      </c>
      <c r="C259" s="11">
        <v>702</v>
      </c>
      <c r="D259" s="11">
        <v>427817</v>
      </c>
      <c r="E259" s="14" t="str">
        <f>CONCATENATE(H259,C259,D259)</f>
        <v>30500858628702427817</v>
      </c>
      <c r="F259" s="11">
        <v>34198667115228</v>
      </c>
      <c r="G259" s="10" t="s">
        <v>778</v>
      </c>
      <c r="H259" s="11">
        <v>30500858628</v>
      </c>
      <c r="I259" s="10" t="s">
        <v>472</v>
      </c>
      <c r="J259" s="11">
        <v>1</v>
      </c>
      <c r="K259" s="10" t="s">
        <v>779</v>
      </c>
      <c r="L259" s="12">
        <v>551565.67000000004</v>
      </c>
      <c r="O259" s="11">
        <v>0</v>
      </c>
      <c r="P259" s="12">
        <v>115828.79</v>
      </c>
      <c r="Q259" s="12">
        <v>711519.73</v>
      </c>
      <c r="R259" s="10">
        <f>VLOOKUP(E259,'IVA COMPRAS'!L:Q,6,0)</f>
        <v>711519.73</v>
      </c>
    </row>
    <row r="260" spans="1:18" s="10" customFormat="1" hidden="1" x14ac:dyDescent="0.3">
      <c r="A260" s="10" t="s">
        <v>831</v>
      </c>
      <c r="B260" s="10" t="s">
        <v>777</v>
      </c>
      <c r="C260" s="11">
        <v>679</v>
      </c>
      <c r="D260" s="11">
        <v>173247</v>
      </c>
      <c r="E260" s="14" t="str">
        <f>CONCATENATE(H260,C260,D260)</f>
        <v>30500858628679173247</v>
      </c>
      <c r="F260" s="11">
        <v>34198667115228</v>
      </c>
      <c r="G260" s="10" t="s">
        <v>778</v>
      </c>
      <c r="H260" s="11">
        <v>30500858628</v>
      </c>
      <c r="I260" s="10" t="s">
        <v>472</v>
      </c>
      <c r="J260" s="11">
        <v>1</v>
      </c>
      <c r="K260" s="10" t="s">
        <v>779</v>
      </c>
      <c r="L260" s="12">
        <v>928022.95</v>
      </c>
      <c r="O260" s="11">
        <v>0</v>
      </c>
      <c r="P260" s="12">
        <v>194884.82</v>
      </c>
      <c r="Q260" s="12">
        <v>1197149.6299999999</v>
      </c>
      <c r="R260" s="10">
        <f>VLOOKUP(E260,'IVA COMPRAS'!L:Q,6,0)</f>
        <v>1197149.6299999999</v>
      </c>
    </row>
    <row r="261" spans="1:18" s="10" customFormat="1" hidden="1" x14ac:dyDescent="0.3">
      <c r="A261" s="10" t="s">
        <v>831</v>
      </c>
      <c r="B261" s="10" t="s">
        <v>777</v>
      </c>
      <c r="C261" s="11">
        <v>679</v>
      </c>
      <c r="D261" s="11">
        <v>173248</v>
      </c>
      <c r="E261" s="14" t="str">
        <f>CONCATENATE(H261,C261,D261)</f>
        <v>30500858628679173248</v>
      </c>
      <c r="F261" s="11">
        <v>34198667115228</v>
      </c>
      <c r="G261" s="10" t="s">
        <v>778</v>
      </c>
      <c r="H261" s="11">
        <v>30500858628</v>
      </c>
      <c r="I261" s="10" t="s">
        <v>472</v>
      </c>
      <c r="J261" s="11">
        <v>1</v>
      </c>
      <c r="K261" s="10" t="s">
        <v>779</v>
      </c>
      <c r="L261" s="12">
        <v>4947171.1900000004</v>
      </c>
      <c r="O261" s="11">
        <v>0</v>
      </c>
      <c r="P261" s="12">
        <v>1038905.95</v>
      </c>
      <c r="Q261" s="12">
        <v>6381850.8300000001</v>
      </c>
      <c r="R261" s="10">
        <f>VLOOKUP(E261,'IVA COMPRAS'!L:Q,6,0)</f>
        <v>6381850.8300000001</v>
      </c>
    </row>
    <row r="262" spans="1:18" s="10" customFormat="1" hidden="1" x14ac:dyDescent="0.3">
      <c r="A262" s="10" t="s">
        <v>831</v>
      </c>
      <c r="B262" s="10" t="s">
        <v>783</v>
      </c>
      <c r="C262" s="11">
        <v>702</v>
      </c>
      <c r="D262" s="11">
        <v>36798</v>
      </c>
      <c r="E262" s="14" t="str">
        <f>CONCATENATE(H262,C262,D262)</f>
        <v>3050085862870236798</v>
      </c>
      <c r="F262" s="11">
        <v>34198667115228</v>
      </c>
      <c r="G262" s="10" t="s">
        <v>778</v>
      </c>
      <c r="H262" s="11">
        <v>30500858628</v>
      </c>
      <c r="I262" s="10" t="s">
        <v>472</v>
      </c>
      <c r="J262" s="11">
        <v>1</v>
      </c>
      <c r="K262" s="10" t="s">
        <v>779</v>
      </c>
      <c r="L262" s="12">
        <v>139203.43</v>
      </c>
      <c r="O262" s="11">
        <v>0</v>
      </c>
      <c r="P262" s="12">
        <v>29232.720000000001</v>
      </c>
      <c r="Q262" s="16">
        <v>-179572.44</v>
      </c>
      <c r="R262" s="10" t="e">
        <f>VLOOKUP(E262,'IVA COMPRAS'!L:Q,6,0)</f>
        <v>#N/A</v>
      </c>
    </row>
    <row r="263" spans="1:18" s="10" customFormat="1" hidden="1" x14ac:dyDescent="0.3">
      <c r="A263" s="10" t="s">
        <v>831</v>
      </c>
      <c r="B263" s="10" t="s">
        <v>783</v>
      </c>
      <c r="C263" s="11">
        <v>702</v>
      </c>
      <c r="D263" s="11">
        <v>36797</v>
      </c>
      <c r="E263" s="14" t="str">
        <f>CONCATENATE(H263,C263,D263)</f>
        <v>3050085862870236797</v>
      </c>
      <c r="F263" s="11">
        <v>34198667115228</v>
      </c>
      <c r="G263" s="10" t="s">
        <v>778</v>
      </c>
      <c r="H263" s="11">
        <v>30500858628</v>
      </c>
      <c r="I263" s="10" t="s">
        <v>472</v>
      </c>
      <c r="J263" s="11">
        <v>1</v>
      </c>
      <c r="K263" s="10" t="s">
        <v>779</v>
      </c>
      <c r="L263" s="12">
        <v>19698.759999999998</v>
      </c>
      <c r="O263" s="11">
        <v>0</v>
      </c>
      <c r="P263" s="12">
        <v>4136.74</v>
      </c>
      <c r="Q263" s="12">
        <v>24426.47</v>
      </c>
      <c r="R263" s="10">
        <f>VLOOKUP(E263,'IVA COMPRAS'!L:Q,6,0)</f>
        <v>-24426.47</v>
      </c>
    </row>
    <row r="264" spans="1:18" s="10" customFormat="1" hidden="1" x14ac:dyDescent="0.3">
      <c r="A264" s="10" t="s">
        <v>840</v>
      </c>
      <c r="B264" s="10" t="s">
        <v>777</v>
      </c>
      <c r="C264" s="11">
        <v>702</v>
      </c>
      <c r="D264" s="11">
        <v>430687</v>
      </c>
      <c r="E264" s="14" t="str">
        <f>CONCATENATE(H264,C264,D264)</f>
        <v>30500858628702430687</v>
      </c>
      <c r="F264" s="11">
        <v>34198667115228</v>
      </c>
      <c r="G264" s="10" t="s">
        <v>778</v>
      </c>
      <c r="H264" s="11">
        <v>30500858628</v>
      </c>
      <c r="I264" s="10" t="s">
        <v>472</v>
      </c>
      <c r="J264" s="11">
        <v>1</v>
      </c>
      <c r="K264" s="10" t="s">
        <v>779</v>
      </c>
      <c r="L264" s="10">
        <v>7435927.0999999996</v>
      </c>
      <c r="O264" s="11">
        <v>0</v>
      </c>
      <c r="P264" s="12">
        <v>1561544.69</v>
      </c>
      <c r="Q264" s="12">
        <v>9592345.8699999992</v>
      </c>
      <c r="R264" s="10">
        <f>VLOOKUP(E264,'IVA COMPRAS'!L:Q,6,0)</f>
        <v>9592345.8300000001</v>
      </c>
    </row>
    <row r="265" spans="1:18" s="10" customFormat="1" hidden="1" x14ac:dyDescent="0.3">
      <c r="A265" s="10" t="s">
        <v>840</v>
      </c>
      <c r="B265" s="10" t="s">
        <v>777</v>
      </c>
      <c r="C265" s="11">
        <v>679</v>
      </c>
      <c r="D265" s="11">
        <v>173829</v>
      </c>
      <c r="E265" s="14" t="str">
        <f>CONCATENATE(H265,C265,D265)</f>
        <v>30500858628679173829</v>
      </c>
      <c r="F265" s="11">
        <v>34198667115228</v>
      </c>
      <c r="G265" s="10" t="s">
        <v>778</v>
      </c>
      <c r="H265" s="11">
        <v>30500858628</v>
      </c>
      <c r="I265" s="10" t="s">
        <v>472</v>
      </c>
      <c r="J265" s="11">
        <v>1</v>
      </c>
      <c r="K265" s="10" t="s">
        <v>779</v>
      </c>
      <c r="L265" s="12">
        <v>7887487.71</v>
      </c>
      <c r="O265" s="11">
        <v>0</v>
      </c>
      <c r="P265" s="12">
        <v>1656372.42</v>
      </c>
      <c r="Q265" s="12">
        <v>10174859.189999999</v>
      </c>
      <c r="R265" s="10">
        <f>VLOOKUP(E265,'IVA COMPRAS'!L:Q,6,0)</f>
        <v>10174859.199999999</v>
      </c>
    </row>
    <row r="266" spans="1:18" s="10" customFormat="1" hidden="1" x14ac:dyDescent="0.3">
      <c r="A266" s="10" t="s">
        <v>835</v>
      </c>
      <c r="B266" s="10" t="s">
        <v>777</v>
      </c>
      <c r="C266" s="11">
        <v>9</v>
      </c>
      <c r="D266" s="11">
        <v>16989</v>
      </c>
      <c r="E266" s="14" t="str">
        <f>CONCATENATE(H266,C266,D266)</f>
        <v>30525346389916989</v>
      </c>
      <c r="F266" s="11">
        <v>74229545907682</v>
      </c>
      <c r="G266" s="10" t="s">
        <v>778</v>
      </c>
      <c r="H266" s="11">
        <v>30525346389</v>
      </c>
      <c r="I266" s="10" t="s">
        <v>837</v>
      </c>
      <c r="J266" s="11">
        <v>1</v>
      </c>
      <c r="K266" s="10" t="s">
        <v>779</v>
      </c>
      <c r="L266" s="12">
        <v>1559989.43</v>
      </c>
      <c r="M266" s="11">
        <v>0</v>
      </c>
      <c r="N266" s="11">
        <v>0</v>
      </c>
      <c r="O266" s="11">
        <v>0</v>
      </c>
      <c r="P266" s="12">
        <v>163798.89000000001</v>
      </c>
      <c r="Q266" s="12">
        <v>1778387.93</v>
      </c>
      <c r="R266" s="10">
        <f>VLOOKUP(E266,'IVA COMPRAS'!L:Q,6,0)</f>
        <v>1778387.93</v>
      </c>
    </row>
    <row r="267" spans="1:18" s="10" customFormat="1" hidden="1" x14ac:dyDescent="0.3">
      <c r="A267" s="10" t="s">
        <v>840</v>
      </c>
      <c r="B267" s="10" t="s">
        <v>777</v>
      </c>
      <c r="C267" s="11">
        <v>394</v>
      </c>
      <c r="D267" s="11">
        <v>374020</v>
      </c>
      <c r="E267" s="14" t="str">
        <f>CONCATENATE(H267,C267,D267)</f>
        <v>30546764040394374020</v>
      </c>
      <c r="F267" s="11">
        <v>74220836162863</v>
      </c>
      <c r="G267" s="10" t="s">
        <v>778</v>
      </c>
      <c r="H267" s="11">
        <v>30546764040</v>
      </c>
      <c r="I267" s="10" t="s">
        <v>617</v>
      </c>
      <c r="J267" s="11">
        <v>1</v>
      </c>
      <c r="K267" s="10" t="s">
        <v>779</v>
      </c>
      <c r="L267" s="12">
        <v>9813782.7100000009</v>
      </c>
      <c r="M267" s="11">
        <v>0</v>
      </c>
      <c r="N267" s="11">
        <v>0</v>
      </c>
      <c r="O267" s="11">
        <v>0</v>
      </c>
      <c r="P267" s="12">
        <v>2060894.37</v>
      </c>
      <c r="Q267" s="12">
        <v>12659779.710000001</v>
      </c>
      <c r="R267" s="10">
        <f>VLOOKUP(E267,'IVA COMPRAS'!L:Q,6,0)</f>
        <v>12659779.710000001</v>
      </c>
    </row>
    <row r="268" spans="1:18" s="10" customFormat="1" hidden="1" x14ac:dyDescent="0.3">
      <c r="A268" s="10" t="s">
        <v>840</v>
      </c>
      <c r="B268" s="10" t="s">
        <v>783</v>
      </c>
      <c r="C268" s="11">
        <v>394</v>
      </c>
      <c r="D268" s="11">
        <v>217472</v>
      </c>
      <c r="E268" s="14" t="str">
        <f>CONCATENATE(H268,C268,D268)</f>
        <v>30546764040394217472</v>
      </c>
      <c r="F268" s="11">
        <v>74220917840851</v>
      </c>
      <c r="G268" s="10" t="s">
        <v>778</v>
      </c>
      <c r="H268" s="11">
        <v>30546764040</v>
      </c>
      <c r="I268" s="10" t="s">
        <v>617</v>
      </c>
      <c r="J268" s="11">
        <v>1</v>
      </c>
      <c r="K268" s="10" t="s">
        <v>779</v>
      </c>
      <c r="L268" s="12">
        <v>1321420.52</v>
      </c>
      <c r="M268" s="11">
        <v>0</v>
      </c>
      <c r="N268" s="11">
        <v>0</v>
      </c>
      <c r="O268" s="11">
        <v>0</v>
      </c>
      <c r="P268" s="12">
        <v>277498.31</v>
      </c>
      <c r="Q268" s="12">
        <v>1638561.43</v>
      </c>
      <c r="R268" s="10">
        <f>VLOOKUP(E268,'IVA COMPRAS'!L:Q,6,0)</f>
        <v>-1638561.43</v>
      </c>
    </row>
    <row r="269" spans="1:18" s="10" customFormat="1" hidden="1" x14ac:dyDescent="0.3">
      <c r="A269" s="10" t="s">
        <v>828</v>
      </c>
      <c r="B269" s="10" t="s">
        <v>777</v>
      </c>
      <c r="C269" s="11">
        <v>5</v>
      </c>
      <c r="D269" s="11">
        <v>3038074</v>
      </c>
      <c r="E269" s="14" t="str">
        <f>CONCATENATE(H269,C269,D269)</f>
        <v>3070265297553038074</v>
      </c>
      <c r="F269" s="11">
        <v>74215938261595</v>
      </c>
      <c r="G269" s="10" t="s">
        <v>778</v>
      </c>
      <c r="H269" s="11">
        <v>30702652975</v>
      </c>
      <c r="I269" s="10" t="s">
        <v>39</v>
      </c>
      <c r="J269" s="11">
        <v>1</v>
      </c>
      <c r="K269" s="10" t="s">
        <v>779</v>
      </c>
      <c r="L269" s="12">
        <v>178.65</v>
      </c>
      <c r="M269" s="11">
        <v>0</v>
      </c>
      <c r="N269" s="11">
        <v>0</v>
      </c>
      <c r="O269" s="11">
        <v>0</v>
      </c>
      <c r="P269" s="12">
        <v>37.520000000000003</v>
      </c>
      <c r="Q269" s="12">
        <v>216.17</v>
      </c>
      <c r="R269" s="10">
        <f>VLOOKUP(E269,'IVA COMPRAS'!L:Q,6,0)</f>
        <v>216.17</v>
      </c>
    </row>
    <row r="270" spans="1:18" s="10" customFormat="1" hidden="1" x14ac:dyDescent="0.3">
      <c r="A270" s="10" t="s">
        <v>828</v>
      </c>
      <c r="B270" s="10" t="s">
        <v>777</v>
      </c>
      <c r="C270" s="11">
        <v>5</v>
      </c>
      <c r="D270" s="11">
        <v>3038075</v>
      </c>
      <c r="E270" s="14" t="str">
        <f>CONCATENATE(H270,C270,D270)</f>
        <v>3070265297553038075</v>
      </c>
      <c r="F270" s="11">
        <v>74215938261613</v>
      </c>
      <c r="G270" s="10" t="s">
        <v>778</v>
      </c>
      <c r="H270" s="11">
        <v>30702652975</v>
      </c>
      <c r="I270" s="10" t="s">
        <v>39</v>
      </c>
      <c r="J270" s="11">
        <v>1</v>
      </c>
      <c r="K270" s="10" t="s">
        <v>779</v>
      </c>
      <c r="L270" s="11">
        <v>217320</v>
      </c>
      <c r="M270" s="11">
        <v>0</v>
      </c>
      <c r="N270" s="11">
        <v>0</v>
      </c>
      <c r="O270" s="11">
        <v>0</v>
      </c>
      <c r="P270" s="10">
        <v>45637.2</v>
      </c>
      <c r="Q270" s="10">
        <v>269476.8</v>
      </c>
      <c r="R270" s="10">
        <f>VLOOKUP(E270,'IVA COMPRAS'!L:Q,6,0)</f>
        <v>269476.8</v>
      </c>
    </row>
    <row r="271" spans="1:18" s="10" customFormat="1" hidden="1" x14ac:dyDescent="0.3">
      <c r="A271" s="10" t="s">
        <v>785</v>
      </c>
      <c r="B271" s="10" t="s">
        <v>777</v>
      </c>
      <c r="C271" s="11">
        <v>3</v>
      </c>
      <c r="D271" s="11">
        <v>48401</v>
      </c>
      <c r="E271" s="14" t="str">
        <f>CONCATENATE(H271,C271,D271)</f>
        <v>30711497974348401</v>
      </c>
      <c r="F271" s="11">
        <v>74184793028183</v>
      </c>
      <c r="G271" s="10" t="s">
        <v>778</v>
      </c>
      <c r="H271" s="11">
        <v>30711497974</v>
      </c>
      <c r="I271" s="10" t="s">
        <v>123</v>
      </c>
      <c r="J271" s="11">
        <v>1</v>
      </c>
      <c r="K271" s="10" t="s">
        <v>779</v>
      </c>
      <c r="L271" s="10">
        <v>497119.6</v>
      </c>
      <c r="M271" s="11">
        <v>0</v>
      </c>
      <c r="N271" s="11">
        <v>0</v>
      </c>
      <c r="O271" s="11">
        <v>0</v>
      </c>
      <c r="P271" s="12">
        <v>104395.12</v>
      </c>
      <c r="Q271" s="12">
        <v>601514.72</v>
      </c>
      <c r="R271" s="10">
        <f>VLOOKUP(E271,'IVA COMPRAS'!L:Q,6,0)</f>
        <v>601514.72</v>
      </c>
    </row>
    <row r="272" spans="1:18" s="10" customFormat="1" hidden="1" x14ac:dyDescent="0.3">
      <c r="A272" s="10" t="s">
        <v>810</v>
      </c>
      <c r="B272" s="10" t="s">
        <v>777</v>
      </c>
      <c r="C272" s="11">
        <v>21</v>
      </c>
      <c r="D272" s="11">
        <v>1117533</v>
      </c>
      <c r="E272" s="14" t="str">
        <f>CONCATENATE(H272,C272,D272)</f>
        <v>30550245309211117533</v>
      </c>
      <c r="F272" s="11">
        <v>74209078467302</v>
      </c>
      <c r="G272" s="10" t="s">
        <v>778</v>
      </c>
      <c r="H272" s="11">
        <v>30550245309</v>
      </c>
      <c r="I272" s="10" t="s">
        <v>812</v>
      </c>
      <c r="J272" s="11">
        <v>1</v>
      </c>
      <c r="K272" s="10" t="s">
        <v>779</v>
      </c>
      <c r="L272" s="12">
        <v>2007028.75</v>
      </c>
      <c r="M272" s="11">
        <v>0</v>
      </c>
      <c r="N272" s="11">
        <v>0</v>
      </c>
      <c r="O272" s="11">
        <v>0</v>
      </c>
      <c r="P272" s="12">
        <v>211025.37</v>
      </c>
      <c r="Q272" s="12">
        <v>2318405.56</v>
      </c>
      <c r="R272" s="10">
        <f>VLOOKUP(E272,'IVA COMPRAS'!L:Q,6,0)</f>
        <v>2318405.56</v>
      </c>
    </row>
    <row r="273" spans="1:18" s="10" customFormat="1" hidden="1" x14ac:dyDescent="0.3">
      <c r="A273" s="10" t="s">
        <v>794</v>
      </c>
      <c r="B273" s="10" t="s">
        <v>777</v>
      </c>
      <c r="C273" s="11">
        <v>7296</v>
      </c>
      <c r="D273" s="11">
        <v>27092</v>
      </c>
      <c r="E273" s="14" t="str">
        <f>CONCATENATE(H273,C273,D273)</f>
        <v>30678774495729627092</v>
      </c>
      <c r="F273" s="11">
        <v>74185045392246</v>
      </c>
      <c r="G273" s="10" t="s">
        <v>778</v>
      </c>
      <c r="H273" s="11">
        <v>30678774495</v>
      </c>
      <c r="I273" s="10" t="s">
        <v>795</v>
      </c>
      <c r="J273" s="11">
        <v>1</v>
      </c>
      <c r="K273" s="10" t="s">
        <v>779</v>
      </c>
      <c r="L273" s="12">
        <v>48412.37</v>
      </c>
      <c r="M273" s="11">
        <v>0</v>
      </c>
      <c r="N273" s="11">
        <v>0</v>
      </c>
      <c r="O273" s="11">
        <v>0</v>
      </c>
      <c r="P273" s="10">
        <v>10166.6</v>
      </c>
      <c r="Q273" s="12">
        <v>66098.66</v>
      </c>
      <c r="R273" s="10">
        <f>VLOOKUP(E273,'IVA COMPRAS'!L:Q,6,0)</f>
        <v>66098.66</v>
      </c>
    </row>
    <row r="274" spans="1:18" s="10" customFormat="1" x14ac:dyDescent="0.3">
      <c r="A274" s="10" t="s">
        <v>809</v>
      </c>
      <c r="B274" s="10" t="s">
        <v>777</v>
      </c>
      <c r="C274" s="11">
        <v>7880</v>
      </c>
      <c r="D274" s="11">
        <v>27708</v>
      </c>
      <c r="E274" s="14" t="str">
        <f>CONCATENATE(H274,C274,D274)</f>
        <v>30678774495788027708</v>
      </c>
      <c r="F274" s="11">
        <v>74195549902073</v>
      </c>
      <c r="G274" s="10" t="s">
        <v>778</v>
      </c>
      <c r="H274" s="11">
        <v>30678774495</v>
      </c>
      <c r="I274" s="10" t="s">
        <v>795</v>
      </c>
      <c r="J274" s="11">
        <v>1</v>
      </c>
      <c r="K274" s="10" t="s">
        <v>779</v>
      </c>
      <c r="L274" s="12">
        <v>43198.559999999998</v>
      </c>
      <c r="M274" s="11">
        <v>0</v>
      </c>
      <c r="N274" s="11">
        <v>0</v>
      </c>
      <c r="O274" s="11">
        <v>0</v>
      </c>
      <c r="P274" s="10">
        <v>9071.7000000000007</v>
      </c>
      <c r="Q274" s="12">
        <v>58986.78</v>
      </c>
      <c r="R274" s="10" t="e">
        <f>VLOOKUP(E274,'IVA COMPRAS'!L:Q,6,0)</f>
        <v>#N/A</v>
      </c>
    </row>
    <row r="275" spans="1:18" s="10" customFormat="1" hidden="1" x14ac:dyDescent="0.3">
      <c r="A275" s="10" t="s">
        <v>810</v>
      </c>
      <c r="B275" s="10" t="s">
        <v>777</v>
      </c>
      <c r="C275" s="11">
        <v>8190</v>
      </c>
      <c r="D275" s="11">
        <v>21732</v>
      </c>
      <c r="E275" s="14" t="str">
        <f>CONCATENATE(H275,C275,D275)</f>
        <v>30678774495819021732</v>
      </c>
      <c r="F275" s="11">
        <v>74195647892038</v>
      </c>
      <c r="G275" s="10" t="s">
        <v>778</v>
      </c>
      <c r="H275" s="11">
        <v>30678774495</v>
      </c>
      <c r="I275" s="10" t="s">
        <v>795</v>
      </c>
      <c r="J275" s="11">
        <v>1</v>
      </c>
      <c r="K275" s="10" t="s">
        <v>779</v>
      </c>
      <c r="L275" s="12">
        <v>13816.61</v>
      </c>
      <c r="M275" s="11">
        <v>0</v>
      </c>
      <c r="N275" s="11">
        <v>0</v>
      </c>
      <c r="O275" s="11">
        <v>0</v>
      </c>
      <c r="P275" s="12">
        <v>2901.49</v>
      </c>
      <c r="Q275" s="12">
        <v>19321.93</v>
      </c>
      <c r="R275" s="10">
        <f>VLOOKUP(E275,'IVA COMPRAS'!L:Q,6,0)</f>
        <v>19321.93</v>
      </c>
    </row>
    <row r="276" spans="1:18" s="10" customFormat="1" hidden="1" x14ac:dyDescent="0.3">
      <c r="A276" s="10" t="s">
        <v>823</v>
      </c>
      <c r="B276" s="10" t="s">
        <v>777</v>
      </c>
      <c r="C276" s="11">
        <v>7158</v>
      </c>
      <c r="D276" s="11">
        <v>28623</v>
      </c>
      <c r="E276" s="14" t="str">
        <f>CONCATENATE(H276,C276,D276)</f>
        <v>30678774495715828623</v>
      </c>
      <c r="F276" s="11">
        <v>74205416150900</v>
      </c>
      <c r="G276" s="10" t="s">
        <v>778</v>
      </c>
      <c r="H276" s="11">
        <v>30678774495</v>
      </c>
      <c r="I276" s="10" t="s">
        <v>795</v>
      </c>
      <c r="J276" s="11">
        <v>1</v>
      </c>
      <c r="K276" s="10" t="s">
        <v>779</v>
      </c>
      <c r="L276" s="12">
        <v>61868.13</v>
      </c>
      <c r="M276" s="11">
        <v>0</v>
      </c>
      <c r="N276" s="11">
        <v>0</v>
      </c>
      <c r="O276" s="11">
        <v>0</v>
      </c>
      <c r="P276" s="12">
        <v>12992.31</v>
      </c>
      <c r="Q276" s="12">
        <v>81340.19</v>
      </c>
      <c r="R276" s="10">
        <f>VLOOKUP(E276,'IVA COMPRAS'!L:Q,6,0)</f>
        <v>81340.25</v>
      </c>
    </row>
    <row r="277" spans="1:18" s="10" customFormat="1" hidden="1" x14ac:dyDescent="0.3">
      <c r="A277" s="10" t="s">
        <v>826</v>
      </c>
      <c r="B277" s="10" t="s">
        <v>777</v>
      </c>
      <c r="C277" s="11">
        <v>9060</v>
      </c>
      <c r="D277" s="11">
        <v>23607</v>
      </c>
      <c r="E277" s="14" t="str">
        <f>CONCATENATE(H277,C277,D277)</f>
        <v>30678774495906023607</v>
      </c>
      <c r="F277" s="11">
        <v>74215702115242</v>
      </c>
      <c r="G277" s="10" t="s">
        <v>778</v>
      </c>
      <c r="H277" s="11">
        <v>30678774495</v>
      </c>
      <c r="I277" s="10" t="s">
        <v>795</v>
      </c>
      <c r="J277" s="11">
        <v>1</v>
      </c>
      <c r="K277" s="10" t="s">
        <v>779</v>
      </c>
      <c r="L277" s="12">
        <v>76523.78</v>
      </c>
      <c r="M277" s="11">
        <v>0</v>
      </c>
      <c r="N277" s="11">
        <v>0</v>
      </c>
      <c r="O277" s="11">
        <v>0</v>
      </c>
      <c r="P277" s="11">
        <v>16070</v>
      </c>
      <c r="Q277" s="12">
        <v>100000.04</v>
      </c>
      <c r="R277" s="10">
        <f>VLOOKUP(E277,'IVA COMPRAS'!L:Q,6,0)</f>
        <v>100000.05</v>
      </c>
    </row>
    <row r="278" spans="1:18" s="10" customFormat="1" x14ac:dyDescent="0.3">
      <c r="A278" s="10" t="s">
        <v>826</v>
      </c>
      <c r="B278" s="10" t="s">
        <v>777</v>
      </c>
      <c r="C278" s="11">
        <v>7158</v>
      </c>
      <c r="D278" s="11">
        <v>28725</v>
      </c>
      <c r="E278" s="14" t="str">
        <f>CONCATENATE(H278,C278,D278)</f>
        <v>30678774495715828725</v>
      </c>
      <c r="F278" s="11">
        <v>74215750581114</v>
      </c>
      <c r="G278" s="10" t="s">
        <v>778</v>
      </c>
      <c r="H278" s="11">
        <v>30678774495</v>
      </c>
      <c r="I278" s="10" t="s">
        <v>795</v>
      </c>
      <c r="J278" s="11">
        <v>1</v>
      </c>
      <c r="K278" s="10" t="s">
        <v>779</v>
      </c>
      <c r="L278" s="12">
        <v>43210.12</v>
      </c>
      <c r="M278" s="11">
        <v>0</v>
      </c>
      <c r="N278" s="11">
        <v>0</v>
      </c>
      <c r="O278" s="11">
        <v>0</v>
      </c>
      <c r="P278" s="12">
        <v>9074.1299999999992</v>
      </c>
      <c r="Q278" s="10">
        <v>58995.9</v>
      </c>
      <c r="R278" s="10" t="e">
        <f>VLOOKUP(E278,'IVA COMPRAS'!L:Q,6,0)</f>
        <v>#N/A</v>
      </c>
    </row>
    <row r="279" spans="1:18" s="10" customFormat="1" hidden="1" x14ac:dyDescent="0.3">
      <c r="A279" s="10" t="s">
        <v>834</v>
      </c>
      <c r="B279" s="10" t="s">
        <v>777</v>
      </c>
      <c r="C279" s="11">
        <v>7150</v>
      </c>
      <c r="D279" s="11">
        <v>30435</v>
      </c>
      <c r="E279" s="14" t="str">
        <f>CONCATENATE(H279,C279,D279)</f>
        <v>30678774495715030435</v>
      </c>
      <c r="F279" s="11">
        <v>74225416786584</v>
      </c>
      <c r="G279" s="10" t="s">
        <v>778</v>
      </c>
      <c r="H279" s="11">
        <v>30678774495</v>
      </c>
      <c r="I279" s="10" t="s">
        <v>795</v>
      </c>
      <c r="J279" s="11">
        <v>1</v>
      </c>
      <c r="K279" s="10" t="s">
        <v>779</v>
      </c>
      <c r="L279" s="12">
        <v>69596.36</v>
      </c>
      <c r="M279" s="11">
        <v>0</v>
      </c>
      <c r="N279" s="11">
        <v>0</v>
      </c>
      <c r="O279" s="11">
        <v>0</v>
      </c>
      <c r="P279" s="12">
        <v>14615.23</v>
      </c>
      <c r="Q279" s="12">
        <v>91507.69</v>
      </c>
      <c r="R279" s="10">
        <f>VLOOKUP(E279,'IVA COMPRAS'!L:Q,6,0)</f>
        <v>91507.68</v>
      </c>
    </row>
    <row r="280" spans="1:18" s="10" customFormat="1" x14ac:dyDescent="0.3">
      <c r="A280" s="10" t="s">
        <v>835</v>
      </c>
      <c r="B280" s="10" t="s">
        <v>777</v>
      </c>
      <c r="C280" s="11">
        <v>7154</v>
      </c>
      <c r="D280" s="11">
        <v>22679</v>
      </c>
      <c r="E280" s="14" t="str">
        <f>CONCATENATE(H280,C280,D280)</f>
        <v>30678774495715422679</v>
      </c>
      <c r="F280" s="11">
        <v>74225488673198</v>
      </c>
      <c r="G280" s="10" t="s">
        <v>778</v>
      </c>
      <c r="H280" s="11">
        <v>30678774495</v>
      </c>
      <c r="I280" s="10" t="s">
        <v>795</v>
      </c>
      <c r="J280" s="11">
        <v>1</v>
      </c>
      <c r="K280" s="10" t="s">
        <v>779</v>
      </c>
      <c r="L280" s="12">
        <v>41707.89</v>
      </c>
      <c r="M280" s="11">
        <v>0</v>
      </c>
      <c r="N280" s="11">
        <v>0</v>
      </c>
      <c r="O280" s="11">
        <v>0</v>
      </c>
      <c r="P280" s="12">
        <v>8758.66</v>
      </c>
      <c r="Q280" s="12">
        <v>56944.86</v>
      </c>
      <c r="R280" s="10" t="e">
        <f>VLOOKUP(E280,'IVA COMPRAS'!L:Q,6,0)</f>
        <v>#N/A</v>
      </c>
    </row>
    <row r="281" spans="1:18" s="10" customFormat="1" x14ac:dyDescent="0.3">
      <c r="A281" s="10" t="s">
        <v>840</v>
      </c>
      <c r="B281" s="10" t="s">
        <v>777</v>
      </c>
      <c r="C281" s="11">
        <v>8026</v>
      </c>
      <c r="D281" s="11">
        <v>12606</v>
      </c>
      <c r="E281" s="14" t="str">
        <f>CONCATENATE(H281,C281,D281)</f>
        <v>30678774495802612606</v>
      </c>
      <c r="F281" s="11">
        <v>74225947142341</v>
      </c>
      <c r="G281" s="10" t="s">
        <v>778</v>
      </c>
      <c r="H281" s="11">
        <v>30678774495</v>
      </c>
      <c r="I281" s="10" t="s">
        <v>795</v>
      </c>
      <c r="J281" s="11">
        <v>1</v>
      </c>
      <c r="K281" s="10" t="s">
        <v>779</v>
      </c>
      <c r="L281" s="12">
        <v>45067.74</v>
      </c>
      <c r="M281" s="11">
        <v>0</v>
      </c>
      <c r="N281" s="11">
        <v>0</v>
      </c>
      <c r="O281" s="11">
        <v>0</v>
      </c>
      <c r="P281" s="12">
        <v>9464.2199999999993</v>
      </c>
      <c r="Q281" s="12">
        <v>60899.97</v>
      </c>
      <c r="R281" s="10" t="e">
        <f>VLOOKUP(E281,'IVA COMPRAS'!L:Q,6,0)</f>
        <v>#N/A</v>
      </c>
    </row>
    <row r="282" spans="1:18" s="10" customFormat="1" hidden="1" x14ac:dyDescent="0.3">
      <c r="A282" s="10" t="s">
        <v>840</v>
      </c>
      <c r="B282" s="10" t="s">
        <v>777</v>
      </c>
      <c r="C282" s="11">
        <v>7150</v>
      </c>
      <c r="D282" s="11">
        <v>30588</v>
      </c>
      <c r="E282" s="14" t="str">
        <f>CONCATENATE(H282,C282,D282)</f>
        <v>30678774495715030588</v>
      </c>
      <c r="F282" s="11">
        <v>74225879955532</v>
      </c>
      <c r="G282" s="10" t="s">
        <v>778</v>
      </c>
      <c r="H282" s="11">
        <v>30678774495</v>
      </c>
      <c r="I282" s="10" t="s">
        <v>795</v>
      </c>
      <c r="J282" s="11">
        <v>1</v>
      </c>
      <c r="K282" s="10" t="s">
        <v>779</v>
      </c>
      <c r="L282" s="12">
        <v>67276.509999999995</v>
      </c>
      <c r="M282" s="11">
        <v>0</v>
      </c>
      <c r="N282" s="11">
        <v>0</v>
      </c>
      <c r="O282" s="11">
        <v>0</v>
      </c>
      <c r="P282" s="12">
        <v>14128.07</v>
      </c>
      <c r="Q282" s="12">
        <v>88457.48</v>
      </c>
      <c r="R282" s="10">
        <f>VLOOKUP(E282,'IVA COMPRAS'!L:Q,6,0)</f>
        <v>88457.48</v>
      </c>
    </row>
    <row r="283" spans="1:18" s="10" customFormat="1" hidden="1" x14ac:dyDescent="0.3">
      <c r="A283" s="10" t="s">
        <v>838</v>
      </c>
      <c r="B283" s="10" t="s">
        <v>777</v>
      </c>
      <c r="C283" s="11">
        <v>1004</v>
      </c>
      <c r="D283" s="11">
        <v>5330</v>
      </c>
      <c r="E283" s="14" t="str">
        <f>CONCATENATE(H283,C283,D283)</f>
        <v>3071205462610045330</v>
      </c>
      <c r="F283" s="11">
        <v>74226649337785</v>
      </c>
      <c r="G283" s="10" t="s">
        <v>778</v>
      </c>
      <c r="H283" s="11">
        <v>30712054626</v>
      </c>
      <c r="I283" s="10" t="s">
        <v>557</v>
      </c>
      <c r="J283" s="11">
        <v>1</v>
      </c>
      <c r="K283" s="10" t="s">
        <v>779</v>
      </c>
      <c r="L283" s="11">
        <v>15353280</v>
      </c>
      <c r="M283" s="11">
        <v>0</v>
      </c>
      <c r="N283" s="11">
        <v>0</v>
      </c>
      <c r="O283" s="11">
        <v>0</v>
      </c>
      <c r="P283" s="10">
        <v>3224188.8</v>
      </c>
      <c r="Q283" s="10">
        <v>19805731.199999999</v>
      </c>
      <c r="R283" s="10">
        <f>VLOOKUP(E283,'IVA COMPRAS'!L:Q,6,0)</f>
        <v>19805731.199999999</v>
      </c>
    </row>
    <row r="284" spans="1:18" s="10" customFormat="1" hidden="1" x14ac:dyDescent="0.3">
      <c r="A284" s="10" t="s">
        <v>834</v>
      </c>
      <c r="B284" s="10" t="s">
        <v>784</v>
      </c>
      <c r="C284" s="11">
        <v>7</v>
      </c>
      <c r="D284" s="11">
        <v>75</v>
      </c>
      <c r="E284" s="14" t="str">
        <f>CONCATENATE(H284,C284,D284)</f>
        <v>27316244918775</v>
      </c>
      <c r="F284" s="11">
        <v>74228387113607</v>
      </c>
      <c r="G284" s="10" t="s">
        <v>778</v>
      </c>
      <c r="H284" s="11">
        <v>27316244918</v>
      </c>
      <c r="I284" s="10" t="s">
        <v>523</v>
      </c>
      <c r="J284" s="11">
        <v>1</v>
      </c>
      <c r="K284" s="10" t="s">
        <v>779</v>
      </c>
      <c r="O284" s="11">
        <v>0</v>
      </c>
      <c r="Q284" s="11">
        <v>100000</v>
      </c>
      <c r="R284" s="10">
        <f>VLOOKUP(E284,'IVA COMPRAS'!L:Q,6,0)</f>
        <v>100000</v>
      </c>
    </row>
    <row r="285" spans="1:18" s="10" customFormat="1" hidden="1" x14ac:dyDescent="0.3">
      <c r="A285" s="10" t="s">
        <v>834</v>
      </c>
      <c r="B285" s="10" t="s">
        <v>784</v>
      </c>
      <c r="C285" s="11">
        <v>7</v>
      </c>
      <c r="D285" s="11">
        <v>74</v>
      </c>
      <c r="E285" s="14" t="str">
        <f>CONCATENATE(H285,C285,D285)</f>
        <v>27316244918774</v>
      </c>
      <c r="F285" s="11">
        <v>74228386901225</v>
      </c>
      <c r="G285" s="10" t="s">
        <v>778</v>
      </c>
      <c r="H285" s="11">
        <v>27316244918</v>
      </c>
      <c r="I285" s="10" t="s">
        <v>523</v>
      </c>
      <c r="J285" s="11">
        <v>1</v>
      </c>
      <c r="K285" s="10" t="s">
        <v>779</v>
      </c>
      <c r="O285" s="11">
        <v>0</v>
      </c>
      <c r="Q285" s="11">
        <v>300000</v>
      </c>
      <c r="R285" s="10">
        <f>VLOOKUP(E285,'IVA COMPRAS'!L:Q,6,0)</f>
        <v>300000</v>
      </c>
    </row>
    <row r="286" spans="1:18" s="10" customFormat="1" hidden="1" x14ac:dyDescent="0.3">
      <c r="A286" s="10" t="s">
        <v>832</v>
      </c>
      <c r="B286" s="10" t="s">
        <v>777</v>
      </c>
      <c r="C286" s="11">
        <v>6</v>
      </c>
      <c r="D286" s="11">
        <v>7006</v>
      </c>
      <c r="E286" s="14" t="str">
        <f>CONCATENATE(H286,C286,D286)</f>
        <v>2721494210667006</v>
      </c>
      <c r="F286" s="11">
        <v>74216122537381</v>
      </c>
      <c r="G286" s="10" t="s">
        <v>778</v>
      </c>
      <c r="H286" s="11">
        <v>27214942106</v>
      </c>
      <c r="I286" s="10" t="s">
        <v>493</v>
      </c>
      <c r="J286" s="11">
        <v>1</v>
      </c>
      <c r="K286" s="10" t="s">
        <v>779</v>
      </c>
      <c r="L286" s="12">
        <v>15702.48</v>
      </c>
      <c r="M286" s="11">
        <v>0</v>
      </c>
      <c r="N286" s="11">
        <v>0</v>
      </c>
      <c r="O286" s="11">
        <v>0</v>
      </c>
      <c r="P286" s="12">
        <v>3297.52</v>
      </c>
      <c r="Q286" s="11">
        <v>19000</v>
      </c>
      <c r="R286" s="10">
        <f>VLOOKUP(E286,'IVA COMPRAS'!L:Q,6,0)</f>
        <v>19000</v>
      </c>
    </row>
    <row r="287" spans="1:18" s="10" customFormat="1" hidden="1" x14ac:dyDescent="0.3">
      <c r="A287" s="10" t="s">
        <v>781</v>
      </c>
      <c r="B287" s="10" t="s">
        <v>777</v>
      </c>
      <c r="C287" s="11">
        <v>3</v>
      </c>
      <c r="D287" s="11">
        <v>100226</v>
      </c>
      <c r="E287" s="14" t="str">
        <f>CONCATENATE(H287,C287,D287)</f>
        <v>307039574783100226</v>
      </c>
      <c r="F287" s="11">
        <v>74188705996650</v>
      </c>
      <c r="G287" s="10" t="s">
        <v>778</v>
      </c>
      <c r="H287" s="11">
        <v>30703957478</v>
      </c>
      <c r="I287" s="10" t="s">
        <v>71</v>
      </c>
      <c r="J287" s="11">
        <v>1</v>
      </c>
      <c r="K287" s="10" t="s">
        <v>779</v>
      </c>
      <c r="L287" s="12">
        <v>1158379.3500000001</v>
      </c>
      <c r="M287" s="11">
        <v>0</v>
      </c>
      <c r="N287" s="11">
        <v>0</v>
      </c>
      <c r="O287" s="11">
        <v>0</v>
      </c>
      <c r="P287" s="12">
        <v>243259.66</v>
      </c>
      <c r="Q287" s="10">
        <v>1424806.6</v>
      </c>
      <c r="R287" s="10">
        <f>VLOOKUP(E287,'IVA COMPRAS'!L:Q,6,0)</f>
        <v>1424806.6</v>
      </c>
    </row>
    <row r="288" spans="1:18" s="10" customFormat="1" hidden="1" x14ac:dyDescent="0.3">
      <c r="A288" s="10" t="s">
        <v>781</v>
      </c>
      <c r="B288" s="10" t="s">
        <v>777</v>
      </c>
      <c r="C288" s="11">
        <v>3</v>
      </c>
      <c r="D288" s="11">
        <v>100229</v>
      </c>
      <c r="E288" s="14" t="str">
        <f>CONCATENATE(H288,C288,D288)</f>
        <v>307039574783100229</v>
      </c>
      <c r="F288" s="11">
        <v>74188710625039</v>
      </c>
      <c r="G288" s="10" t="s">
        <v>778</v>
      </c>
      <c r="H288" s="11">
        <v>30703957478</v>
      </c>
      <c r="I288" s="10" t="s">
        <v>71</v>
      </c>
      <c r="J288" s="11">
        <v>1</v>
      </c>
      <c r="K288" s="10" t="s">
        <v>779</v>
      </c>
      <c r="L288" s="12">
        <v>5596510.3099999996</v>
      </c>
      <c r="M288" s="11">
        <v>0</v>
      </c>
      <c r="N288" s="11">
        <v>0</v>
      </c>
      <c r="O288" s="11">
        <v>0</v>
      </c>
      <c r="P288" s="12">
        <v>1175267.17</v>
      </c>
      <c r="Q288" s="12">
        <v>6883707.6900000004</v>
      </c>
      <c r="R288" s="10">
        <f>VLOOKUP(E288,'IVA COMPRAS'!L:Q,6,0)</f>
        <v>6883707.6900000004</v>
      </c>
    </row>
    <row r="289" spans="1:18" s="10" customFormat="1" hidden="1" x14ac:dyDescent="0.3">
      <c r="A289" s="10" t="s">
        <v>800</v>
      </c>
      <c r="B289" s="10" t="s">
        <v>777</v>
      </c>
      <c r="C289" s="11">
        <v>3</v>
      </c>
      <c r="D289" s="11">
        <v>100365</v>
      </c>
      <c r="E289" s="14" t="str">
        <f>CONCATENATE(H289,C289,D289)</f>
        <v>307039574783100365</v>
      </c>
      <c r="F289" s="11">
        <v>74198279814081</v>
      </c>
      <c r="G289" s="10" t="s">
        <v>778</v>
      </c>
      <c r="H289" s="11">
        <v>30703957478</v>
      </c>
      <c r="I289" s="10" t="s">
        <v>71</v>
      </c>
      <c r="J289" s="11">
        <v>1</v>
      </c>
      <c r="K289" s="10" t="s">
        <v>779</v>
      </c>
      <c r="L289" s="10">
        <v>1520419.6</v>
      </c>
      <c r="M289" s="11">
        <v>0</v>
      </c>
      <c r="N289" s="11">
        <v>0</v>
      </c>
      <c r="O289" s="11">
        <v>0</v>
      </c>
      <c r="P289" s="12">
        <v>319288.11</v>
      </c>
      <c r="Q289" s="10">
        <v>1870116.1</v>
      </c>
      <c r="R289" s="10">
        <f>VLOOKUP(E289,'IVA COMPRAS'!L:Q,6,0)</f>
        <v>1870116.1</v>
      </c>
    </row>
    <row r="290" spans="1:18" s="10" customFormat="1" hidden="1" x14ac:dyDescent="0.3">
      <c r="A290" s="10" t="s">
        <v>816</v>
      </c>
      <c r="B290" s="10" t="s">
        <v>777</v>
      </c>
      <c r="C290" s="11">
        <v>3</v>
      </c>
      <c r="D290" s="11">
        <v>100479</v>
      </c>
      <c r="E290" s="14" t="str">
        <f>CONCATENATE(H290,C290,D290)</f>
        <v>307039574783100479</v>
      </c>
      <c r="F290" s="11">
        <v>74208879265283</v>
      </c>
      <c r="G290" s="10" t="s">
        <v>778</v>
      </c>
      <c r="H290" s="11">
        <v>30703957478</v>
      </c>
      <c r="I290" s="10" t="s">
        <v>71</v>
      </c>
      <c r="J290" s="11">
        <v>1</v>
      </c>
      <c r="K290" s="10" t="s">
        <v>779</v>
      </c>
      <c r="L290" s="12">
        <v>815123.97</v>
      </c>
      <c r="M290" s="11">
        <v>0</v>
      </c>
      <c r="N290" s="11">
        <v>0</v>
      </c>
      <c r="O290" s="11">
        <v>0</v>
      </c>
      <c r="P290" s="12">
        <v>171176.03</v>
      </c>
      <c r="Q290" s="12">
        <v>1002602.48</v>
      </c>
      <c r="R290" s="10">
        <f>VLOOKUP(E290,'IVA COMPRAS'!L:Q,6,0)</f>
        <v>1002602.48</v>
      </c>
    </row>
    <row r="291" spans="1:18" s="10" customFormat="1" hidden="1" x14ac:dyDescent="0.3">
      <c r="A291" s="10" t="s">
        <v>819</v>
      </c>
      <c r="B291" s="10" t="s">
        <v>777</v>
      </c>
      <c r="C291" s="11">
        <v>3</v>
      </c>
      <c r="D291" s="11">
        <v>100586</v>
      </c>
      <c r="E291" s="14" t="str">
        <f>CONCATENATE(H291,C291,D291)</f>
        <v>307039574783100586</v>
      </c>
      <c r="F291" s="11">
        <v>74208169184788</v>
      </c>
      <c r="G291" s="10" t="s">
        <v>778</v>
      </c>
      <c r="H291" s="11">
        <v>30703957478</v>
      </c>
      <c r="I291" s="10" t="s">
        <v>71</v>
      </c>
      <c r="J291" s="11">
        <v>1</v>
      </c>
      <c r="K291" s="10" t="s">
        <v>779</v>
      </c>
      <c r="L291" s="12">
        <v>1220908.26</v>
      </c>
      <c r="M291" s="11">
        <v>0</v>
      </c>
      <c r="N291" s="11">
        <v>0</v>
      </c>
      <c r="O291" s="11">
        <v>0</v>
      </c>
      <c r="P291" s="12">
        <v>256390.74</v>
      </c>
      <c r="Q291" s="12">
        <v>1501717.17</v>
      </c>
      <c r="R291" s="10">
        <f>VLOOKUP(E291,'IVA COMPRAS'!L:Q,6,0)</f>
        <v>1501717.17</v>
      </c>
    </row>
    <row r="292" spans="1:18" s="10" customFormat="1" hidden="1" x14ac:dyDescent="0.3">
      <c r="A292" s="10" t="s">
        <v>832</v>
      </c>
      <c r="B292" s="10" t="s">
        <v>777</v>
      </c>
      <c r="C292" s="11">
        <v>3</v>
      </c>
      <c r="D292" s="11">
        <v>100844</v>
      </c>
      <c r="E292" s="14" t="str">
        <f>CONCATENATE(H292,C292,D292)</f>
        <v>307039574783100844</v>
      </c>
      <c r="F292" s="11">
        <v>74218161175312</v>
      </c>
      <c r="G292" s="10" t="s">
        <v>778</v>
      </c>
      <c r="H292" s="11">
        <v>30703957478</v>
      </c>
      <c r="I292" s="10" t="s">
        <v>71</v>
      </c>
      <c r="J292" s="11">
        <v>1</v>
      </c>
      <c r="K292" s="10" t="s">
        <v>779</v>
      </c>
      <c r="L292" s="12">
        <v>1117880.99</v>
      </c>
      <c r="M292" s="11">
        <v>0</v>
      </c>
      <c r="N292" s="11">
        <v>0</v>
      </c>
      <c r="O292" s="11">
        <v>0</v>
      </c>
      <c r="P292" s="12">
        <v>234755.01</v>
      </c>
      <c r="Q292" s="12">
        <v>1374993.62</v>
      </c>
      <c r="R292" s="10">
        <f>VLOOKUP(E292,'IVA COMPRAS'!L:Q,6,0)</f>
        <v>1374993.62</v>
      </c>
    </row>
    <row r="293" spans="1:18" s="10" customFormat="1" hidden="1" x14ac:dyDescent="0.3">
      <c r="A293" s="10" t="s">
        <v>838</v>
      </c>
      <c r="B293" s="10" t="s">
        <v>777</v>
      </c>
      <c r="C293" s="11">
        <v>3</v>
      </c>
      <c r="D293" s="11">
        <v>100978</v>
      </c>
      <c r="E293" s="14" t="str">
        <f>CONCATENATE(H293,C293,D293)</f>
        <v>307039574783100978</v>
      </c>
      <c r="F293" s="11">
        <v>74228646260856</v>
      </c>
      <c r="G293" s="10" t="s">
        <v>778</v>
      </c>
      <c r="H293" s="11">
        <v>30703957478</v>
      </c>
      <c r="I293" s="10" t="s">
        <v>71</v>
      </c>
      <c r="J293" s="11">
        <v>1</v>
      </c>
      <c r="K293" s="10" t="s">
        <v>779</v>
      </c>
      <c r="L293" s="12">
        <v>381297.52</v>
      </c>
      <c r="M293" s="11">
        <v>0</v>
      </c>
      <c r="N293" s="11">
        <v>0</v>
      </c>
      <c r="O293" s="11">
        <v>0</v>
      </c>
      <c r="P293" s="12">
        <v>80072.479999999996</v>
      </c>
      <c r="Q293" s="12">
        <v>468995.95</v>
      </c>
      <c r="R293" s="10">
        <f>VLOOKUP(E293,'IVA COMPRAS'!L:Q,6,0)</f>
        <v>468995.95</v>
      </c>
    </row>
    <row r="294" spans="1:18" s="10" customFormat="1" hidden="1" x14ac:dyDescent="0.3">
      <c r="A294" s="10" t="s">
        <v>800</v>
      </c>
      <c r="B294" s="10" t="s">
        <v>777</v>
      </c>
      <c r="C294" s="11">
        <v>1</v>
      </c>
      <c r="D294" s="11">
        <v>2351</v>
      </c>
      <c r="E294" s="14" t="str">
        <f>CONCATENATE(H294,C294,D294)</f>
        <v>3071616110912351</v>
      </c>
      <c r="F294" s="11">
        <v>74199271032071</v>
      </c>
      <c r="G294" s="10" t="s">
        <v>778</v>
      </c>
      <c r="H294" s="11">
        <v>30716161109</v>
      </c>
      <c r="I294" s="10" t="s">
        <v>219</v>
      </c>
      <c r="J294" s="11">
        <v>1</v>
      </c>
      <c r="K294" s="10" t="s">
        <v>779</v>
      </c>
      <c r="L294" s="11">
        <v>1281940</v>
      </c>
      <c r="M294" s="11">
        <v>0</v>
      </c>
      <c r="N294" s="11">
        <v>0</v>
      </c>
      <c r="O294" s="11">
        <v>0</v>
      </c>
      <c r="P294" s="10">
        <v>269207.40000000002</v>
      </c>
      <c r="Q294" s="10">
        <v>1551147.4</v>
      </c>
      <c r="R294" s="10">
        <f>VLOOKUP(E294,'IVA COMPRAS'!L:Q,6,0)</f>
        <v>1551147.4</v>
      </c>
    </row>
    <row r="295" spans="1:18" s="10" customFormat="1" hidden="1" x14ac:dyDescent="0.3">
      <c r="A295" s="10" t="s">
        <v>832</v>
      </c>
      <c r="B295" s="10" t="s">
        <v>777</v>
      </c>
      <c r="C295" s="11">
        <v>1</v>
      </c>
      <c r="D295" s="11">
        <v>2381</v>
      </c>
      <c r="E295" s="14" t="str">
        <f>CONCATENATE(H295,C295,D295)</f>
        <v>3071616110912381</v>
      </c>
      <c r="F295" s="11">
        <v>74219133649184</v>
      </c>
      <c r="G295" s="10" t="s">
        <v>778</v>
      </c>
      <c r="H295" s="11">
        <v>30716161109</v>
      </c>
      <c r="I295" s="10" t="s">
        <v>219</v>
      </c>
      <c r="J295" s="11">
        <v>1</v>
      </c>
      <c r="K295" s="10" t="s">
        <v>779</v>
      </c>
      <c r="L295" s="11">
        <v>1041690</v>
      </c>
      <c r="M295" s="11">
        <v>0</v>
      </c>
      <c r="N295" s="11">
        <v>0</v>
      </c>
      <c r="O295" s="11">
        <v>0</v>
      </c>
      <c r="P295" s="10">
        <v>218754.9</v>
      </c>
      <c r="Q295" s="10">
        <v>1260444.8999999999</v>
      </c>
      <c r="R295" s="10">
        <f>VLOOKUP(E295,'IVA COMPRAS'!L:Q,6,0)</f>
        <v>1260444.8999999999</v>
      </c>
    </row>
    <row r="296" spans="1:18" s="10" customFormat="1" hidden="1" x14ac:dyDescent="0.3">
      <c r="A296" s="10" t="s">
        <v>800</v>
      </c>
      <c r="B296" s="10" t="s">
        <v>777</v>
      </c>
      <c r="C296" s="11">
        <v>32</v>
      </c>
      <c r="D296" s="11">
        <v>82054</v>
      </c>
      <c r="E296" s="14" t="str">
        <f>CONCATENATE(H296,C296,D296)</f>
        <v>305012142793282054</v>
      </c>
      <c r="F296" s="11">
        <v>74199240989054</v>
      </c>
      <c r="G296" s="10" t="s">
        <v>778</v>
      </c>
      <c r="H296" s="11">
        <v>30501214279</v>
      </c>
      <c r="I296" s="10" t="s">
        <v>230</v>
      </c>
      <c r="J296" s="11">
        <v>1</v>
      </c>
      <c r="K296" s="10" t="s">
        <v>779</v>
      </c>
      <c r="L296" s="12">
        <v>501603.86</v>
      </c>
      <c r="M296" s="11">
        <v>0</v>
      </c>
      <c r="N296" s="11">
        <v>0</v>
      </c>
      <c r="O296" s="11">
        <v>0</v>
      </c>
      <c r="P296" s="12">
        <v>105336.81</v>
      </c>
      <c r="Q296" s="11">
        <v>647069</v>
      </c>
      <c r="R296" s="10">
        <f>VLOOKUP(E296,'IVA COMPRAS'!L:Q,6,0)</f>
        <v>647069.01</v>
      </c>
    </row>
    <row r="297" spans="1:18" s="10" customFormat="1" hidden="1" x14ac:dyDescent="0.3">
      <c r="A297" s="10" t="s">
        <v>827</v>
      </c>
      <c r="B297" s="10" t="s">
        <v>777</v>
      </c>
      <c r="C297" s="11">
        <v>32</v>
      </c>
      <c r="D297" s="11">
        <v>82310</v>
      </c>
      <c r="E297" s="14" t="str">
        <f>CONCATENATE(H297,C297,D297)</f>
        <v>305012142793282310</v>
      </c>
      <c r="F297" s="11">
        <v>74219815312124</v>
      </c>
      <c r="G297" s="10" t="s">
        <v>778</v>
      </c>
      <c r="H297" s="11">
        <v>30501214279</v>
      </c>
      <c r="I297" s="10" t="s">
        <v>230</v>
      </c>
      <c r="J297" s="11">
        <v>1</v>
      </c>
      <c r="K297" s="10" t="s">
        <v>779</v>
      </c>
      <c r="L297" s="12">
        <v>657611.76</v>
      </c>
      <c r="M297" s="11">
        <v>0</v>
      </c>
      <c r="N297" s="11">
        <v>0</v>
      </c>
      <c r="O297" s="11">
        <v>0</v>
      </c>
      <c r="P297" s="12">
        <v>138098.47</v>
      </c>
      <c r="Q297" s="12">
        <v>848319.19</v>
      </c>
      <c r="R297" s="10">
        <f>VLOOKUP(E297,'IVA COMPRAS'!L:Q,6,0)</f>
        <v>848319.19</v>
      </c>
    </row>
    <row r="298" spans="1:18" s="10" customFormat="1" hidden="1" x14ac:dyDescent="0.3">
      <c r="A298" s="10" t="s">
        <v>835</v>
      </c>
      <c r="B298" s="10" t="s">
        <v>777</v>
      </c>
      <c r="C298" s="11">
        <v>32</v>
      </c>
      <c r="D298" s="11">
        <v>82475</v>
      </c>
      <c r="E298" s="14" t="str">
        <f>CONCATENATE(H298,C298,D298)</f>
        <v>305012142793282475</v>
      </c>
      <c r="F298" s="11">
        <v>74229499389589</v>
      </c>
      <c r="G298" s="10" t="s">
        <v>778</v>
      </c>
      <c r="H298" s="11">
        <v>30501214279</v>
      </c>
      <c r="I298" s="10" t="s">
        <v>230</v>
      </c>
      <c r="J298" s="11">
        <v>1</v>
      </c>
      <c r="K298" s="10" t="s">
        <v>779</v>
      </c>
      <c r="L298" s="12">
        <v>1267651.6200000001</v>
      </c>
      <c r="M298" s="11">
        <v>0</v>
      </c>
      <c r="N298" s="11">
        <v>0</v>
      </c>
      <c r="O298" s="11">
        <v>0</v>
      </c>
      <c r="P298" s="12">
        <v>266206.84000000003</v>
      </c>
      <c r="Q298" s="12">
        <v>1635270.61</v>
      </c>
      <c r="R298" s="10">
        <f>VLOOKUP(E298,'IVA COMPRAS'!L:Q,6,0)</f>
        <v>1635270.61</v>
      </c>
    </row>
    <row r="299" spans="1:18" s="10" customFormat="1" hidden="1" x14ac:dyDescent="0.3">
      <c r="A299" s="10" t="s">
        <v>792</v>
      </c>
      <c r="B299" s="10" t="s">
        <v>784</v>
      </c>
      <c r="C299" s="11">
        <v>2</v>
      </c>
      <c r="D299" s="11">
        <v>190</v>
      </c>
      <c r="E299" s="14" t="str">
        <f>CONCATENATE(H299,C299,D299)</f>
        <v>203300659832190</v>
      </c>
      <c r="F299" s="11">
        <v>74183016973942</v>
      </c>
      <c r="G299" s="10" t="s">
        <v>778</v>
      </c>
      <c r="H299" s="11">
        <v>20330065983</v>
      </c>
      <c r="I299" s="10" t="s">
        <v>172</v>
      </c>
      <c r="J299" s="11">
        <v>1</v>
      </c>
      <c r="K299" s="10" t="s">
        <v>779</v>
      </c>
      <c r="O299" s="11">
        <v>0</v>
      </c>
      <c r="Q299" s="11">
        <v>150250</v>
      </c>
      <c r="R299" s="10">
        <f>VLOOKUP(E299,'IVA COMPRAS'!L:Q,6,0)</f>
        <v>150250</v>
      </c>
    </row>
    <row r="300" spans="1:18" s="10" customFormat="1" hidden="1" x14ac:dyDescent="0.3">
      <c r="A300" s="10" t="s">
        <v>796</v>
      </c>
      <c r="B300" s="10" t="s">
        <v>777</v>
      </c>
      <c r="C300" s="11">
        <v>1</v>
      </c>
      <c r="D300" s="11">
        <v>787</v>
      </c>
      <c r="E300" s="14" t="str">
        <f>CONCATENATE(H300,C300,D300)</f>
        <v>307150480661787</v>
      </c>
      <c r="F300" s="11">
        <v>74196620846326</v>
      </c>
      <c r="G300" s="10" t="s">
        <v>778</v>
      </c>
      <c r="H300" s="11">
        <v>30715048066</v>
      </c>
      <c r="I300" s="10" t="s">
        <v>190</v>
      </c>
      <c r="J300" s="11">
        <v>1</v>
      </c>
      <c r="K300" s="10" t="s">
        <v>779</v>
      </c>
      <c r="L300" s="10">
        <v>5181819.5</v>
      </c>
      <c r="M300" s="11">
        <v>0</v>
      </c>
      <c r="N300" s="11">
        <v>0</v>
      </c>
      <c r="O300" s="11">
        <v>0</v>
      </c>
      <c r="P300" s="10">
        <v>1088182.1000000001</v>
      </c>
      <c r="Q300" s="10">
        <v>6270001.5999999996</v>
      </c>
      <c r="R300" s="10">
        <f>VLOOKUP(E300,'IVA COMPRAS'!L:Q,6,0)</f>
        <v>6270001.5999999996</v>
      </c>
    </row>
    <row r="301" spans="1:18" s="10" customFormat="1" hidden="1" x14ac:dyDescent="0.3">
      <c r="A301" s="10" t="s">
        <v>809</v>
      </c>
      <c r="B301" s="10" t="s">
        <v>777</v>
      </c>
      <c r="C301" s="11">
        <v>1</v>
      </c>
      <c r="D301" s="11">
        <v>789</v>
      </c>
      <c r="E301" s="14" t="str">
        <f>CONCATENATE(H301,C301,D301)</f>
        <v>307150480661789</v>
      </c>
      <c r="F301" s="11">
        <v>74206005672069</v>
      </c>
      <c r="G301" s="10" t="s">
        <v>778</v>
      </c>
      <c r="H301" s="11">
        <v>30715048066</v>
      </c>
      <c r="I301" s="10" t="s">
        <v>190</v>
      </c>
      <c r="J301" s="11">
        <v>1</v>
      </c>
      <c r="K301" s="10" t="s">
        <v>779</v>
      </c>
      <c r="L301" s="10">
        <v>5181819.5</v>
      </c>
      <c r="M301" s="11">
        <v>0</v>
      </c>
      <c r="N301" s="11">
        <v>0</v>
      </c>
      <c r="O301" s="11">
        <v>0</v>
      </c>
      <c r="P301" s="10">
        <v>1088182.1000000001</v>
      </c>
      <c r="Q301" s="10">
        <v>6270001.5999999996</v>
      </c>
      <c r="R301" s="10">
        <f>VLOOKUP(E301,'IVA COMPRAS'!L:Q,6,0)</f>
        <v>6270001.5999999996</v>
      </c>
    </row>
    <row r="302" spans="1:18" s="10" customFormat="1" hidden="1" x14ac:dyDescent="0.3">
      <c r="A302" s="10" t="s">
        <v>820</v>
      </c>
      <c r="B302" s="10" t="s">
        <v>777</v>
      </c>
      <c r="C302" s="11">
        <v>1</v>
      </c>
      <c r="D302" s="11">
        <v>793</v>
      </c>
      <c r="E302" s="14" t="str">
        <f>CONCATENATE(H302,C302,D302)</f>
        <v>307150480661793</v>
      </c>
      <c r="F302" s="11">
        <v>74216695075554</v>
      </c>
      <c r="G302" s="10" t="s">
        <v>778</v>
      </c>
      <c r="H302" s="11">
        <v>30715048066</v>
      </c>
      <c r="I302" s="10" t="s">
        <v>190</v>
      </c>
      <c r="J302" s="11">
        <v>1</v>
      </c>
      <c r="K302" s="10" t="s">
        <v>779</v>
      </c>
      <c r="L302" s="11">
        <v>5700002</v>
      </c>
      <c r="M302" s="11">
        <v>0</v>
      </c>
      <c r="N302" s="11">
        <v>0</v>
      </c>
      <c r="O302" s="11">
        <v>0</v>
      </c>
      <c r="P302" s="12">
        <v>1197000.42</v>
      </c>
      <c r="Q302" s="12">
        <v>6897002.4199999999</v>
      </c>
      <c r="R302" s="10">
        <f>VLOOKUP(E302,'IVA COMPRAS'!L:Q,6,0)</f>
        <v>6897002.4199999999</v>
      </c>
    </row>
    <row r="303" spans="1:18" s="10" customFormat="1" hidden="1" x14ac:dyDescent="0.3">
      <c r="A303" s="10" t="s">
        <v>832</v>
      </c>
      <c r="B303" s="10" t="s">
        <v>777</v>
      </c>
      <c r="C303" s="11">
        <v>1</v>
      </c>
      <c r="D303" s="11">
        <v>794</v>
      </c>
      <c r="E303" s="14" t="str">
        <f>CONCATENATE(H303,C303,D303)</f>
        <v>307150480661794</v>
      </c>
      <c r="F303" s="11">
        <v>74226491850631</v>
      </c>
      <c r="G303" s="10" t="s">
        <v>778</v>
      </c>
      <c r="H303" s="11">
        <v>30715048066</v>
      </c>
      <c r="I303" s="10" t="s">
        <v>190</v>
      </c>
      <c r="J303" s="11">
        <v>1</v>
      </c>
      <c r="K303" s="10" t="s">
        <v>779</v>
      </c>
      <c r="L303" s="11">
        <v>5700002</v>
      </c>
      <c r="M303" s="11">
        <v>0</v>
      </c>
      <c r="N303" s="11">
        <v>0</v>
      </c>
      <c r="O303" s="11">
        <v>0</v>
      </c>
      <c r="P303" s="12">
        <v>1197000.42</v>
      </c>
      <c r="Q303" s="12">
        <v>6897002.4199999999</v>
      </c>
      <c r="R303" s="10">
        <f>VLOOKUP(E303,'IVA COMPRAS'!L:Q,6,0)</f>
        <v>6897002.4199999999</v>
      </c>
    </row>
    <row r="304" spans="1:18" s="10" customFormat="1" hidden="1" x14ac:dyDescent="0.3">
      <c r="A304" s="10" t="s">
        <v>840</v>
      </c>
      <c r="B304" s="10" t="s">
        <v>777</v>
      </c>
      <c r="C304" s="11">
        <v>1</v>
      </c>
      <c r="D304" s="11">
        <v>795</v>
      </c>
      <c r="E304" s="14" t="str">
        <f>CONCATENATE(H304,C304,D304)</f>
        <v>307150480661795</v>
      </c>
      <c r="F304" s="11">
        <v>74236493706305</v>
      </c>
      <c r="G304" s="10" t="s">
        <v>778</v>
      </c>
      <c r="H304" s="11">
        <v>30715048066</v>
      </c>
      <c r="I304" s="10" t="s">
        <v>190</v>
      </c>
      <c r="J304" s="11">
        <v>1</v>
      </c>
      <c r="K304" s="10" t="s">
        <v>779</v>
      </c>
      <c r="L304" s="11">
        <v>1680000</v>
      </c>
      <c r="M304" s="11">
        <v>0</v>
      </c>
      <c r="N304" s="11">
        <v>0</v>
      </c>
      <c r="O304" s="11">
        <v>0</v>
      </c>
      <c r="P304" s="11">
        <v>352800</v>
      </c>
      <c r="Q304" s="11">
        <v>2032800</v>
      </c>
      <c r="R304" s="10">
        <f>VLOOKUP(E304,'IVA COMPRAS'!L:Q,6,0)</f>
        <v>2032800</v>
      </c>
    </row>
    <row r="305" spans="1:18" s="10" customFormat="1" hidden="1" x14ac:dyDescent="0.3">
      <c r="A305" s="10" t="s">
        <v>781</v>
      </c>
      <c r="B305" s="10" t="s">
        <v>777</v>
      </c>
      <c r="C305" s="11">
        <v>2</v>
      </c>
      <c r="D305" s="11">
        <v>810</v>
      </c>
      <c r="E305" s="14" t="str">
        <f>CONCATENATE(H305,C305,D305)</f>
        <v>200843183622810</v>
      </c>
      <c r="F305" s="11">
        <v>74182857979401</v>
      </c>
      <c r="G305" s="10" t="s">
        <v>778</v>
      </c>
      <c r="H305" s="11">
        <v>20084318362</v>
      </c>
      <c r="I305" s="10" t="s">
        <v>68</v>
      </c>
      <c r="J305" s="11">
        <v>1</v>
      </c>
      <c r="K305" s="10" t="s">
        <v>779</v>
      </c>
      <c r="L305" s="11">
        <v>768785</v>
      </c>
      <c r="M305" s="11">
        <v>0</v>
      </c>
      <c r="N305" s="11">
        <v>0</v>
      </c>
      <c r="O305" s="11">
        <v>0</v>
      </c>
      <c r="P305" s="12">
        <v>161444.85</v>
      </c>
      <c r="Q305" s="12">
        <v>930229.85</v>
      </c>
      <c r="R305" s="10">
        <f>VLOOKUP(E305,'IVA COMPRAS'!L:Q,6,0)</f>
        <v>930229.85</v>
      </c>
    </row>
    <row r="306" spans="1:18" s="10" customFormat="1" hidden="1" x14ac:dyDescent="0.3">
      <c r="A306" s="10" t="s">
        <v>840</v>
      </c>
      <c r="B306" s="10" t="s">
        <v>777</v>
      </c>
      <c r="C306" s="11">
        <v>1677</v>
      </c>
      <c r="D306" s="11">
        <v>44682</v>
      </c>
      <c r="E306" s="14" t="str">
        <f>CONCATENATE(H306,C306,D306)</f>
        <v>30589621499167744682</v>
      </c>
      <c r="F306" s="11">
        <v>74229865949659</v>
      </c>
      <c r="G306" s="10" t="s">
        <v>778</v>
      </c>
      <c r="H306" s="11">
        <v>30589621499</v>
      </c>
      <c r="I306" s="10" t="s">
        <v>841</v>
      </c>
      <c r="J306" s="11">
        <v>1</v>
      </c>
      <c r="K306" s="10" t="s">
        <v>779</v>
      </c>
      <c r="L306" s="12">
        <v>50308.61</v>
      </c>
      <c r="M306" s="11">
        <v>0</v>
      </c>
      <c r="N306" s="11">
        <v>0</v>
      </c>
      <c r="O306" s="11">
        <v>0</v>
      </c>
      <c r="P306" s="12">
        <v>10564.81</v>
      </c>
      <c r="Q306" s="12">
        <v>64898.11</v>
      </c>
      <c r="R306" s="10">
        <f>VLOOKUP(E306,'IVA COMPRAS'!L:Q,6,0)</f>
        <v>64898.11</v>
      </c>
    </row>
    <row r="307" spans="1:18" s="10" customFormat="1" hidden="1" x14ac:dyDescent="0.3">
      <c r="A307" s="10" t="s">
        <v>794</v>
      </c>
      <c r="B307" s="10" t="s">
        <v>784</v>
      </c>
      <c r="C307" s="11">
        <v>2</v>
      </c>
      <c r="D307" s="11">
        <v>356</v>
      </c>
      <c r="E307" s="14" t="str">
        <f>CONCATENATE(H307,C307,D307)</f>
        <v>202452948252356</v>
      </c>
      <c r="F307" s="11">
        <v>74185094396723</v>
      </c>
      <c r="G307" s="10" t="s">
        <v>778</v>
      </c>
      <c r="H307" s="11">
        <v>20245294825</v>
      </c>
      <c r="I307" s="10" t="s">
        <v>181</v>
      </c>
      <c r="J307" s="11">
        <v>1</v>
      </c>
      <c r="K307" s="10" t="s">
        <v>779</v>
      </c>
      <c r="O307" s="11">
        <v>0</v>
      </c>
      <c r="Q307" s="11">
        <v>34000</v>
      </c>
      <c r="R307" s="10">
        <f>VLOOKUP(E307,'IVA COMPRAS'!L:Q,6,0)</f>
        <v>34000</v>
      </c>
    </row>
    <row r="308" spans="1:18" s="10" customFormat="1" hidden="1" x14ac:dyDescent="0.3">
      <c r="A308" s="10" t="s">
        <v>800</v>
      </c>
      <c r="B308" s="10" t="s">
        <v>777</v>
      </c>
      <c r="C308" s="11">
        <v>3950</v>
      </c>
      <c r="D308" s="11">
        <v>1681005</v>
      </c>
      <c r="E308" s="14" t="str">
        <f>CONCATENATE(H308,C308,D308)</f>
        <v>3063945373839501681005</v>
      </c>
      <c r="F308" s="11">
        <v>74198443503253</v>
      </c>
      <c r="G308" s="10" t="s">
        <v>778</v>
      </c>
      <c r="H308" s="11">
        <v>30639453738</v>
      </c>
      <c r="I308" s="10" t="s">
        <v>803</v>
      </c>
      <c r="J308" s="11">
        <v>1</v>
      </c>
      <c r="K308" s="10" t="s">
        <v>779</v>
      </c>
      <c r="L308" s="12">
        <v>54450.01</v>
      </c>
      <c r="M308" s="11">
        <v>0</v>
      </c>
      <c r="N308" s="11">
        <v>0</v>
      </c>
      <c r="O308" s="11">
        <v>0</v>
      </c>
      <c r="P308" s="12">
        <v>11434.51</v>
      </c>
      <c r="Q308" s="12">
        <v>68607.009999999995</v>
      </c>
      <c r="R308" s="10">
        <f>VLOOKUP(E308,'IVA COMPRAS'!L:Q,6,0)</f>
        <v>68607.009999999995</v>
      </c>
    </row>
    <row r="309" spans="1:18" s="10" customFormat="1" hidden="1" x14ac:dyDescent="0.3">
      <c r="A309" s="10" t="s">
        <v>840</v>
      </c>
      <c r="B309" s="10" t="s">
        <v>777</v>
      </c>
      <c r="C309" s="11">
        <v>6364</v>
      </c>
      <c r="D309" s="11">
        <v>8355442</v>
      </c>
      <c r="E309" s="14" t="str">
        <f>CONCATENATE(H309,C309,D309)</f>
        <v>3063945373863648355442</v>
      </c>
      <c r="F309" s="11">
        <v>74228861790311</v>
      </c>
      <c r="G309" s="10" t="s">
        <v>778</v>
      </c>
      <c r="H309" s="11">
        <v>30639453738</v>
      </c>
      <c r="I309" s="10" t="s">
        <v>803</v>
      </c>
      <c r="J309" s="11">
        <v>1</v>
      </c>
      <c r="K309" s="10" t="s">
        <v>779</v>
      </c>
      <c r="L309" s="10">
        <v>256682.5</v>
      </c>
      <c r="M309" s="11">
        <v>0</v>
      </c>
      <c r="N309" s="11">
        <v>0</v>
      </c>
      <c r="O309" s="11">
        <v>0</v>
      </c>
      <c r="P309" s="12">
        <v>53971.64</v>
      </c>
      <c r="Q309" s="12">
        <v>326347.84000000003</v>
      </c>
      <c r="R309" s="10">
        <f>VLOOKUP(E309,'IVA COMPRAS'!L:Q,6,0)</f>
        <v>326347.84000000003</v>
      </c>
    </row>
    <row r="310" spans="1:18" s="10" customFormat="1" hidden="1" x14ac:dyDescent="0.3">
      <c r="A310" s="10" t="s">
        <v>828</v>
      </c>
      <c r="B310" s="10" t="s">
        <v>777</v>
      </c>
      <c r="C310" s="11">
        <v>7</v>
      </c>
      <c r="D310" s="11">
        <v>2368</v>
      </c>
      <c r="E310" s="14" t="str">
        <f>CONCATENATE(H310,C310,D310)</f>
        <v>3071583023672368</v>
      </c>
      <c r="F310" s="11">
        <v>74216945362739</v>
      </c>
      <c r="G310" s="10" t="s">
        <v>778</v>
      </c>
      <c r="H310" s="11">
        <v>30715830236</v>
      </c>
      <c r="I310" s="10" t="s">
        <v>435</v>
      </c>
      <c r="J310" s="11">
        <v>1</v>
      </c>
      <c r="K310" s="10" t="s">
        <v>779</v>
      </c>
      <c r="L310" s="11">
        <v>229760</v>
      </c>
      <c r="M310" s="11">
        <v>0</v>
      </c>
      <c r="N310" s="11">
        <v>0</v>
      </c>
      <c r="O310" s="11">
        <v>0</v>
      </c>
      <c r="P310" s="10">
        <v>48249.599999999999</v>
      </c>
      <c r="Q310" s="10">
        <v>278009.59999999998</v>
      </c>
      <c r="R310" s="10">
        <f>VLOOKUP(E310,'IVA COMPRAS'!L:Q,6,0)</f>
        <v>278009.59999999998</v>
      </c>
    </row>
    <row r="311" spans="1:18" s="10" customFormat="1" hidden="1" x14ac:dyDescent="0.3">
      <c r="A311" s="10" t="s">
        <v>828</v>
      </c>
      <c r="B311" s="10" t="s">
        <v>777</v>
      </c>
      <c r="C311" s="11">
        <v>9</v>
      </c>
      <c r="D311" s="11">
        <v>1823</v>
      </c>
      <c r="E311" s="14" t="str">
        <f>CONCATENATE(H311,C311,D311)</f>
        <v>3071572965991823</v>
      </c>
      <c r="F311" s="11">
        <v>74219908925399</v>
      </c>
      <c r="G311" s="10" t="s">
        <v>778</v>
      </c>
      <c r="H311" s="11">
        <v>30715729659</v>
      </c>
      <c r="I311" s="10" t="s">
        <v>439</v>
      </c>
      <c r="J311" s="11">
        <v>1</v>
      </c>
      <c r="K311" s="10" t="s">
        <v>779</v>
      </c>
      <c r="L311" s="11">
        <v>212160</v>
      </c>
      <c r="M311" s="11">
        <v>0</v>
      </c>
      <c r="N311" s="11">
        <v>0</v>
      </c>
      <c r="O311" s="11">
        <v>0</v>
      </c>
      <c r="P311" s="10">
        <v>44553.599999999999</v>
      </c>
      <c r="Q311" s="10">
        <v>263078.40000000002</v>
      </c>
      <c r="R311" s="10">
        <f>VLOOKUP(E311,'IVA COMPRAS'!L:Q,6,0)</f>
        <v>263078.40000000002</v>
      </c>
    </row>
    <row r="312" spans="1:18" s="10" customFormat="1" hidden="1" x14ac:dyDescent="0.3">
      <c r="A312" s="10" t="s">
        <v>826</v>
      </c>
      <c r="B312" s="10" t="s">
        <v>777</v>
      </c>
      <c r="C312" s="11">
        <v>3</v>
      </c>
      <c r="D312" s="11">
        <v>63436</v>
      </c>
      <c r="E312" s="14" t="str">
        <f>CONCATENATE(H312,C312,D312)</f>
        <v>33629749239363436</v>
      </c>
      <c r="F312" s="11">
        <v>74219701609985</v>
      </c>
      <c r="G312" s="10" t="s">
        <v>778</v>
      </c>
      <c r="H312" s="11">
        <v>33629749239</v>
      </c>
      <c r="I312" s="10" t="s">
        <v>402</v>
      </c>
      <c r="J312" s="11">
        <v>1</v>
      </c>
      <c r="K312" s="10" t="s">
        <v>779</v>
      </c>
      <c r="L312" s="10">
        <v>684464.3</v>
      </c>
      <c r="M312" s="11">
        <v>0</v>
      </c>
      <c r="N312" s="11">
        <v>0</v>
      </c>
      <c r="O312" s="11">
        <v>0</v>
      </c>
      <c r="P312" s="10">
        <v>143737.5</v>
      </c>
      <c r="Q312" s="12">
        <v>841891.09</v>
      </c>
      <c r="R312" s="10">
        <f>VLOOKUP(E312,'IVA COMPRAS'!L:Q,6,0)</f>
        <v>841891.09</v>
      </c>
    </row>
    <row r="313" spans="1:18" s="10" customFormat="1" hidden="1" x14ac:dyDescent="0.3">
      <c r="A313" s="10" t="s">
        <v>828</v>
      </c>
      <c r="B313" s="10" t="s">
        <v>777</v>
      </c>
      <c r="C313" s="11">
        <v>3</v>
      </c>
      <c r="D313" s="11">
        <v>63492</v>
      </c>
      <c r="E313" s="14" t="str">
        <f>CONCATENATE(H313,C313,D313)</f>
        <v>33629749239363492</v>
      </c>
      <c r="F313" s="11">
        <v>74219937792211</v>
      </c>
      <c r="G313" s="10" t="s">
        <v>778</v>
      </c>
      <c r="H313" s="11">
        <v>33629749239</v>
      </c>
      <c r="I313" s="10" t="s">
        <v>402</v>
      </c>
      <c r="J313" s="11">
        <v>1</v>
      </c>
      <c r="K313" s="10" t="s">
        <v>779</v>
      </c>
      <c r="L313" s="12">
        <v>580933.16</v>
      </c>
      <c r="M313" s="11">
        <v>0</v>
      </c>
      <c r="N313" s="11">
        <v>0</v>
      </c>
      <c r="O313" s="11">
        <v>0</v>
      </c>
      <c r="P313" s="12">
        <v>121995.96</v>
      </c>
      <c r="Q313" s="12">
        <v>714547.78</v>
      </c>
      <c r="R313" s="10">
        <f>VLOOKUP(E313,'IVA COMPRAS'!L:Q,6,0)</f>
        <v>714547.78</v>
      </c>
    </row>
    <row r="314" spans="1:18" s="10" customFormat="1" hidden="1" x14ac:dyDescent="0.3">
      <c r="A314" s="10" t="s">
        <v>840</v>
      </c>
      <c r="B314" s="10" t="s">
        <v>777</v>
      </c>
      <c r="C314" s="11">
        <v>7</v>
      </c>
      <c r="D314" s="11">
        <v>40217</v>
      </c>
      <c r="E314" s="14" t="str">
        <f>CONCATENATE(H314,C314,D314)</f>
        <v>30624066827740217</v>
      </c>
      <c r="F314" s="11">
        <v>74227856022307</v>
      </c>
      <c r="G314" s="10" t="s">
        <v>778</v>
      </c>
      <c r="H314" s="11">
        <v>30624066827</v>
      </c>
      <c r="I314" s="10" t="s">
        <v>600</v>
      </c>
      <c r="J314" s="11">
        <v>1</v>
      </c>
      <c r="K314" s="10" t="s">
        <v>779</v>
      </c>
      <c r="L314" s="11">
        <v>398070</v>
      </c>
      <c r="M314" s="11">
        <v>0</v>
      </c>
      <c r="N314" s="11">
        <v>0</v>
      </c>
      <c r="O314" s="11">
        <v>0</v>
      </c>
      <c r="P314" s="10">
        <v>83594.7</v>
      </c>
      <c r="Q314" s="10">
        <v>481664.7</v>
      </c>
      <c r="R314" s="10">
        <f>VLOOKUP(E314,'IVA COMPRAS'!L:Q,6,0)</f>
        <v>481664.7</v>
      </c>
    </row>
    <row r="315" spans="1:18" s="10" customFormat="1" hidden="1" x14ac:dyDescent="0.3">
      <c r="A315" s="10" t="s">
        <v>827</v>
      </c>
      <c r="B315" s="10" t="s">
        <v>777</v>
      </c>
      <c r="C315" s="11">
        <v>2</v>
      </c>
      <c r="D315" s="11">
        <v>5654</v>
      </c>
      <c r="E315" s="14" t="str">
        <f>CONCATENATE(H315,C315,D315)</f>
        <v>3050450466925654</v>
      </c>
      <c r="F315" s="11">
        <v>74219779200410</v>
      </c>
      <c r="G315" s="10" t="s">
        <v>778</v>
      </c>
      <c r="H315" s="11">
        <v>30504504669</v>
      </c>
      <c r="I315" s="10" t="s">
        <v>420</v>
      </c>
      <c r="J315" s="11">
        <v>1</v>
      </c>
      <c r="K315" s="10" t="s">
        <v>779</v>
      </c>
      <c r="L315" s="11">
        <v>35400</v>
      </c>
      <c r="M315" s="11">
        <v>0</v>
      </c>
      <c r="N315" s="11">
        <v>0</v>
      </c>
      <c r="O315" s="11">
        <v>0</v>
      </c>
      <c r="P315" s="11">
        <v>7434</v>
      </c>
      <c r="Q315" s="11">
        <v>42834</v>
      </c>
      <c r="R315" s="10">
        <f>VLOOKUP(E315,'IVA COMPRAS'!L:Q,6,0)</f>
        <v>42834</v>
      </c>
    </row>
    <row r="316" spans="1:18" s="10" customFormat="1" hidden="1" x14ac:dyDescent="0.3">
      <c r="A316" s="10" t="s">
        <v>796</v>
      </c>
      <c r="B316" s="10" t="s">
        <v>777</v>
      </c>
      <c r="C316" s="11">
        <v>437</v>
      </c>
      <c r="D316" s="11">
        <v>1656984</v>
      </c>
      <c r="E316" s="14" t="str">
        <f>CONCATENATE(H316,C316,D316)</f>
        <v>305010926964371656984</v>
      </c>
      <c r="F316" s="11">
        <v>34176937630494</v>
      </c>
      <c r="G316" s="10" t="s">
        <v>778</v>
      </c>
      <c r="H316" s="11">
        <v>30501092696</v>
      </c>
      <c r="I316" s="10" t="s">
        <v>202</v>
      </c>
      <c r="J316" s="11">
        <v>1</v>
      </c>
      <c r="K316" s="10" t="s">
        <v>779</v>
      </c>
      <c r="L316" s="12">
        <v>15596326.140000001</v>
      </c>
      <c r="M316" s="11">
        <v>0</v>
      </c>
      <c r="N316" s="11">
        <v>0</v>
      </c>
      <c r="O316" s="11">
        <v>0</v>
      </c>
      <c r="P316" s="12">
        <v>3275228.49</v>
      </c>
      <c r="Q316" s="12">
        <v>20119260.690000001</v>
      </c>
      <c r="R316" s="10">
        <f>VLOOKUP(E316,'IVA COMPRAS'!L:Q,6,0)</f>
        <v>20119260.690000001</v>
      </c>
    </row>
    <row r="317" spans="1:18" s="10" customFormat="1" hidden="1" x14ac:dyDescent="0.3">
      <c r="A317" s="10" t="s">
        <v>796</v>
      </c>
      <c r="B317" s="10" t="s">
        <v>777</v>
      </c>
      <c r="C317" s="11">
        <v>437</v>
      </c>
      <c r="D317" s="11">
        <v>1656985</v>
      </c>
      <c r="E317" s="14" t="str">
        <f>CONCATENATE(H317,C317,D317)</f>
        <v>305010926964371656985</v>
      </c>
      <c r="F317" s="11">
        <v>34176937630494</v>
      </c>
      <c r="G317" s="10" t="s">
        <v>778</v>
      </c>
      <c r="H317" s="11">
        <v>30501092696</v>
      </c>
      <c r="I317" s="10" t="s">
        <v>202</v>
      </c>
      <c r="J317" s="11">
        <v>1</v>
      </c>
      <c r="K317" s="10" t="s">
        <v>779</v>
      </c>
      <c r="L317" s="12">
        <v>121851.81</v>
      </c>
      <c r="M317" s="11">
        <v>0</v>
      </c>
      <c r="N317" s="11">
        <v>0</v>
      </c>
      <c r="O317" s="11">
        <v>0</v>
      </c>
      <c r="P317" s="12">
        <v>25588.880000000001</v>
      </c>
      <c r="Q317" s="10">
        <v>154751.79999999999</v>
      </c>
      <c r="R317" s="10">
        <f>VLOOKUP(E317,'IVA COMPRAS'!L:Q,6,0)</f>
        <v>154751.79999999999</v>
      </c>
    </row>
    <row r="318" spans="1:18" s="10" customFormat="1" hidden="1" x14ac:dyDescent="0.3">
      <c r="A318" s="10" t="s">
        <v>796</v>
      </c>
      <c r="B318" s="10" t="s">
        <v>777</v>
      </c>
      <c r="C318" s="11">
        <v>437</v>
      </c>
      <c r="D318" s="11">
        <v>1656983</v>
      </c>
      <c r="E318" s="14" t="str">
        <f>CONCATENATE(H318,C318,D318)</f>
        <v>305010926964371656983</v>
      </c>
      <c r="F318" s="11">
        <v>34176937630494</v>
      </c>
      <c r="G318" s="10" t="s">
        <v>778</v>
      </c>
      <c r="H318" s="11">
        <v>30501092696</v>
      </c>
      <c r="I318" s="10" t="s">
        <v>202</v>
      </c>
      <c r="J318" s="11">
        <v>1</v>
      </c>
      <c r="K318" s="10" t="s">
        <v>779</v>
      </c>
      <c r="L318" s="12">
        <v>1523147.81</v>
      </c>
      <c r="M318" s="11">
        <v>0</v>
      </c>
      <c r="N318" s="11">
        <v>0</v>
      </c>
      <c r="O318" s="11">
        <v>0</v>
      </c>
      <c r="P318" s="12">
        <v>319861.03999999998</v>
      </c>
      <c r="Q318" s="12">
        <v>1964860.67</v>
      </c>
      <c r="R318" s="10">
        <f>VLOOKUP(E318,'IVA COMPRAS'!L:Q,6,0)</f>
        <v>1964860.67</v>
      </c>
    </row>
    <row r="319" spans="1:18" s="10" customFormat="1" hidden="1" x14ac:dyDescent="0.3">
      <c r="A319" s="10" t="s">
        <v>796</v>
      </c>
      <c r="B319" s="10" t="s">
        <v>777</v>
      </c>
      <c r="C319" s="11">
        <v>437</v>
      </c>
      <c r="D319" s="11">
        <v>1656986</v>
      </c>
      <c r="E319" s="14" t="str">
        <f>CONCATENATE(H319,C319,D319)</f>
        <v>305010926964371656986</v>
      </c>
      <c r="F319" s="11">
        <v>34176937630494</v>
      </c>
      <c r="G319" s="10" t="s">
        <v>778</v>
      </c>
      <c r="H319" s="11">
        <v>30501092696</v>
      </c>
      <c r="I319" s="10" t="s">
        <v>202</v>
      </c>
      <c r="J319" s="11">
        <v>1</v>
      </c>
      <c r="K319" s="10" t="s">
        <v>779</v>
      </c>
      <c r="L319" s="12">
        <v>1347221.62</v>
      </c>
      <c r="M319" s="11">
        <v>0</v>
      </c>
      <c r="N319" s="11">
        <v>0</v>
      </c>
      <c r="O319" s="11">
        <v>0</v>
      </c>
      <c r="P319" s="12">
        <v>282916.53999999998</v>
      </c>
      <c r="Q319" s="12">
        <v>1737915.91</v>
      </c>
      <c r="R319" s="10">
        <f>VLOOKUP(E319,'IVA COMPRAS'!L:Q,6,0)</f>
        <v>1737915.91</v>
      </c>
    </row>
    <row r="320" spans="1:18" s="10" customFormat="1" hidden="1" x14ac:dyDescent="0.3">
      <c r="A320" s="10" t="s">
        <v>796</v>
      </c>
      <c r="B320" s="10" t="s">
        <v>777</v>
      </c>
      <c r="C320" s="11">
        <v>437</v>
      </c>
      <c r="D320" s="11">
        <v>1656987</v>
      </c>
      <c r="E320" s="14" t="str">
        <f>CONCATENATE(H320,C320,D320)</f>
        <v>305010926964371656987</v>
      </c>
      <c r="F320" s="11">
        <v>34176937630494</v>
      </c>
      <c r="G320" s="10" t="s">
        <v>778</v>
      </c>
      <c r="H320" s="11">
        <v>30501092696</v>
      </c>
      <c r="I320" s="10" t="s">
        <v>202</v>
      </c>
      <c r="J320" s="11">
        <v>1</v>
      </c>
      <c r="K320" s="10" t="s">
        <v>779</v>
      </c>
      <c r="L320" s="12">
        <v>2176281.14</v>
      </c>
      <c r="M320" s="11">
        <v>0</v>
      </c>
      <c r="N320" s="11">
        <v>0</v>
      </c>
      <c r="O320" s="11">
        <v>0</v>
      </c>
      <c r="P320" s="12">
        <v>457019.04</v>
      </c>
      <c r="Q320" s="12">
        <v>2807402.64</v>
      </c>
      <c r="R320" s="10">
        <f>VLOOKUP(E320,'IVA COMPRAS'!L:Q,6,0)</f>
        <v>2807402.64</v>
      </c>
    </row>
    <row r="321" spans="1:18" s="10" customFormat="1" x14ac:dyDescent="0.3">
      <c r="A321" s="10" t="s">
        <v>818</v>
      </c>
      <c r="B321" s="10" t="s">
        <v>783</v>
      </c>
      <c r="C321" s="11">
        <v>437</v>
      </c>
      <c r="D321" s="11">
        <v>287527</v>
      </c>
      <c r="E321" s="14" t="str">
        <f>CONCATENATE(H321,C321,D321)</f>
        <v>30501092696437287527</v>
      </c>
      <c r="F321" s="11">
        <v>34176937630494</v>
      </c>
      <c r="G321" s="10" t="s">
        <v>778</v>
      </c>
      <c r="H321" s="11">
        <v>30501092696</v>
      </c>
      <c r="I321" s="10" t="s">
        <v>202</v>
      </c>
      <c r="J321" s="11">
        <v>1</v>
      </c>
      <c r="K321" s="10" t="s">
        <v>779</v>
      </c>
      <c r="L321" s="12">
        <v>1695737.81</v>
      </c>
      <c r="M321" s="11">
        <v>0</v>
      </c>
      <c r="N321" s="11">
        <v>0</v>
      </c>
      <c r="O321" s="11">
        <v>0</v>
      </c>
      <c r="P321" s="12">
        <v>356104.94</v>
      </c>
      <c r="Q321" s="12">
        <v>-2102714.89</v>
      </c>
      <c r="R321" s="10" t="e">
        <f>VLOOKUP(E321,'IVA COMPRAS'!L:Q,6,0)</f>
        <v>#N/A</v>
      </c>
    </row>
    <row r="322" spans="1:18" s="10" customFormat="1" x14ac:dyDescent="0.3">
      <c r="A322" s="10" t="s">
        <v>820</v>
      </c>
      <c r="B322" s="10" t="s">
        <v>783</v>
      </c>
      <c r="C322" s="11">
        <v>437</v>
      </c>
      <c r="D322" s="11">
        <v>289927</v>
      </c>
      <c r="E322" s="14" t="str">
        <f>CONCATENATE(H322,C322,D322)</f>
        <v>30501092696437289927</v>
      </c>
      <c r="F322" s="11">
        <v>34196566233930</v>
      </c>
      <c r="G322" s="10" t="s">
        <v>778</v>
      </c>
      <c r="H322" s="11">
        <v>30501092696</v>
      </c>
      <c r="I322" s="10" t="s">
        <v>202</v>
      </c>
      <c r="J322" s="11">
        <v>1</v>
      </c>
      <c r="K322" s="10" t="s">
        <v>779</v>
      </c>
      <c r="L322" s="12">
        <v>923225.86</v>
      </c>
      <c r="M322" s="11">
        <v>0</v>
      </c>
      <c r="N322" s="11">
        <v>0</v>
      </c>
      <c r="O322" s="11">
        <v>0</v>
      </c>
      <c r="P322" s="12">
        <v>193877.43</v>
      </c>
      <c r="Q322" s="12">
        <v>-1144800.08</v>
      </c>
      <c r="R322" s="10" t="e">
        <f>VLOOKUP(E322,'IVA COMPRAS'!L:Q,6,0)</f>
        <v>#N/A</v>
      </c>
    </row>
    <row r="323" spans="1:18" s="10" customFormat="1" x14ac:dyDescent="0.3">
      <c r="A323" s="10" t="s">
        <v>820</v>
      </c>
      <c r="B323" s="10" t="s">
        <v>783</v>
      </c>
      <c r="C323" s="11">
        <v>437</v>
      </c>
      <c r="D323" s="11">
        <v>289926</v>
      </c>
      <c r="E323" s="14" t="str">
        <f>CONCATENATE(H323,C323,D323)</f>
        <v>30501092696437289926</v>
      </c>
      <c r="F323" s="11">
        <v>34196566233930</v>
      </c>
      <c r="G323" s="10" t="s">
        <v>778</v>
      </c>
      <c r="H323" s="11">
        <v>30501092696</v>
      </c>
      <c r="I323" s="10" t="s">
        <v>202</v>
      </c>
      <c r="J323" s="11">
        <v>1</v>
      </c>
      <c r="K323" s="10" t="s">
        <v>779</v>
      </c>
      <c r="L323" s="12">
        <v>69366.19</v>
      </c>
      <c r="M323" s="11">
        <v>0</v>
      </c>
      <c r="N323" s="11">
        <v>0</v>
      </c>
      <c r="O323" s="11">
        <v>0</v>
      </c>
      <c r="P323" s="10">
        <v>14566.9</v>
      </c>
      <c r="Q323" s="12">
        <v>-86014.06</v>
      </c>
      <c r="R323" s="10" t="e">
        <f>VLOOKUP(E323,'IVA COMPRAS'!L:Q,6,0)</f>
        <v>#N/A</v>
      </c>
    </row>
    <row r="324" spans="1:18" s="10" customFormat="1" x14ac:dyDescent="0.3">
      <c r="A324" s="10" t="s">
        <v>820</v>
      </c>
      <c r="B324" s="10" t="s">
        <v>783</v>
      </c>
      <c r="C324" s="11">
        <v>437</v>
      </c>
      <c r="D324" s="11">
        <v>289929</v>
      </c>
      <c r="E324" s="14" t="str">
        <f>CONCATENATE(H324,C324,D324)</f>
        <v>30501092696437289929</v>
      </c>
      <c r="F324" s="11">
        <v>34196566233930</v>
      </c>
      <c r="G324" s="10" t="s">
        <v>778</v>
      </c>
      <c r="H324" s="11">
        <v>30501092696</v>
      </c>
      <c r="I324" s="10" t="s">
        <v>202</v>
      </c>
      <c r="J324" s="11">
        <v>1</v>
      </c>
      <c r="K324" s="10" t="s">
        <v>779</v>
      </c>
      <c r="L324" s="12">
        <v>528525.43000000005</v>
      </c>
      <c r="M324" s="11">
        <v>0</v>
      </c>
      <c r="N324" s="11">
        <v>0</v>
      </c>
      <c r="O324" s="11">
        <v>0</v>
      </c>
      <c r="P324" s="12">
        <v>110990.34</v>
      </c>
      <c r="Q324" s="12">
        <v>-655371.51</v>
      </c>
      <c r="R324" s="10" t="e">
        <f>VLOOKUP(E324,'IVA COMPRAS'!L:Q,6,0)</f>
        <v>#N/A</v>
      </c>
    </row>
    <row r="325" spans="1:18" s="10" customFormat="1" x14ac:dyDescent="0.3">
      <c r="A325" s="10" t="s">
        <v>820</v>
      </c>
      <c r="B325" s="10" t="s">
        <v>783</v>
      </c>
      <c r="C325" s="11">
        <v>437</v>
      </c>
      <c r="D325" s="11">
        <v>289928</v>
      </c>
      <c r="E325" s="14" t="str">
        <f>CONCATENATE(H325,C325,D325)</f>
        <v>30501092696437289928</v>
      </c>
      <c r="F325" s="11">
        <v>34196566233930</v>
      </c>
      <c r="G325" s="10" t="s">
        <v>778</v>
      </c>
      <c r="H325" s="11">
        <v>30501092696</v>
      </c>
      <c r="I325" s="10" t="s">
        <v>202</v>
      </c>
      <c r="J325" s="11">
        <v>1</v>
      </c>
      <c r="K325" s="10" t="s">
        <v>779</v>
      </c>
      <c r="L325" s="12">
        <v>720319.67</v>
      </c>
      <c r="M325" s="11">
        <v>0</v>
      </c>
      <c r="N325" s="11">
        <v>0</v>
      </c>
      <c r="O325" s="11">
        <v>0</v>
      </c>
      <c r="P325" s="12">
        <v>151267.13</v>
      </c>
      <c r="Q325" s="12">
        <v>-893196.38</v>
      </c>
      <c r="R325" s="10" t="e">
        <f>VLOOKUP(E325,'IVA COMPRAS'!L:Q,6,0)</f>
        <v>#N/A</v>
      </c>
    </row>
    <row r="326" spans="1:18" s="10" customFormat="1" x14ac:dyDescent="0.3">
      <c r="A326" s="10" t="s">
        <v>820</v>
      </c>
      <c r="B326" s="10" t="s">
        <v>783</v>
      </c>
      <c r="C326" s="11">
        <v>437</v>
      </c>
      <c r="D326" s="11">
        <v>289930</v>
      </c>
      <c r="E326" s="14" t="str">
        <f>CONCATENATE(H326,C326,D326)</f>
        <v>30501092696437289930</v>
      </c>
      <c r="F326" s="11">
        <v>34196566233930</v>
      </c>
      <c r="G326" s="10" t="s">
        <v>778</v>
      </c>
      <c r="H326" s="11">
        <v>30501092696</v>
      </c>
      <c r="I326" s="10" t="s">
        <v>202</v>
      </c>
      <c r="J326" s="11">
        <v>1</v>
      </c>
      <c r="K326" s="10" t="s">
        <v>779</v>
      </c>
      <c r="L326" s="12">
        <v>1173052.29</v>
      </c>
      <c r="M326" s="11">
        <v>0</v>
      </c>
      <c r="N326" s="11">
        <v>0</v>
      </c>
      <c r="O326" s="11">
        <v>0</v>
      </c>
      <c r="P326" s="12">
        <v>246340.98</v>
      </c>
      <c r="Q326" s="12">
        <v>-1454584.85</v>
      </c>
      <c r="R326" s="10" t="e">
        <f>VLOOKUP(E326,'IVA COMPRAS'!L:Q,6,0)</f>
        <v>#N/A</v>
      </c>
    </row>
    <row r="327" spans="1:18" s="10" customFormat="1" x14ac:dyDescent="0.3">
      <c r="A327" s="10" t="s">
        <v>820</v>
      </c>
      <c r="B327" s="10" t="s">
        <v>783</v>
      </c>
      <c r="C327" s="11">
        <v>437</v>
      </c>
      <c r="D327" s="11">
        <v>289931</v>
      </c>
      <c r="E327" s="14" t="str">
        <f>CONCATENATE(H327,C327,D327)</f>
        <v>30501092696437289931</v>
      </c>
      <c r="F327" s="11">
        <v>34196566233930</v>
      </c>
      <c r="G327" s="10" t="s">
        <v>778</v>
      </c>
      <c r="H327" s="11">
        <v>30501092696</v>
      </c>
      <c r="I327" s="10" t="s">
        <v>202</v>
      </c>
      <c r="J327" s="11">
        <v>1</v>
      </c>
      <c r="K327" s="10" t="s">
        <v>779</v>
      </c>
      <c r="L327" s="12">
        <v>4744344.8600000003</v>
      </c>
      <c r="M327" s="11">
        <v>0</v>
      </c>
      <c r="N327" s="11">
        <v>0</v>
      </c>
      <c r="O327" s="11">
        <v>0</v>
      </c>
      <c r="P327" s="12">
        <v>996312.42</v>
      </c>
      <c r="Q327" s="12">
        <v>-5882987.6299999999</v>
      </c>
      <c r="R327" s="10" t="e">
        <f>VLOOKUP(E327,'IVA COMPRAS'!L:Q,6,0)</f>
        <v>#N/A</v>
      </c>
    </row>
    <row r="328" spans="1:18" s="10" customFormat="1" hidden="1" x14ac:dyDescent="0.3">
      <c r="A328" s="10" t="s">
        <v>805</v>
      </c>
      <c r="B328" s="10" t="s">
        <v>777</v>
      </c>
      <c r="C328" s="11">
        <v>3</v>
      </c>
      <c r="D328" s="11">
        <v>3816</v>
      </c>
      <c r="E328" s="14" t="str">
        <f>CONCATENATE(H328,C328,D328)</f>
        <v>3071529613233816</v>
      </c>
      <c r="F328" s="11">
        <v>74192368713282</v>
      </c>
      <c r="G328" s="10" t="s">
        <v>778</v>
      </c>
      <c r="H328" s="11">
        <v>30715296132</v>
      </c>
      <c r="I328" s="10" t="s">
        <v>250</v>
      </c>
      <c r="J328" s="11">
        <v>1</v>
      </c>
      <c r="K328" s="10" t="s">
        <v>779</v>
      </c>
      <c r="L328" s="10">
        <v>1834710.8</v>
      </c>
      <c r="M328" s="11">
        <v>0</v>
      </c>
      <c r="N328" s="11">
        <v>0</v>
      </c>
      <c r="O328" s="11">
        <v>0</v>
      </c>
      <c r="P328" s="12">
        <v>385289.27</v>
      </c>
      <c r="Q328" s="12">
        <v>2220000.0699999998</v>
      </c>
      <c r="R328" s="10">
        <f>VLOOKUP(E328,'IVA COMPRAS'!L:Q,6,0)</f>
        <v>2220000.0699999998</v>
      </c>
    </row>
    <row r="329" spans="1:18" s="10" customFormat="1" hidden="1" x14ac:dyDescent="0.3">
      <c r="A329" s="10" t="s">
        <v>834</v>
      </c>
      <c r="B329" s="10" t="s">
        <v>777</v>
      </c>
      <c r="C329" s="11">
        <v>3</v>
      </c>
      <c r="D329" s="11">
        <v>3871</v>
      </c>
      <c r="E329" s="14" t="str">
        <f>CONCATENATE(H329,C329,D329)</f>
        <v>3071529613233871</v>
      </c>
      <c r="F329" s="11">
        <v>74222378016326</v>
      </c>
      <c r="G329" s="10" t="s">
        <v>778</v>
      </c>
      <c r="H329" s="11">
        <v>30715296132</v>
      </c>
      <c r="I329" s="10" t="s">
        <v>250</v>
      </c>
      <c r="J329" s="11">
        <v>1</v>
      </c>
      <c r="K329" s="10" t="s">
        <v>779</v>
      </c>
      <c r="L329" s="10">
        <v>1834710.8</v>
      </c>
      <c r="M329" s="11">
        <v>0</v>
      </c>
      <c r="N329" s="11">
        <v>0</v>
      </c>
      <c r="O329" s="11">
        <v>0</v>
      </c>
      <c r="P329" s="12">
        <v>385289.27</v>
      </c>
      <c r="Q329" s="12">
        <v>2220000.0699999998</v>
      </c>
      <c r="R329" s="10">
        <f>VLOOKUP(E329,'IVA COMPRAS'!L:Q,6,0)</f>
        <v>2220000.0699999998</v>
      </c>
    </row>
    <row r="330" spans="1:18" s="10" customFormat="1" hidden="1" x14ac:dyDescent="0.3">
      <c r="A330" s="10" t="s">
        <v>838</v>
      </c>
      <c r="B330" s="10" t="s">
        <v>783</v>
      </c>
      <c r="C330" s="11">
        <v>3</v>
      </c>
      <c r="D330" s="11">
        <v>132</v>
      </c>
      <c r="E330" s="14" t="str">
        <f>CONCATENATE(H330,C330,D330)</f>
        <v>307152961323132</v>
      </c>
      <c r="F330" s="11">
        <v>74222684285873</v>
      </c>
      <c r="G330" s="10" t="s">
        <v>778</v>
      </c>
      <c r="H330" s="11">
        <v>30715296132</v>
      </c>
      <c r="I330" s="10" t="s">
        <v>250</v>
      </c>
      <c r="J330" s="11">
        <v>1</v>
      </c>
      <c r="K330" s="10" t="s">
        <v>779</v>
      </c>
      <c r="L330" s="12">
        <v>137603.31</v>
      </c>
      <c r="M330" s="11">
        <v>0</v>
      </c>
      <c r="N330" s="11">
        <v>0</v>
      </c>
      <c r="O330" s="11">
        <v>0</v>
      </c>
      <c r="P330" s="10">
        <v>28896.7</v>
      </c>
      <c r="Q330" s="12">
        <v>166500.01</v>
      </c>
      <c r="R330" s="10">
        <f>VLOOKUP(E330,'IVA COMPRAS'!L:Q,6,0)</f>
        <v>-166500.01</v>
      </c>
    </row>
    <row r="331" spans="1:18" s="10" customFormat="1" hidden="1" x14ac:dyDescent="0.3">
      <c r="A331" s="10" t="s">
        <v>785</v>
      </c>
      <c r="B331" s="10" t="s">
        <v>777</v>
      </c>
      <c r="C331" s="11">
        <v>1</v>
      </c>
      <c r="D331" s="11">
        <v>466056</v>
      </c>
      <c r="E331" s="14" t="str">
        <f>CONCATENATE(H331,C331,D331)</f>
        <v>337163077491466056</v>
      </c>
      <c r="F331" s="11">
        <v>74199204134086</v>
      </c>
      <c r="G331" s="10" t="s">
        <v>778</v>
      </c>
      <c r="H331" s="11">
        <v>33716307749</v>
      </c>
      <c r="I331" s="10" t="s">
        <v>113</v>
      </c>
      <c r="J331" s="11">
        <v>1</v>
      </c>
      <c r="K331" s="10" t="s">
        <v>779</v>
      </c>
      <c r="L331" s="12">
        <v>26678.84</v>
      </c>
      <c r="M331" s="11">
        <v>0</v>
      </c>
      <c r="N331" s="11">
        <v>0</v>
      </c>
      <c r="O331" s="11">
        <v>0</v>
      </c>
      <c r="P331" s="12">
        <v>5602.56</v>
      </c>
      <c r="Q331" s="12">
        <v>32814.980000000003</v>
      </c>
      <c r="R331" s="10">
        <f>VLOOKUP(E331,'IVA COMPRAS'!L:Q,6,0)</f>
        <v>32814.980000000003</v>
      </c>
    </row>
    <row r="332" spans="1:18" s="10" customFormat="1" hidden="1" x14ac:dyDescent="0.3">
      <c r="A332" s="10" t="s">
        <v>828</v>
      </c>
      <c r="B332" s="10" t="s">
        <v>777</v>
      </c>
      <c r="C332" s="11">
        <v>43</v>
      </c>
      <c r="D332" s="11">
        <v>296231</v>
      </c>
      <c r="E332" s="14" t="str">
        <f>CONCATENATE(H332,C332,D332)</f>
        <v>3050097982443296231</v>
      </c>
      <c r="F332" s="11">
        <v>34194230028887</v>
      </c>
      <c r="G332" s="10" t="s">
        <v>778</v>
      </c>
      <c r="H332" s="11">
        <v>30500979824</v>
      </c>
      <c r="I332" s="10" t="s">
        <v>829</v>
      </c>
      <c r="J332" s="11">
        <v>1</v>
      </c>
      <c r="K332" s="10" t="s">
        <v>779</v>
      </c>
      <c r="L332" s="12">
        <v>720071.14</v>
      </c>
      <c r="M332" s="11">
        <v>0</v>
      </c>
      <c r="N332" s="11">
        <v>0</v>
      </c>
      <c r="O332" s="11">
        <v>0</v>
      </c>
      <c r="P332" s="12">
        <v>151214.94</v>
      </c>
      <c r="Q332" s="12">
        <v>928891.74</v>
      </c>
      <c r="R332" s="10">
        <f>VLOOKUP(E332,'IVA COMPRAS'!L:Q,6,0)</f>
        <v>928891.74</v>
      </c>
    </row>
    <row r="333" spans="1:18" s="10" customFormat="1" hidden="1" x14ac:dyDescent="0.3">
      <c r="A333" s="10" t="s">
        <v>785</v>
      </c>
      <c r="B333" s="10" t="s">
        <v>784</v>
      </c>
      <c r="C333" s="11">
        <v>3</v>
      </c>
      <c r="D333" s="11">
        <v>5329</v>
      </c>
      <c r="E333" s="14" t="str">
        <f>CONCATENATE(H333,C333,D333)</f>
        <v>2018056301735329</v>
      </c>
      <c r="F333" s="11">
        <v>74187833080068</v>
      </c>
      <c r="G333" s="10" t="s">
        <v>778</v>
      </c>
      <c r="H333" s="11">
        <v>20180563017</v>
      </c>
      <c r="I333" s="10" t="s">
        <v>162</v>
      </c>
      <c r="J333" s="11">
        <v>1</v>
      </c>
      <c r="K333" s="10" t="s">
        <v>779</v>
      </c>
      <c r="O333" s="11">
        <v>0</v>
      </c>
      <c r="Q333" s="11">
        <v>78000</v>
      </c>
      <c r="R333" s="10">
        <f>VLOOKUP(E333,'IVA COMPRAS'!L:Q,6,0)</f>
        <v>78000</v>
      </c>
    </row>
    <row r="334" spans="1:18" s="10" customFormat="1" hidden="1" x14ac:dyDescent="0.3">
      <c r="A334" s="10" t="s">
        <v>820</v>
      </c>
      <c r="B334" s="10" t="s">
        <v>784</v>
      </c>
      <c r="C334" s="11">
        <v>3</v>
      </c>
      <c r="D334" s="11">
        <v>5341</v>
      </c>
      <c r="E334" s="14" t="str">
        <f>CONCATENATE(H334,C334,D334)</f>
        <v>2018056301735341</v>
      </c>
      <c r="F334" s="11">
        <v>74207277253093</v>
      </c>
      <c r="G334" s="10" t="s">
        <v>778</v>
      </c>
      <c r="H334" s="11">
        <v>20180563017</v>
      </c>
      <c r="I334" s="10" t="s">
        <v>162</v>
      </c>
      <c r="J334" s="11">
        <v>1</v>
      </c>
      <c r="K334" s="10" t="s">
        <v>779</v>
      </c>
      <c r="O334" s="11">
        <v>0</v>
      </c>
      <c r="Q334" s="11">
        <v>200000</v>
      </c>
      <c r="R334" s="10">
        <f>VLOOKUP(E334,'IVA COMPRAS'!L:Q,6,0)</f>
        <v>200000</v>
      </c>
    </row>
    <row r="335" spans="1:18" s="10" customFormat="1" hidden="1" x14ac:dyDescent="0.3">
      <c r="A335" s="10" t="s">
        <v>833</v>
      </c>
      <c r="B335" s="10" t="s">
        <v>777</v>
      </c>
      <c r="C335" s="11">
        <v>1</v>
      </c>
      <c r="D335" s="11">
        <v>111</v>
      </c>
      <c r="E335" s="14" t="str">
        <f>CONCATENATE(H335,C335,D335)</f>
        <v>272370246271111</v>
      </c>
      <c r="F335" s="11">
        <v>74217262262860</v>
      </c>
      <c r="G335" s="10" t="s">
        <v>778</v>
      </c>
      <c r="H335" s="11">
        <v>27237024627</v>
      </c>
      <c r="I335" s="10" t="s">
        <v>501</v>
      </c>
      <c r="J335" s="11">
        <v>1</v>
      </c>
      <c r="K335" s="10" t="s">
        <v>779</v>
      </c>
      <c r="L335" s="12">
        <v>376033.05</v>
      </c>
      <c r="M335" s="11">
        <v>0</v>
      </c>
      <c r="N335" s="11">
        <v>0</v>
      </c>
      <c r="O335" s="11">
        <v>0</v>
      </c>
      <c r="P335" s="12">
        <v>78966.94</v>
      </c>
      <c r="Q335" s="11">
        <v>455000</v>
      </c>
      <c r="R335" s="10">
        <f>VLOOKUP(E335,'IVA COMPRAS'!L:Q,6,0)</f>
        <v>455000</v>
      </c>
    </row>
    <row r="336" spans="1:18" s="10" customFormat="1" hidden="1" x14ac:dyDescent="0.3">
      <c r="A336" s="10" t="s">
        <v>831</v>
      </c>
      <c r="B336" s="10" t="s">
        <v>777</v>
      </c>
      <c r="C336" s="11">
        <v>3</v>
      </c>
      <c r="D336" s="11">
        <v>222</v>
      </c>
      <c r="E336" s="14" t="str">
        <f>CONCATENATE(H336,C336,D336)</f>
        <v>202829898253222</v>
      </c>
      <c r="F336" s="11">
        <v>74215031191154</v>
      </c>
      <c r="G336" s="10" t="s">
        <v>778</v>
      </c>
      <c r="H336" s="11">
        <v>20282989825</v>
      </c>
      <c r="I336" s="10" t="s">
        <v>464</v>
      </c>
      <c r="J336" s="11">
        <v>1</v>
      </c>
      <c r="K336" s="10" t="s">
        <v>779</v>
      </c>
      <c r="L336" s="11">
        <v>400452</v>
      </c>
      <c r="M336" s="11">
        <v>0</v>
      </c>
      <c r="N336" s="11">
        <v>0</v>
      </c>
      <c r="O336" s="11">
        <v>0</v>
      </c>
      <c r="P336" s="12">
        <v>84094.92</v>
      </c>
      <c r="Q336" s="12">
        <v>484546.92</v>
      </c>
      <c r="R336" s="10">
        <f>VLOOKUP(E336,'IVA COMPRAS'!L:Q,6,0)</f>
        <v>484546.92</v>
      </c>
    </row>
    <row r="337" spans="1:18" s="10" customFormat="1" hidden="1" x14ac:dyDescent="0.3">
      <c r="A337" s="10" t="s">
        <v>781</v>
      </c>
      <c r="B337" s="10" t="s">
        <v>784</v>
      </c>
      <c r="C337" s="11">
        <v>2</v>
      </c>
      <c r="D337" s="11">
        <v>92</v>
      </c>
      <c r="E337" s="14" t="str">
        <f>CONCATENATE(H337,C337,D337)</f>
        <v>20317431954292</v>
      </c>
      <c r="F337" s="11">
        <v>74184707202184</v>
      </c>
      <c r="G337" s="10" t="s">
        <v>778</v>
      </c>
      <c r="H337" s="11">
        <v>20317431954</v>
      </c>
      <c r="I337" s="10" t="s">
        <v>105</v>
      </c>
      <c r="J337" s="11">
        <v>1</v>
      </c>
      <c r="K337" s="10" t="s">
        <v>779</v>
      </c>
      <c r="O337" s="11">
        <v>0</v>
      </c>
      <c r="Q337" s="11">
        <v>30000</v>
      </c>
      <c r="R337" s="10">
        <f>VLOOKUP(E337,'IVA COMPRAS'!L:Q,6,0)</f>
        <v>30000</v>
      </c>
    </row>
    <row r="338" spans="1:18" s="10" customFormat="1" x14ac:dyDescent="0.3">
      <c r="E338" s="14"/>
    </row>
    <row r="339" spans="1:18" s="10" customFormat="1" x14ac:dyDescent="0.3">
      <c r="E339" s="14"/>
    </row>
    <row r="340" spans="1:18" s="10" customFormat="1" x14ac:dyDescent="0.3">
      <c r="E340" s="14"/>
    </row>
    <row r="341" spans="1:18" s="10" customFormat="1" x14ac:dyDescent="0.3">
      <c r="E341" s="14"/>
    </row>
    <row r="342" spans="1:18" s="10" customFormat="1" x14ac:dyDescent="0.3">
      <c r="E342" s="14"/>
    </row>
    <row r="343" spans="1:18" s="10" customFormat="1" x14ac:dyDescent="0.3">
      <c r="E343" s="14"/>
    </row>
    <row r="344" spans="1:18" s="10" customFormat="1" x14ac:dyDescent="0.3">
      <c r="E344" s="14"/>
    </row>
    <row r="345" spans="1:18" s="10" customFormat="1" x14ac:dyDescent="0.3">
      <c r="E345" s="14"/>
    </row>
    <row r="346" spans="1:18" s="10" customFormat="1" x14ac:dyDescent="0.3">
      <c r="E346" s="14"/>
    </row>
    <row r="347" spans="1:18" s="10" customFormat="1" x14ac:dyDescent="0.3">
      <c r="E347" s="14"/>
    </row>
    <row r="348" spans="1:18" s="10" customFormat="1" x14ac:dyDescent="0.3">
      <c r="E348" s="14"/>
    </row>
    <row r="349" spans="1:18" s="10" customFormat="1" x14ac:dyDescent="0.3">
      <c r="E349" s="14"/>
    </row>
    <row r="350" spans="1:18" s="10" customFormat="1" x14ac:dyDescent="0.3">
      <c r="E350" s="14"/>
    </row>
    <row r="351" spans="1:18" s="10" customFormat="1" x14ac:dyDescent="0.3">
      <c r="E351" s="14"/>
    </row>
    <row r="352" spans="1:18" s="10" customFormat="1" x14ac:dyDescent="0.3">
      <c r="E352" s="14"/>
    </row>
    <row r="353" spans="5:5" s="10" customFormat="1" x14ac:dyDescent="0.3">
      <c r="E353" s="14"/>
    </row>
    <row r="354" spans="5:5" s="10" customFormat="1" x14ac:dyDescent="0.3">
      <c r="E354" s="14"/>
    </row>
    <row r="355" spans="5:5" s="10" customFormat="1" x14ac:dyDescent="0.3">
      <c r="E355" s="14"/>
    </row>
    <row r="356" spans="5:5" s="10" customFormat="1" x14ac:dyDescent="0.3">
      <c r="E356" s="14"/>
    </row>
    <row r="357" spans="5:5" s="10" customFormat="1" x14ac:dyDescent="0.3">
      <c r="E357" s="14"/>
    </row>
    <row r="358" spans="5:5" s="10" customFormat="1" x14ac:dyDescent="0.3">
      <c r="E358" s="14"/>
    </row>
    <row r="359" spans="5:5" s="10" customFormat="1" x14ac:dyDescent="0.3">
      <c r="E359" s="14"/>
    </row>
    <row r="360" spans="5:5" s="10" customFormat="1" x14ac:dyDescent="0.3">
      <c r="E360" s="14"/>
    </row>
    <row r="361" spans="5:5" s="10" customFormat="1" x14ac:dyDescent="0.3">
      <c r="E361" s="14"/>
    </row>
    <row r="362" spans="5:5" s="10" customFormat="1" x14ac:dyDescent="0.3">
      <c r="E362" s="14"/>
    </row>
    <row r="363" spans="5:5" s="10" customFormat="1" x14ac:dyDescent="0.3">
      <c r="E363" s="14"/>
    </row>
    <row r="364" spans="5:5" s="10" customFormat="1" x14ac:dyDescent="0.3">
      <c r="E364" s="14"/>
    </row>
    <row r="365" spans="5:5" s="10" customFormat="1" x14ac:dyDescent="0.3">
      <c r="E365" s="14"/>
    </row>
    <row r="366" spans="5:5" s="10" customFormat="1" x14ac:dyDescent="0.3">
      <c r="E366" s="14"/>
    </row>
    <row r="367" spans="5:5" s="10" customFormat="1" x14ac:dyDescent="0.3">
      <c r="E367" s="14"/>
    </row>
    <row r="368" spans="5:5" s="10" customFormat="1" x14ac:dyDescent="0.3">
      <c r="E368" s="14"/>
    </row>
    <row r="369" spans="5:5" s="10" customFormat="1" x14ac:dyDescent="0.3">
      <c r="E369" s="14"/>
    </row>
    <row r="370" spans="5:5" s="10" customFormat="1" x14ac:dyDescent="0.3">
      <c r="E370" s="14"/>
    </row>
    <row r="371" spans="5:5" s="10" customFormat="1" x14ac:dyDescent="0.3">
      <c r="E371" s="14"/>
    </row>
    <row r="372" spans="5:5" s="10" customFormat="1" x14ac:dyDescent="0.3">
      <c r="E372" s="14"/>
    </row>
    <row r="373" spans="5:5" s="10" customFormat="1" x14ac:dyDescent="0.3">
      <c r="E373" s="14"/>
    </row>
    <row r="374" spans="5:5" s="10" customFormat="1" x14ac:dyDescent="0.3">
      <c r="E374" s="14"/>
    </row>
    <row r="375" spans="5:5" s="10" customFormat="1" x14ac:dyDescent="0.3">
      <c r="E375" s="14"/>
    </row>
    <row r="376" spans="5:5" s="10" customFormat="1" x14ac:dyDescent="0.3">
      <c r="E376" s="14"/>
    </row>
    <row r="377" spans="5:5" s="10" customFormat="1" x14ac:dyDescent="0.3">
      <c r="E377" s="14"/>
    </row>
    <row r="378" spans="5:5" s="10" customFormat="1" x14ac:dyDescent="0.3">
      <c r="E378" s="14"/>
    </row>
    <row r="379" spans="5:5" s="10" customFormat="1" x14ac:dyDescent="0.3">
      <c r="E379" s="14"/>
    </row>
    <row r="380" spans="5:5" s="10" customFormat="1" x14ac:dyDescent="0.3">
      <c r="E380" s="14"/>
    </row>
    <row r="381" spans="5:5" s="10" customFormat="1" x14ac:dyDescent="0.3">
      <c r="E381" s="14"/>
    </row>
    <row r="382" spans="5:5" s="10" customFormat="1" x14ac:dyDescent="0.3">
      <c r="E382" s="14"/>
    </row>
    <row r="383" spans="5:5" s="10" customFormat="1" x14ac:dyDescent="0.3">
      <c r="E383" s="14"/>
    </row>
    <row r="384" spans="5:5" s="10" customFormat="1" x14ac:dyDescent="0.3">
      <c r="E384" s="14"/>
    </row>
    <row r="385" spans="5:5" s="10" customFormat="1" x14ac:dyDescent="0.3">
      <c r="E385" s="14"/>
    </row>
    <row r="386" spans="5:5" s="10" customFormat="1" x14ac:dyDescent="0.3">
      <c r="E386" s="14"/>
    </row>
    <row r="387" spans="5:5" s="10" customFormat="1" x14ac:dyDescent="0.3">
      <c r="E387" s="14"/>
    </row>
    <row r="388" spans="5:5" s="10" customFormat="1" x14ac:dyDescent="0.3">
      <c r="E388" s="14"/>
    </row>
    <row r="389" spans="5:5" s="10" customFormat="1" x14ac:dyDescent="0.3">
      <c r="E389" s="14"/>
    </row>
    <row r="390" spans="5:5" s="10" customFormat="1" x14ac:dyDescent="0.3">
      <c r="E390" s="14"/>
    </row>
    <row r="391" spans="5:5" s="10" customFormat="1" x14ac:dyDescent="0.3">
      <c r="E391" s="14"/>
    </row>
    <row r="392" spans="5:5" s="10" customFormat="1" x14ac:dyDescent="0.3">
      <c r="E392" s="14"/>
    </row>
    <row r="393" spans="5:5" s="10" customFormat="1" x14ac:dyDescent="0.3">
      <c r="E393" s="14"/>
    </row>
    <row r="394" spans="5:5" s="10" customFormat="1" x14ac:dyDescent="0.3">
      <c r="E394" s="14"/>
    </row>
    <row r="395" spans="5:5" s="10" customFormat="1" x14ac:dyDescent="0.3">
      <c r="E395" s="14"/>
    </row>
    <row r="396" spans="5:5" s="10" customFormat="1" x14ac:dyDescent="0.3">
      <c r="E396" s="14"/>
    </row>
    <row r="397" spans="5:5" s="10" customFormat="1" x14ac:dyDescent="0.3">
      <c r="E397" s="14"/>
    </row>
    <row r="398" spans="5:5" s="10" customFormat="1" x14ac:dyDescent="0.3">
      <c r="E398" s="14"/>
    </row>
    <row r="399" spans="5:5" s="10" customFormat="1" x14ac:dyDescent="0.3">
      <c r="E399" s="14"/>
    </row>
    <row r="400" spans="5:5" s="10" customFormat="1" x14ac:dyDescent="0.3">
      <c r="E400" s="14"/>
    </row>
    <row r="401" spans="5:5" s="10" customFormat="1" x14ac:dyDescent="0.3">
      <c r="E401" s="14"/>
    </row>
    <row r="402" spans="5:5" s="10" customFormat="1" x14ac:dyDescent="0.3">
      <c r="E402" s="14"/>
    </row>
    <row r="403" spans="5:5" s="10" customFormat="1" x14ac:dyDescent="0.3">
      <c r="E403" s="14"/>
    </row>
    <row r="404" spans="5:5" s="10" customFormat="1" x14ac:dyDescent="0.3">
      <c r="E404" s="14"/>
    </row>
    <row r="405" spans="5:5" s="10" customFormat="1" x14ac:dyDescent="0.3">
      <c r="E405" s="14"/>
    </row>
    <row r="406" spans="5:5" s="10" customFormat="1" x14ac:dyDescent="0.3">
      <c r="E406" s="14"/>
    </row>
    <row r="407" spans="5:5" s="10" customFormat="1" x14ac:dyDescent="0.3">
      <c r="E407" s="14"/>
    </row>
    <row r="408" spans="5:5" s="10" customFormat="1" x14ac:dyDescent="0.3">
      <c r="E408" s="14"/>
    </row>
    <row r="409" spans="5:5" s="10" customFormat="1" x14ac:dyDescent="0.3">
      <c r="E409" s="14"/>
    </row>
    <row r="410" spans="5:5" s="10" customFormat="1" x14ac:dyDescent="0.3">
      <c r="E410" s="14"/>
    </row>
    <row r="411" spans="5:5" s="10" customFormat="1" x14ac:dyDescent="0.3">
      <c r="E411" s="14"/>
    </row>
    <row r="412" spans="5:5" s="10" customFormat="1" x14ac:dyDescent="0.3">
      <c r="E412" s="14"/>
    </row>
    <row r="413" spans="5:5" s="10" customFormat="1" x14ac:dyDescent="0.3">
      <c r="E413" s="14"/>
    </row>
    <row r="414" spans="5:5" s="10" customFormat="1" x14ac:dyDescent="0.3">
      <c r="E414" s="14"/>
    </row>
    <row r="415" spans="5:5" s="10" customFormat="1" x14ac:dyDescent="0.3">
      <c r="E415" s="14"/>
    </row>
    <row r="416" spans="5:5" s="10" customFormat="1" x14ac:dyDescent="0.3">
      <c r="E416" s="14"/>
    </row>
    <row r="417" spans="5:5" s="10" customFormat="1" x14ac:dyDescent="0.3">
      <c r="E417" s="14"/>
    </row>
    <row r="418" spans="5:5" s="10" customFormat="1" x14ac:dyDescent="0.3">
      <c r="E418" s="14"/>
    </row>
    <row r="419" spans="5:5" s="10" customFormat="1" x14ac:dyDescent="0.3">
      <c r="E419" s="14"/>
    </row>
    <row r="420" spans="5:5" s="10" customFormat="1" x14ac:dyDescent="0.3">
      <c r="E420" s="14"/>
    </row>
    <row r="421" spans="5:5" s="10" customFormat="1" x14ac:dyDescent="0.3">
      <c r="E421" s="14"/>
    </row>
    <row r="422" spans="5:5" s="10" customFormat="1" x14ac:dyDescent="0.3">
      <c r="E422" s="14"/>
    </row>
    <row r="423" spans="5:5" s="10" customFormat="1" x14ac:dyDescent="0.3">
      <c r="E423" s="14"/>
    </row>
    <row r="424" spans="5:5" s="10" customFormat="1" x14ac:dyDescent="0.3">
      <c r="E424" s="14"/>
    </row>
    <row r="425" spans="5:5" s="10" customFormat="1" x14ac:dyDescent="0.3">
      <c r="E425" s="14"/>
    </row>
    <row r="426" spans="5:5" s="10" customFormat="1" x14ac:dyDescent="0.3">
      <c r="E426" s="14"/>
    </row>
    <row r="427" spans="5:5" s="10" customFormat="1" x14ac:dyDescent="0.3">
      <c r="E427" s="14"/>
    </row>
    <row r="428" spans="5:5" s="10" customFormat="1" x14ac:dyDescent="0.3">
      <c r="E428" s="14"/>
    </row>
    <row r="429" spans="5:5" s="10" customFormat="1" x14ac:dyDescent="0.3">
      <c r="E429" s="14"/>
    </row>
    <row r="430" spans="5:5" s="10" customFormat="1" x14ac:dyDescent="0.3">
      <c r="E430" s="14"/>
    </row>
    <row r="431" spans="5:5" s="10" customFormat="1" x14ac:dyDescent="0.3">
      <c r="E431" s="14"/>
    </row>
    <row r="432" spans="5:5" s="10" customFormat="1" x14ac:dyDescent="0.3">
      <c r="E432" s="14"/>
    </row>
    <row r="433" spans="5:5" s="10" customFormat="1" x14ac:dyDescent="0.3">
      <c r="E433" s="14"/>
    </row>
    <row r="434" spans="5:5" s="10" customFormat="1" x14ac:dyDescent="0.3">
      <c r="E434" s="14"/>
    </row>
    <row r="435" spans="5:5" s="10" customFormat="1" x14ac:dyDescent="0.3">
      <c r="E435" s="14"/>
    </row>
    <row r="436" spans="5:5" s="10" customFormat="1" x14ac:dyDescent="0.3">
      <c r="E436" s="14"/>
    </row>
    <row r="437" spans="5:5" s="10" customFormat="1" x14ac:dyDescent="0.3">
      <c r="E437" s="14"/>
    </row>
    <row r="438" spans="5:5" s="10" customFormat="1" x14ac:dyDescent="0.3">
      <c r="E438" s="14"/>
    </row>
    <row r="439" spans="5:5" s="10" customFormat="1" x14ac:dyDescent="0.3">
      <c r="E439" s="14"/>
    </row>
    <row r="440" spans="5:5" s="10" customFormat="1" x14ac:dyDescent="0.3">
      <c r="E440" s="14"/>
    </row>
    <row r="441" spans="5:5" s="10" customFormat="1" x14ac:dyDescent="0.3">
      <c r="E441" s="14"/>
    </row>
    <row r="442" spans="5:5" s="10" customFormat="1" x14ac:dyDescent="0.3">
      <c r="E442" s="14"/>
    </row>
    <row r="443" spans="5:5" s="10" customFormat="1" x14ac:dyDescent="0.3">
      <c r="E443" s="14"/>
    </row>
    <row r="444" spans="5:5" s="10" customFormat="1" x14ac:dyDescent="0.3">
      <c r="E444" s="14"/>
    </row>
    <row r="445" spans="5:5" s="10" customFormat="1" x14ac:dyDescent="0.3">
      <c r="E445" s="14"/>
    </row>
    <row r="446" spans="5:5" s="10" customFormat="1" x14ac:dyDescent="0.3">
      <c r="E446" s="14"/>
    </row>
    <row r="447" spans="5:5" s="10" customFormat="1" x14ac:dyDescent="0.3">
      <c r="E447" s="14"/>
    </row>
    <row r="448" spans="5:5" s="10" customFormat="1" x14ac:dyDescent="0.3">
      <c r="E448" s="14"/>
    </row>
    <row r="449" spans="5:5" s="10" customFormat="1" x14ac:dyDescent="0.3">
      <c r="E449" s="14"/>
    </row>
    <row r="450" spans="5:5" s="10" customFormat="1" x14ac:dyDescent="0.3">
      <c r="E450" s="14"/>
    </row>
    <row r="451" spans="5:5" s="10" customFormat="1" x14ac:dyDescent="0.3">
      <c r="E451" s="14"/>
    </row>
    <row r="452" spans="5:5" s="10" customFormat="1" x14ac:dyDescent="0.3">
      <c r="E452" s="14"/>
    </row>
    <row r="453" spans="5:5" s="10" customFormat="1" x14ac:dyDescent="0.3">
      <c r="E453" s="14"/>
    </row>
    <row r="454" spans="5:5" s="10" customFormat="1" x14ac:dyDescent="0.3">
      <c r="E454" s="14"/>
    </row>
    <row r="455" spans="5:5" s="10" customFormat="1" x14ac:dyDescent="0.3">
      <c r="E455" s="14"/>
    </row>
    <row r="456" spans="5:5" s="10" customFormat="1" x14ac:dyDescent="0.3">
      <c r="E456" s="14"/>
    </row>
    <row r="457" spans="5:5" s="10" customFormat="1" x14ac:dyDescent="0.3">
      <c r="E457" s="14"/>
    </row>
    <row r="458" spans="5:5" s="10" customFormat="1" x14ac:dyDescent="0.3">
      <c r="E458" s="14"/>
    </row>
    <row r="459" spans="5:5" s="10" customFormat="1" x14ac:dyDescent="0.3">
      <c r="E459" s="14"/>
    </row>
    <row r="460" spans="5:5" s="10" customFormat="1" x14ac:dyDescent="0.3">
      <c r="E460" s="14"/>
    </row>
    <row r="461" spans="5:5" s="10" customFormat="1" x14ac:dyDescent="0.3">
      <c r="E461" s="14"/>
    </row>
    <row r="462" spans="5:5" s="10" customFormat="1" x14ac:dyDescent="0.3">
      <c r="E462" s="14"/>
    </row>
    <row r="463" spans="5:5" s="10" customFormat="1" x14ac:dyDescent="0.3">
      <c r="E463" s="14"/>
    </row>
    <row r="464" spans="5:5" s="10" customFormat="1" x14ac:dyDescent="0.3">
      <c r="E464" s="14"/>
    </row>
    <row r="465" spans="5:5" s="10" customFormat="1" x14ac:dyDescent="0.3">
      <c r="E465" s="14"/>
    </row>
    <row r="466" spans="5:5" s="10" customFormat="1" x14ac:dyDescent="0.3">
      <c r="E466" s="14"/>
    </row>
    <row r="467" spans="5:5" s="10" customFormat="1" x14ac:dyDescent="0.3">
      <c r="E467" s="14"/>
    </row>
    <row r="468" spans="5:5" s="10" customFormat="1" x14ac:dyDescent="0.3">
      <c r="E468" s="14"/>
    </row>
    <row r="469" spans="5:5" s="10" customFormat="1" x14ac:dyDescent="0.3">
      <c r="E469" s="14"/>
    </row>
    <row r="470" spans="5:5" s="10" customFormat="1" x14ac:dyDescent="0.3">
      <c r="E470" s="14"/>
    </row>
    <row r="471" spans="5:5" s="10" customFormat="1" x14ac:dyDescent="0.3">
      <c r="E471" s="14"/>
    </row>
    <row r="472" spans="5:5" s="10" customFormat="1" x14ac:dyDescent="0.3">
      <c r="E472" s="14"/>
    </row>
    <row r="473" spans="5:5" s="10" customFormat="1" x14ac:dyDescent="0.3">
      <c r="E473" s="14"/>
    </row>
    <row r="474" spans="5:5" s="10" customFormat="1" x14ac:dyDescent="0.3">
      <c r="E474" s="14"/>
    </row>
    <row r="475" spans="5:5" s="10" customFormat="1" x14ac:dyDescent="0.3">
      <c r="E475" s="14"/>
    </row>
    <row r="476" spans="5:5" s="10" customFormat="1" x14ac:dyDescent="0.3">
      <c r="E476" s="14"/>
    </row>
    <row r="477" spans="5:5" s="10" customFormat="1" x14ac:dyDescent="0.3">
      <c r="E477" s="14"/>
    </row>
    <row r="478" spans="5:5" s="10" customFormat="1" x14ac:dyDescent="0.3">
      <c r="E478" s="14"/>
    </row>
    <row r="479" spans="5:5" s="10" customFormat="1" x14ac:dyDescent="0.3">
      <c r="E479" s="14"/>
    </row>
    <row r="480" spans="5:5" s="10" customFormat="1" x14ac:dyDescent="0.3">
      <c r="E480" s="14"/>
    </row>
    <row r="481" spans="5:5" s="10" customFormat="1" x14ac:dyDescent="0.3">
      <c r="E481" s="14"/>
    </row>
    <row r="482" spans="5:5" s="10" customFormat="1" x14ac:dyDescent="0.3">
      <c r="E482" s="14"/>
    </row>
    <row r="483" spans="5:5" s="10" customFormat="1" x14ac:dyDescent="0.3">
      <c r="E483" s="14"/>
    </row>
    <row r="484" spans="5:5" s="10" customFormat="1" x14ac:dyDescent="0.3">
      <c r="E484" s="14"/>
    </row>
    <row r="485" spans="5:5" s="10" customFormat="1" x14ac:dyDescent="0.3">
      <c r="E485" s="14"/>
    </row>
    <row r="486" spans="5:5" s="10" customFormat="1" x14ac:dyDescent="0.3">
      <c r="E486" s="14"/>
    </row>
    <row r="487" spans="5:5" s="10" customFormat="1" x14ac:dyDescent="0.3">
      <c r="E487" s="14"/>
    </row>
    <row r="488" spans="5:5" s="10" customFormat="1" x14ac:dyDescent="0.3">
      <c r="E488" s="14"/>
    </row>
    <row r="489" spans="5:5" s="10" customFormat="1" x14ac:dyDescent="0.3">
      <c r="E489" s="14"/>
    </row>
    <row r="490" spans="5:5" s="10" customFormat="1" x14ac:dyDescent="0.3">
      <c r="E490" s="14"/>
    </row>
    <row r="491" spans="5:5" s="10" customFormat="1" x14ac:dyDescent="0.3">
      <c r="E491" s="14"/>
    </row>
    <row r="492" spans="5:5" s="10" customFormat="1" x14ac:dyDescent="0.3">
      <c r="E492" s="14"/>
    </row>
    <row r="493" spans="5:5" s="10" customFormat="1" x14ac:dyDescent="0.3">
      <c r="E493" s="14"/>
    </row>
    <row r="494" spans="5:5" s="10" customFormat="1" x14ac:dyDescent="0.3">
      <c r="E494" s="14"/>
    </row>
    <row r="495" spans="5:5" s="10" customFormat="1" x14ac:dyDescent="0.3">
      <c r="E495" s="14"/>
    </row>
    <row r="496" spans="5:5" s="10" customFormat="1" x14ac:dyDescent="0.3">
      <c r="E496" s="14"/>
    </row>
    <row r="497" spans="5:5" s="10" customFormat="1" x14ac:dyDescent="0.3">
      <c r="E497" s="14"/>
    </row>
    <row r="498" spans="5:5" s="10" customFormat="1" x14ac:dyDescent="0.3">
      <c r="E498" s="14"/>
    </row>
    <row r="499" spans="5:5" s="10" customFormat="1" x14ac:dyDescent="0.3">
      <c r="E499" s="14"/>
    </row>
    <row r="500" spans="5:5" s="10" customFormat="1" x14ac:dyDescent="0.3">
      <c r="E500" s="14"/>
    </row>
    <row r="501" spans="5:5" s="10" customFormat="1" x14ac:dyDescent="0.3">
      <c r="E501" s="14"/>
    </row>
    <row r="502" spans="5:5" s="10" customFormat="1" x14ac:dyDescent="0.3">
      <c r="E502" s="14"/>
    </row>
    <row r="503" spans="5:5" s="10" customFormat="1" x14ac:dyDescent="0.3">
      <c r="E503" s="14"/>
    </row>
    <row r="504" spans="5:5" s="10" customFormat="1" x14ac:dyDescent="0.3">
      <c r="E504" s="14"/>
    </row>
    <row r="505" spans="5:5" s="10" customFormat="1" x14ac:dyDescent="0.3">
      <c r="E505" s="14"/>
    </row>
    <row r="506" spans="5:5" s="10" customFormat="1" x14ac:dyDescent="0.3">
      <c r="E506" s="14"/>
    </row>
    <row r="507" spans="5:5" s="10" customFormat="1" x14ac:dyDescent="0.3">
      <c r="E507" s="14"/>
    </row>
    <row r="508" spans="5:5" s="10" customFormat="1" x14ac:dyDescent="0.3">
      <c r="E508" s="14"/>
    </row>
    <row r="509" spans="5:5" s="10" customFormat="1" x14ac:dyDescent="0.3">
      <c r="E509" s="14"/>
    </row>
    <row r="510" spans="5:5" s="10" customFormat="1" x14ac:dyDescent="0.3">
      <c r="E510" s="14"/>
    </row>
    <row r="511" spans="5:5" s="10" customFormat="1" x14ac:dyDescent="0.3">
      <c r="E511" s="14"/>
    </row>
    <row r="512" spans="5:5" s="10" customFormat="1" x14ac:dyDescent="0.3">
      <c r="E512" s="14"/>
    </row>
    <row r="513" spans="5:5" s="10" customFormat="1" x14ac:dyDescent="0.3">
      <c r="E513" s="14"/>
    </row>
    <row r="514" spans="5:5" s="10" customFormat="1" x14ac:dyDescent="0.3">
      <c r="E514" s="14"/>
    </row>
    <row r="515" spans="5:5" s="10" customFormat="1" x14ac:dyDescent="0.3">
      <c r="E515" s="14"/>
    </row>
    <row r="516" spans="5:5" s="10" customFormat="1" x14ac:dyDescent="0.3">
      <c r="E516" s="14"/>
    </row>
    <row r="517" spans="5:5" s="10" customFormat="1" x14ac:dyDescent="0.3">
      <c r="E517" s="14"/>
    </row>
    <row r="518" spans="5:5" s="10" customFormat="1" x14ac:dyDescent="0.3">
      <c r="E518" s="14"/>
    </row>
    <row r="519" spans="5:5" s="10" customFormat="1" x14ac:dyDescent="0.3">
      <c r="E519" s="14"/>
    </row>
    <row r="520" spans="5:5" s="10" customFormat="1" x14ac:dyDescent="0.3">
      <c r="E520" s="14"/>
    </row>
    <row r="521" spans="5:5" s="10" customFormat="1" x14ac:dyDescent="0.3">
      <c r="E521" s="14"/>
    </row>
    <row r="522" spans="5:5" s="10" customFormat="1" x14ac:dyDescent="0.3">
      <c r="E522" s="14"/>
    </row>
    <row r="523" spans="5:5" s="10" customFormat="1" x14ac:dyDescent="0.3">
      <c r="E523" s="14"/>
    </row>
    <row r="524" spans="5:5" s="10" customFormat="1" x14ac:dyDescent="0.3">
      <c r="E524" s="14"/>
    </row>
    <row r="525" spans="5:5" s="10" customFormat="1" x14ac:dyDescent="0.3">
      <c r="E525" s="14"/>
    </row>
    <row r="526" spans="5:5" s="10" customFormat="1" x14ac:dyDescent="0.3">
      <c r="E526" s="14"/>
    </row>
    <row r="527" spans="5:5" s="10" customFormat="1" x14ac:dyDescent="0.3">
      <c r="E527" s="14"/>
    </row>
    <row r="528" spans="5:5" s="10" customFormat="1" x14ac:dyDescent="0.3">
      <c r="E528" s="14"/>
    </row>
    <row r="529" spans="5:5" s="10" customFormat="1" x14ac:dyDescent="0.3">
      <c r="E529" s="14"/>
    </row>
    <row r="530" spans="5:5" s="10" customFormat="1" x14ac:dyDescent="0.3">
      <c r="E530" s="14"/>
    </row>
    <row r="531" spans="5:5" s="10" customFormat="1" x14ac:dyDescent="0.3">
      <c r="E531" s="14"/>
    </row>
    <row r="532" spans="5:5" s="10" customFormat="1" x14ac:dyDescent="0.3">
      <c r="E532" s="14"/>
    </row>
    <row r="533" spans="5:5" s="10" customFormat="1" x14ac:dyDescent="0.3">
      <c r="E533" s="14"/>
    </row>
    <row r="534" spans="5:5" s="10" customFormat="1" x14ac:dyDescent="0.3">
      <c r="E534" s="14"/>
    </row>
    <row r="535" spans="5:5" s="10" customFormat="1" x14ac:dyDescent="0.3">
      <c r="E535" s="14"/>
    </row>
    <row r="536" spans="5:5" s="10" customFormat="1" x14ac:dyDescent="0.3">
      <c r="E536" s="14"/>
    </row>
    <row r="537" spans="5:5" s="10" customFormat="1" x14ac:dyDescent="0.3">
      <c r="E537" s="14"/>
    </row>
    <row r="538" spans="5:5" s="10" customFormat="1" x14ac:dyDescent="0.3">
      <c r="E538" s="14"/>
    </row>
    <row r="539" spans="5:5" s="10" customFormat="1" x14ac:dyDescent="0.3">
      <c r="E539" s="14"/>
    </row>
    <row r="540" spans="5:5" s="10" customFormat="1" x14ac:dyDescent="0.3">
      <c r="E540" s="14"/>
    </row>
    <row r="541" spans="5:5" s="10" customFormat="1" x14ac:dyDescent="0.3">
      <c r="E541" s="14"/>
    </row>
    <row r="542" spans="5:5" s="10" customFormat="1" x14ac:dyDescent="0.3">
      <c r="E542" s="14"/>
    </row>
    <row r="543" spans="5:5" s="10" customFormat="1" x14ac:dyDescent="0.3">
      <c r="E543" s="14"/>
    </row>
    <row r="544" spans="5:5" s="10" customFormat="1" x14ac:dyDescent="0.3">
      <c r="E544" s="14"/>
    </row>
    <row r="545" spans="5:5" s="10" customFormat="1" x14ac:dyDescent="0.3">
      <c r="E545" s="14"/>
    </row>
    <row r="546" spans="5:5" s="10" customFormat="1" x14ac:dyDescent="0.3">
      <c r="E546" s="14"/>
    </row>
    <row r="547" spans="5:5" s="10" customFormat="1" x14ac:dyDescent="0.3">
      <c r="E547" s="14"/>
    </row>
    <row r="548" spans="5:5" s="10" customFormat="1" x14ac:dyDescent="0.3">
      <c r="E548" s="14"/>
    </row>
    <row r="549" spans="5:5" s="10" customFormat="1" x14ac:dyDescent="0.3">
      <c r="E549" s="14"/>
    </row>
    <row r="550" spans="5:5" s="10" customFormat="1" x14ac:dyDescent="0.3">
      <c r="E550" s="14"/>
    </row>
    <row r="551" spans="5:5" s="10" customFormat="1" x14ac:dyDescent="0.3">
      <c r="E551" s="14"/>
    </row>
    <row r="552" spans="5:5" s="10" customFormat="1" x14ac:dyDescent="0.3">
      <c r="E552" s="14"/>
    </row>
    <row r="553" spans="5:5" s="10" customFormat="1" x14ac:dyDescent="0.3">
      <c r="E553" s="14"/>
    </row>
    <row r="554" spans="5:5" s="10" customFormat="1" x14ac:dyDescent="0.3">
      <c r="E554" s="14"/>
    </row>
    <row r="555" spans="5:5" s="10" customFormat="1" x14ac:dyDescent="0.3">
      <c r="E555" s="14"/>
    </row>
    <row r="556" spans="5:5" s="10" customFormat="1" x14ac:dyDescent="0.3">
      <c r="E556" s="14"/>
    </row>
    <row r="557" spans="5:5" s="10" customFormat="1" x14ac:dyDescent="0.3">
      <c r="E557" s="14"/>
    </row>
    <row r="558" spans="5:5" s="10" customFormat="1" x14ac:dyDescent="0.3">
      <c r="E558" s="14"/>
    </row>
    <row r="559" spans="5:5" s="10" customFormat="1" x14ac:dyDescent="0.3">
      <c r="E559" s="14"/>
    </row>
    <row r="560" spans="5:5" s="10" customFormat="1" x14ac:dyDescent="0.3">
      <c r="E560" s="14"/>
    </row>
    <row r="561" spans="5:5" s="10" customFormat="1" x14ac:dyDescent="0.3">
      <c r="E561" s="14"/>
    </row>
    <row r="562" spans="5:5" s="10" customFormat="1" x14ac:dyDescent="0.3">
      <c r="E562" s="14"/>
    </row>
    <row r="563" spans="5:5" s="10" customFormat="1" x14ac:dyDescent="0.3">
      <c r="E563" s="14"/>
    </row>
    <row r="564" spans="5:5" s="10" customFormat="1" x14ac:dyDescent="0.3">
      <c r="E564" s="14"/>
    </row>
    <row r="565" spans="5:5" s="10" customFormat="1" x14ac:dyDescent="0.3">
      <c r="E565" s="14"/>
    </row>
    <row r="566" spans="5:5" s="10" customFormat="1" x14ac:dyDescent="0.3">
      <c r="E566" s="14"/>
    </row>
    <row r="567" spans="5:5" s="10" customFormat="1" x14ac:dyDescent="0.3">
      <c r="E567" s="14"/>
    </row>
    <row r="568" spans="5:5" s="10" customFormat="1" x14ac:dyDescent="0.3">
      <c r="E568" s="14"/>
    </row>
    <row r="569" spans="5:5" s="10" customFormat="1" x14ac:dyDescent="0.3">
      <c r="E569" s="14"/>
    </row>
    <row r="570" spans="5:5" s="10" customFormat="1" x14ac:dyDescent="0.3">
      <c r="E570" s="14"/>
    </row>
    <row r="571" spans="5:5" s="10" customFormat="1" x14ac:dyDescent="0.3">
      <c r="E571" s="14"/>
    </row>
    <row r="572" spans="5:5" s="10" customFormat="1" x14ac:dyDescent="0.3">
      <c r="E572" s="14"/>
    </row>
    <row r="573" spans="5:5" s="10" customFormat="1" x14ac:dyDescent="0.3">
      <c r="E573" s="14"/>
    </row>
    <row r="574" spans="5:5" s="10" customFormat="1" x14ac:dyDescent="0.3">
      <c r="E574" s="14"/>
    </row>
    <row r="575" spans="5:5" s="10" customFormat="1" x14ac:dyDescent="0.3">
      <c r="E575" s="14"/>
    </row>
    <row r="576" spans="5:5" s="10" customFormat="1" x14ac:dyDescent="0.3">
      <c r="E576" s="14"/>
    </row>
    <row r="577" spans="5:5" s="10" customFormat="1" x14ac:dyDescent="0.3">
      <c r="E577" s="14"/>
    </row>
    <row r="578" spans="5:5" s="10" customFormat="1" x14ac:dyDescent="0.3">
      <c r="E578" s="14"/>
    </row>
    <row r="579" spans="5:5" s="10" customFormat="1" x14ac:dyDescent="0.3">
      <c r="E579" s="14"/>
    </row>
    <row r="580" spans="5:5" s="10" customFormat="1" x14ac:dyDescent="0.3">
      <c r="E580" s="14"/>
    </row>
    <row r="581" spans="5:5" s="10" customFormat="1" x14ac:dyDescent="0.3">
      <c r="E581" s="14"/>
    </row>
    <row r="582" spans="5:5" s="10" customFormat="1" x14ac:dyDescent="0.3">
      <c r="E582" s="14"/>
    </row>
    <row r="583" spans="5:5" s="10" customFormat="1" x14ac:dyDescent="0.3">
      <c r="E583" s="14"/>
    </row>
    <row r="584" spans="5:5" s="10" customFormat="1" x14ac:dyDescent="0.3">
      <c r="E584" s="14"/>
    </row>
    <row r="585" spans="5:5" s="10" customFormat="1" x14ac:dyDescent="0.3">
      <c r="E585" s="14"/>
    </row>
    <row r="586" spans="5:5" s="10" customFormat="1" x14ac:dyDescent="0.3">
      <c r="E586" s="14"/>
    </row>
    <row r="587" spans="5:5" s="10" customFormat="1" x14ac:dyDescent="0.3">
      <c r="E587" s="14"/>
    </row>
    <row r="588" spans="5:5" s="10" customFormat="1" x14ac:dyDescent="0.3">
      <c r="E588" s="14"/>
    </row>
    <row r="589" spans="5:5" s="10" customFormat="1" x14ac:dyDescent="0.3">
      <c r="E589" s="14"/>
    </row>
    <row r="590" spans="5:5" s="10" customFormat="1" x14ac:dyDescent="0.3">
      <c r="E590" s="14"/>
    </row>
    <row r="591" spans="5:5" s="10" customFormat="1" x14ac:dyDescent="0.3">
      <c r="E591" s="14"/>
    </row>
    <row r="592" spans="5:5" s="10" customFormat="1" x14ac:dyDescent="0.3">
      <c r="E592" s="14"/>
    </row>
    <row r="593" spans="5:5" s="10" customFormat="1" x14ac:dyDescent="0.3">
      <c r="E593" s="14"/>
    </row>
    <row r="594" spans="5:5" s="10" customFormat="1" x14ac:dyDescent="0.3">
      <c r="E594" s="14"/>
    </row>
    <row r="595" spans="5:5" s="10" customFormat="1" x14ac:dyDescent="0.3">
      <c r="E595" s="14"/>
    </row>
    <row r="596" spans="5:5" s="10" customFormat="1" x14ac:dyDescent="0.3">
      <c r="E596" s="14"/>
    </row>
    <row r="597" spans="5:5" s="10" customFormat="1" x14ac:dyDescent="0.3">
      <c r="E597" s="14"/>
    </row>
    <row r="598" spans="5:5" s="10" customFormat="1" x14ac:dyDescent="0.3">
      <c r="E598" s="14"/>
    </row>
    <row r="599" spans="5:5" s="10" customFormat="1" x14ac:dyDescent="0.3">
      <c r="E599" s="14"/>
    </row>
    <row r="600" spans="5:5" s="10" customFormat="1" x14ac:dyDescent="0.3">
      <c r="E600" s="14"/>
    </row>
    <row r="601" spans="5:5" s="10" customFormat="1" x14ac:dyDescent="0.3">
      <c r="E601" s="14"/>
    </row>
    <row r="602" spans="5:5" s="10" customFormat="1" x14ac:dyDescent="0.3">
      <c r="E602" s="14"/>
    </row>
    <row r="603" spans="5:5" s="10" customFormat="1" x14ac:dyDescent="0.3">
      <c r="E603" s="14"/>
    </row>
    <row r="604" spans="5:5" s="10" customFormat="1" x14ac:dyDescent="0.3">
      <c r="E604" s="14"/>
    </row>
    <row r="605" spans="5:5" s="10" customFormat="1" x14ac:dyDescent="0.3">
      <c r="E605" s="14"/>
    </row>
    <row r="606" spans="5:5" s="10" customFormat="1" x14ac:dyDescent="0.3">
      <c r="E606" s="14"/>
    </row>
    <row r="607" spans="5:5" s="10" customFormat="1" x14ac:dyDescent="0.3">
      <c r="E607" s="14"/>
    </row>
    <row r="608" spans="5:5" s="10" customFormat="1" x14ac:dyDescent="0.3">
      <c r="E608" s="14"/>
    </row>
    <row r="609" spans="5:5" s="10" customFormat="1" x14ac:dyDescent="0.3">
      <c r="E609" s="14"/>
    </row>
    <row r="610" spans="5:5" s="10" customFormat="1" x14ac:dyDescent="0.3">
      <c r="E610" s="14"/>
    </row>
    <row r="611" spans="5:5" s="10" customFormat="1" x14ac:dyDescent="0.3">
      <c r="E611" s="14"/>
    </row>
    <row r="612" spans="5:5" s="10" customFormat="1" x14ac:dyDescent="0.3">
      <c r="E612" s="14"/>
    </row>
    <row r="613" spans="5:5" s="10" customFormat="1" x14ac:dyDescent="0.3">
      <c r="E613" s="14"/>
    </row>
    <row r="614" spans="5:5" s="10" customFormat="1" x14ac:dyDescent="0.3">
      <c r="E614" s="14"/>
    </row>
    <row r="615" spans="5:5" s="10" customFormat="1" x14ac:dyDescent="0.3">
      <c r="E615" s="14"/>
    </row>
    <row r="616" spans="5:5" s="10" customFormat="1" x14ac:dyDescent="0.3">
      <c r="E616" s="14"/>
    </row>
    <row r="617" spans="5:5" s="10" customFormat="1" x14ac:dyDescent="0.3">
      <c r="E617" s="14"/>
    </row>
    <row r="618" spans="5:5" s="10" customFormat="1" x14ac:dyDescent="0.3">
      <c r="E618" s="14"/>
    </row>
    <row r="619" spans="5:5" s="10" customFormat="1" x14ac:dyDescent="0.3">
      <c r="E619" s="14"/>
    </row>
    <row r="620" spans="5:5" s="10" customFormat="1" x14ac:dyDescent="0.3">
      <c r="E620" s="14"/>
    </row>
    <row r="621" spans="5:5" s="10" customFormat="1" x14ac:dyDescent="0.3">
      <c r="E621" s="14"/>
    </row>
    <row r="622" spans="5:5" s="10" customFormat="1" x14ac:dyDescent="0.3">
      <c r="E622" s="14"/>
    </row>
    <row r="623" spans="5:5" s="10" customFormat="1" x14ac:dyDescent="0.3">
      <c r="E623" s="14"/>
    </row>
    <row r="624" spans="5:5" s="10" customFormat="1" x14ac:dyDescent="0.3">
      <c r="E624" s="14"/>
    </row>
    <row r="625" spans="5:5" s="10" customFormat="1" x14ac:dyDescent="0.3">
      <c r="E625" s="14"/>
    </row>
    <row r="626" spans="5:5" s="10" customFormat="1" x14ac:dyDescent="0.3">
      <c r="E626" s="14"/>
    </row>
    <row r="627" spans="5:5" s="10" customFormat="1" x14ac:dyDescent="0.3">
      <c r="E627" s="14"/>
    </row>
    <row r="628" spans="5:5" s="10" customFormat="1" x14ac:dyDescent="0.3">
      <c r="E628" s="14"/>
    </row>
    <row r="629" spans="5:5" s="10" customFormat="1" x14ac:dyDescent="0.3">
      <c r="E629" s="14"/>
    </row>
    <row r="630" spans="5:5" s="10" customFormat="1" x14ac:dyDescent="0.3">
      <c r="E630" s="14"/>
    </row>
    <row r="631" spans="5:5" s="10" customFormat="1" x14ac:dyDescent="0.3">
      <c r="E631" s="14"/>
    </row>
    <row r="632" spans="5:5" s="10" customFormat="1" x14ac:dyDescent="0.3">
      <c r="E632" s="14"/>
    </row>
    <row r="633" spans="5:5" s="10" customFormat="1" x14ac:dyDescent="0.3">
      <c r="E633" s="14"/>
    </row>
    <row r="634" spans="5:5" s="10" customFormat="1" x14ac:dyDescent="0.3">
      <c r="E634" s="14"/>
    </row>
    <row r="635" spans="5:5" s="10" customFormat="1" x14ac:dyDescent="0.3">
      <c r="E635" s="14"/>
    </row>
    <row r="636" spans="5:5" s="10" customFormat="1" x14ac:dyDescent="0.3">
      <c r="E636" s="14"/>
    </row>
    <row r="637" spans="5:5" s="10" customFormat="1" x14ac:dyDescent="0.3">
      <c r="E637" s="14"/>
    </row>
    <row r="638" spans="5:5" s="10" customFormat="1" x14ac:dyDescent="0.3">
      <c r="E638" s="14"/>
    </row>
    <row r="639" spans="5:5" s="10" customFormat="1" x14ac:dyDescent="0.3">
      <c r="E639" s="14"/>
    </row>
    <row r="640" spans="5:5" s="10" customFormat="1" x14ac:dyDescent="0.3">
      <c r="E640" s="14"/>
    </row>
    <row r="641" spans="5:5" s="10" customFormat="1" x14ac:dyDescent="0.3">
      <c r="E641" s="14"/>
    </row>
    <row r="642" spans="5:5" s="10" customFormat="1" x14ac:dyDescent="0.3">
      <c r="E642" s="14"/>
    </row>
    <row r="643" spans="5:5" s="10" customFormat="1" x14ac:dyDescent="0.3">
      <c r="E643" s="14"/>
    </row>
    <row r="644" spans="5:5" s="10" customFormat="1" x14ac:dyDescent="0.3">
      <c r="E644" s="14"/>
    </row>
    <row r="645" spans="5:5" s="10" customFormat="1" x14ac:dyDescent="0.3">
      <c r="E645" s="14"/>
    </row>
    <row r="646" spans="5:5" s="10" customFormat="1" x14ac:dyDescent="0.3">
      <c r="E646" s="14"/>
    </row>
    <row r="647" spans="5:5" s="10" customFormat="1" x14ac:dyDescent="0.3">
      <c r="E647" s="14"/>
    </row>
    <row r="648" spans="5:5" s="10" customFormat="1" x14ac:dyDescent="0.3">
      <c r="E648" s="14"/>
    </row>
    <row r="649" spans="5:5" s="10" customFormat="1" x14ac:dyDescent="0.3">
      <c r="E649" s="14"/>
    </row>
    <row r="650" spans="5:5" s="10" customFormat="1" x14ac:dyDescent="0.3">
      <c r="E650" s="14"/>
    </row>
    <row r="651" spans="5:5" s="10" customFormat="1" x14ac:dyDescent="0.3">
      <c r="E651" s="14"/>
    </row>
    <row r="652" spans="5:5" s="10" customFormat="1" x14ac:dyDescent="0.3">
      <c r="E652" s="14"/>
    </row>
    <row r="653" spans="5:5" s="10" customFormat="1" x14ac:dyDescent="0.3">
      <c r="E653" s="14"/>
    </row>
    <row r="654" spans="5:5" s="10" customFormat="1" x14ac:dyDescent="0.3">
      <c r="E654" s="14"/>
    </row>
    <row r="655" spans="5:5" s="10" customFormat="1" x14ac:dyDescent="0.3">
      <c r="E655" s="14"/>
    </row>
    <row r="656" spans="5:5" s="10" customFormat="1" x14ac:dyDescent="0.3">
      <c r="E656" s="14"/>
    </row>
    <row r="657" spans="5:5" s="10" customFormat="1" x14ac:dyDescent="0.3">
      <c r="E657" s="14"/>
    </row>
    <row r="658" spans="5:5" s="10" customFormat="1" x14ac:dyDescent="0.3">
      <c r="E658" s="14"/>
    </row>
    <row r="659" spans="5:5" s="10" customFormat="1" x14ac:dyDescent="0.3">
      <c r="E659" s="14"/>
    </row>
    <row r="660" spans="5:5" s="10" customFormat="1" x14ac:dyDescent="0.3">
      <c r="E660" s="14"/>
    </row>
    <row r="661" spans="5:5" s="10" customFormat="1" x14ac:dyDescent="0.3">
      <c r="E661" s="14"/>
    </row>
    <row r="662" spans="5:5" s="10" customFormat="1" x14ac:dyDescent="0.3">
      <c r="E662" s="14"/>
    </row>
    <row r="663" spans="5:5" s="10" customFormat="1" x14ac:dyDescent="0.3">
      <c r="E663" s="14"/>
    </row>
    <row r="664" spans="5:5" s="10" customFormat="1" x14ac:dyDescent="0.3">
      <c r="E664" s="14"/>
    </row>
    <row r="665" spans="5:5" s="10" customFormat="1" x14ac:dyDescent="0.3">
      <c r="E665" s="14"/>
    </row>
    <row r="666" spans="5:5" s="10" customFormat="1" x14ac:dyDescent="0.3">
      <c r="E666" s="14"/>
    </row>
    <row r="667" spans="5:5" s="10" customFormat="1" x14ac:dyDescent="0.3">
      <c r="E667" s="14"/>
    </row>
    <row r="668" spans="5:5" s="10" customFormat="1" x14ac:dyDescent="0.3">
      <c r="E668" s="14"/>
    </row>
    <row r="669" spans="5:5" s="10" customFormat="1" x14ac:dyDescent="0.3">
      <c r="E669" s="14"/>
    </row>
    <row r="670" spans="5:5" s="10" customFormat="1" x14ac:dyDescent="0.3">
      <c r="E670" s="14"/>
    </row>
    <row r="671" spans="5:5" s="10" customFormat="1" x14ac:dyDescent="0.3">
      <c r="E671" s="14"/>
    </row>
    <row r="672" spans="5:5" s="10" customFormat="1" x14ac:dyDescent="0.3">
      <c r="E672" s="14"/>
    </row>
    <row r="673" spans="5:5" s="10" customFormat="1" x14ac:dyDescent="0.3">
      <c r="E673" s="14"/>
    </row>
    <row r="674" spans="5:5" s="10" customFormat="1" x14ac:dyDescent="0.3">
      <c r="E674" s="14"/>
    </row>
    <row r="675" spans="5:5" s="10" customFormat="1" x14ac:dyDescent="0.3">
      <c r="E675" s="14"/>
    </row>
    <row r="676" spans="5:5" s="10" customFormat="1" x14ac:dyDescent="0.3">
      <c r="E676" s="14"/>
    </row>
    <row r="677" spans="5:5" s="10" customFormat="1" x14ac:dyDescent="0.3">
      <c r="E677" s="14"/>
    </row>
    <row r="678" spans="5:5" s="10" customFormat="1" x14ac:dyDescent="0.3">
      <c r="E678" s="14"/>
    </row>
    <row r="679" spans="5:5" s="10" customFormat="1" x14ac:dyDescent="0.3">
      <c r="E679" s="14"/>
    </row>
    <row r="680" spans="5:5" s="10" customFormat="1" x14ac:dyDescent="0.3">
      <c r="E680" s="14"/>
    </row>
    <row r="681" spans="5:5" s="10" customFormat="1" x14ac:dyDescent="0.3">
      <c r="E681" s="14"/>
    </row>
    <row r="682" spans="5:5" s="10" customFormat="1" x14ac:dyDescent="0.3">
      <c r="E682" s="14"/>
    </row>
    <row r="683" spans="5:5" s="10" customFormat="1" x14ac:dyDescent="0.3">
      <c r="E683" s="14"/>
    </row>
    <row r="684" spans="5:5" s="10" customFormat="1" x14ac:dyDescent="0.3">
      <c r="E684" s="14"/>
    </row>
    <row r="685" spans="5:5" s="10" customFormat="1" x14ac:dyDescent="0.3">
      <c r="E685" s="14"/>
    </row>
    <row r="686" spans="5:5" s="10" customFormat="1" x14ac:dyDescent="0.3">
      <c r="E686" s="14"/>
    </row>
    <row r="687" spans="5:5" s="10" customFormat="1" x14ac:dyDescent="0.3">
      <c r="E687" s="14"/>
    </row>
    <row r="688" spans="5:5" s="10" customFormat="1" x14ac:dyDescent="0.3">
      <c r="E688" s="14"/>
    </row>
    <row r="689" spans="5:5" s="10" customFormat="1" x14ac:dyDescent="0.3">
      <c r="E689" s="14"/>
    </row>
    <row r="690" spans="5:5" s="10" customFormat="1" x14ac:dyDescent="0.3">
      <c r="E690" s="14"/>
    </row>
    <row r="691" spans="5:5" s="10" customFormat="1" x14ac:dyDescent="0.3">
      <c r="E691" s="14"/>
    </row>
    <row r="692" spans="5:5" s="10" customFormat="1" x14ac:dyDescent="0.3">
      <c r="E692" s="14"/>
    </row>
    <row r="693" spans="5:5" s="10" customFormat="1" x14ac:dyDescent="0.3">
      <c r="E693" s="14"/>
    </row>
    <row r="694" spans="5:5" s="10" customFormat="1" x14ac:dyDescent="0.3">
      <c r="E694" s="14"/>
    </row>
    <row r="695" spans="5:5" s="10" customFormat="1" x14ac:dyDescent="0.3">
      <c r="E695" s="14"/>
    </row>
    <row r="696" spans="5:5" s="10" customFormat="1" x14ac:dyDescent="0.3">
      <c r="E696" s="14"/>
    </row>
    <row r="697" spans="5:5" s="10" customFormat="1" x14ac:dyDescent="0.3">
      <c r="E697" s="14"/>
    </row>
    <row r="698" spans="5:5" s="10" customFormat="1" x14ac:dyDescent="0.3">
      <c r="E698" s="14"/>
    </row>
    <row r="699" spans="5:5" s="10" customFormat="1" x14ac:dyDescent="0.3">
      <c r="E699" s="14"/>
    </row>
    <row r="700" spans="5:5" s="10" customFormat="1" x14ac:dyDescent="0.3">
      <c r="E700" s="14"/>
    </row>
    <row r="701" spans="5:5" s="10" customFormat="1" x14ac:dyDescent="0.3">
      <c r="E701" s="14"/>
    </row>
    <row r="702" spans="5:5" s="10" customFormat="1" x14ac:dyDescent="0.3">
      <c r="E702" s="14"/>
    </row>
    <row r="703" spans="5:5" s="10" customFormat="1" x14ac:dyDescent="0.3">
      <c r="E703" s="14"/>
    </row>
    <row r="704" spans="5:5" s="10" customFormat="1" x14ac:dyDescent="0.3">
      <c r="E704" s="14"/>
    </row>
    <row r="705" spans="5:5" s="10" customFormat="1" x14ac:dyDescent="0.3">
      <c r="E705" s="14"/>
    </row>
    <row r="706" spans="5:5" s="10" customFormat="1" x14ac:dyDescent="0.3">
      <c r="E706" s="14"/>
    </row>
    <row r="707" spans="5:5" s="10" customFormat="1" x14ac:dyDescent="0.3">
      <c r="E707" s="14"/>
    </row>
    <row r="708" spans="5:5" s="10" customFormat="1" x14ac:dyDescent="0.3">
      <c r="E708" s="14"/>
    </row>
    <row r="709" spans="5:5" s="10" customFormat="1" x14ac:dyDescent="0.3">
      <c r="E709" s="14"/>
    </row>
    <row r="710" spans="5:5" s="10" customFormat="1" x14ac:dyDescent="0.3">
      <c r="E710" s="14"/>
    </row>
    <row r="711" spans="5:5" s="10" customFormat="1" x14ac:dyDescent="0.3">
      <c r="E711" s="14"/>
    </row>
    <row r="712" spans="5:5" s="10" customFormat="1" x14ac:dyDescent="0.3">
      <c r="E712" s="14"/>
    </row>
    <row r="713" spans="5:5" s="10" customFormat="1" x14ac:dyDescent="0.3">
      <c r="E713" s="14"/>
    </row>
    <row r="714" spans="5:5" s="10" customFormat="1" x14ac:dyDescent="0.3">
      <c r="E714" s="14"/>
    </row>
    <row r="715" spans="5:5" s="10" customFormat="1" x14ac:dyDescent="0.3">
      <c r="E715" s="14"/>
    </row>
    <row r="716" spans="5:5" s="10" customFormat="1" x14ac:dyDescent="0.3">
      <c r="E716" s="14"/>
    </row>
    <row r="717" spans="5:5" s="10" customFormat="1" x14ac:dyDescent="0.3">
      <c r="E717" s="14"/>
    </row>
    <row r="718" spans="5:5" s="10" customFormat="1" x14ac:dyDescent="0.3">
      <c r="E718" s="14"/>
    </row>
    <row r="719" spans="5:5" s="10" customFormat="1" x14ac:dyDescent="0.3">
      <c r="E719" s="14"/>
    </row>
    <row r="720" spans="5:5" s="10" customFormat="1" x14ac:dyDescent="0.3">
      <c r="E720" s="14"/>
    </row>
    <row r="721" spans="5:5" s="10" customFormat="1" x14ac:dyDescent="0.3">
      <c r="E721" s="14"/>
    </row>
    <row r="722" spans="5:5" s="10" customFormat="1" x14ac:dyDescent="0.3">
      <c r="E722" s="14"/>
    </row>
    <row r="723" spans="5:5" s="10" customFormat="1" x14ac:dyDescent="0.3">
      <c r="E723" s="14"/>
    </row>
    <row r="724" spans="5:5" s="10" customFormat="1" x14ac:dyDescent="0.3">
      <c r="E724" s="14"/>
    </row>
    <row r="725" spans="5:5" s="10" customFormat="1" x14ac:dyDescent="0.3">
      <c r="E725" s="14"/>
    </row>
    <row r="726" spans="5:5" s="10" customFormat="1" x14ac:dyDescent="0.3">
      <c r="E726" s="14"/>
    </row>
    <row r="727" spans="5:5" s="10" customFormat="1" x14ac:dyDescent="0.3">
      <c r="E727" s="14"/>
    </row>
    <row r="728" spans="5:5" s="10" customFormat="1" x14ac:dyDescent="0.3">
      <c r="E728" s="14"/>
    </row>
    <row r="729" spans="5:5" s="10" customFormat="1" x14ac:dyDescent="0.3">
      <c r="E729" s="14"/>
    </row>
    <row r="730" spans="5:5" s="10" customFormat="1" x14ac:dyDescent="0.3">
      <c r="E730" s="14"/>
    </row>
    <row r="731" spans="5:5" s="10" customFormat="1" x14ac:dyDescent="0.3">
      <c r="E731" s="14"/>
    </row>
    <row r="732" spans="5:5" s="10" customFormat="1" x14ac:dyDescent="0.3">
      <c r="E732" s="14"/>
    </row>
    <row r="733" spans="5:5" s="10" customFormat="1" x14ac:dyDescent="0.3">
      <c r="E733" s="14"/>
    </row>
    <row r="734" spans="5:5" s="10" customFormat="1" x14ac:dyDescent="0.3">
      <c r="E734" s="14"/>
    </row>
    <row r="735" spans="5:5" s="10" customFormat="1" x14ac:dyDescent="0.3">
      <c r="E735" s="14"/>
    </row>
    <row r="736" spans="5:5" s="10" customFormat="1" x14ac:dyDescent="0.3">
      <c r="E736" s="14"/>
    </row>
    <row r="737" spans="5:5" s="10" customFormat="1" x14ac:dyDescent="0.3">
      <c r="E737" s="14"/>
    </row>
    <row r="738" spans="5:5" s="10" customFormat="1" x14ac:dyDescent="0.3">
      <c r="E738" s="14"/>
    </row>
    <row r="739" spans="5:5" s="10" customFormat="1" x14ac:dyDescent="0.3">
      <c r="E739" s="14"/>
    </row>
    <row r="740" spans="5:5" s="10" customFormat="1" x14ac:dyDescent="0.3">
      <c r="E740" s="14"/>
    </row>
    <row r="741" spans="5:5" s="10" customFormat="1" x14ac:dyDescent="0.3">
      <c r="E741" s="14"/>
    </row>
    <row r="742" spans="5:5" s="10" customFormat="1" x14ac:dyDescent="0.3">
      <c r="E742" s="14"/>
    </row>
    <row r="743" spans="5:5" s="10" customFormat="1" x14ac:dyDescent="0.3">
      <c r="E743" s="14"/>
    </row>
    <row r="744" spans="5:5" s="10" customFormat="1" x14ac:dyDescent="0.3">
      <c r="E744" s="14"/>
    </row>
    <row r="745" spans="5:5" s="10" customFormat="1" x14ac:dyDescent="0.3">
      <c r="E745" s="14"/>
    </row>
    <row r="746" spans="5:5" s="10" customFormat="1" x14ac:dyDescent="0.3">
      <c r="E746" s="14"/>
    </row>
    <row r="747" spans="5:5" s="10" customFormat="1" x14ac:dyDescent="0.3">
      <c r="E747" s="14"/>
    </row>
    <row r="748" spans="5:5" s="10" customFormat="1" x14ac:dyDescent="0.3">
      <c r="E748" s="14"/>
    </row>
    <row r="749" spans="5:5" s="10" customFormat="1" x14ac:dyDescent="0.3">
      <c r="E749" s="14"/>
    </row>
    <row r="750" spans="5:5" s="10" customFormat="1" x14ac:dyDescent="0.3">
      <c r="E750" s="14"/>
    </row>
    <row r="751" spans="5:5" s="10" customFormat="1" x14ac:dyDescent="0.3">
      <c r="E751" s="14"/>
    </row>
    <row r="752" spans="5:5" s="10" customFormat="1" x14ac:dyDescent="0.3">
      <c r="E752" s="14"/>
    </row>
    <row r="753" spans="5:5" s="10" customFormat="1" x14ac:dyDescent="0.3">
      <c r="E753" s="14"/>
    </row>
    <row r="754" spans="5:5" s="10" customFormat="1" x14ac:dyDescent="0.3">
      <c r="E754" s="14"/>
    </row>
    <row r="755" spans="5:5" s="10" customFormat="1" x14ac:dyDescent="0.3">
      <c r="E755" s="14"/>
    </row>
    <row r="756" spans="5:5" s="10" customFormat="1" x14ac:dyDescent="0.3">
      <c r="E756" s="14"/>
    </row>
    <row r="757" spans="5:5" s="10" customFormat="1" x14ac:dyDescent="0.3">
      <c r="E757" s="14"/>
    </row>
    <row r="758" spans="5:5" s="10" customFormat="1" x14ac:dyDescent="0.3">
      <c r="E758" s="14"/>
    </row>
    <row r="759" spans="5:5" s="10" customFormat="1" x14ac:dyDescent="0.3">
      <c r="E759" s="14"/>
    </row>
    <row r="760" spans="5:5" s="10" customFormat="1" x14ac:dyDescent="0.3">
      <c r="E760" s="14"/>
    </row>
    <row r="761" spans="5:5" s="10" customFormat="1" x14ac:dyDescent="0.3">
      <c r="E761" s="14"/>
    </row>
    <row r="762" spans="5:5" s="10" customFormat="1" x14ac:dyDescent="0.3">
      <c r="E762" s="14"/>
    </row>
    <row r="763" spans="5:5" s="10" customFormat="1" x14ac:dyDescent="0.3">
      <c r="E763" s="14"/>
    </row>
    <row r="764" spans="5:5" s="10" customFormat="1" x14ac:dyDescent="0.3">
      <c r="E764" s="14"/>
    </row>
    <row r="765" spans="5:5" s="10" customFormat="1" x14ac:dyDescent="0.3">
      <c r="E765" s="14"/>
    </row>
    <row r="766" spans="5:5" s="10" customFormat="1" x14ac:dyDescent="0.3">
      <c r="E766" s="14"/>
    </row>
    <row r="767" spans="5:5" s="10" customFormat="1" x14ac:dyDescent="0.3">
      <c r="E767" s="14"/>
    </row>
    <row r="768" spans="5:5" s="10" customFormat="1" x14ac:dyDescent="0.3">
      <c r="E768" s="14"/>
    </row>
    <row r="769" spans="5:5" s="10" customFormat="1" x14ac:dyDescent="0.3">
      <c r="E769" s="14"/>
    </row>
    <row r="770" spans="5:5" s="10" customFormat="1" x14ac:dyDescent="0.3">
      <c r="E770" s="14"/>
    </row>
    <row r="771" spans="5:5" s="10" customFormat="1" x14ac:dyDescent="0.3">
      <c r="E771" s="14"/>
    </row>
    <row r="772" spans="5:5" s="10" customFormat="1" x14ac:dyDescent="0.3">
      <c r="E772" s="14"/>
    </row>
    <row r="773" spans="5:5" s="10" customFormat="1" x14ac:dyDescent="0.3">
      <c r="E773" s="14"/>
    </row>
    <row r="774" spans="5:5" s="10" customFormat="1" x14ac:dyDescent="0.3">
      <c r="E774" s="14"/>
    </row>
    <row r="775" spans="5:5" s="10" customFormat="1" x14ac:dyDescent="0.3">
      <c r="E775" s="14"/>
    </row>
    <row r="776" spans="5:5" s="10" customFormat="1" x14ac:dyDescent="0.3">
      <c r="E776" s="14"/>
    </row>
    <row r="777" spans="5:5" s="10" customFormat="1" x14ac:dyDescent="0.3">
      <c r="E777" s="14"/>
    </row>
    <row r="778" spans="5:5" s="10" customFormat="1" x14ac:dyDescent="0.3">
      <c r="E778" s="14"/>
    </row>
    <row r="779" spans="5:5" s="10" customFormat="1" x14ac:dyDescent="0.3">
      <c r="E779" s="14"/>
    </row>
    <row r="780" spans="5:5" s="10" customFormat="1" x14ac:dyDescent="0.3">
      <c r="E780" s="14"/>
    </row>
    <row r="781" spans="5:5" s="10" customFormat="1" x14ac:dyDescent="0.3">
      <c r="E781" s="14"/>
    </row>
    <row r="782" spans="5:5" s="10" customFormat="1" x14ac:dyDescent="0.3">
      <c r="E782" s="14"/>
    </row>
    <row r="783" spans="5:5" s="10" customFormat="1" x14ac:dyDescent="0.3">
      <c r="E783" s="14"/>
    </row>
    <row r="784" spans="5:5" s="10" customFormat="1" x14ac:dyDescent="0.3">
      <c r="E784" s="14"/>
    </row>
    <row r="785" spans="5:5" s="10" customFormat="1" x14ac:dyDescent="0.3">
      <c r="E785" s="14"/>
    </row>
    <row r="786" spans="5:5" s="10" customFormat="1" x14ac:dyDescent="0.3">
      <c r="E786" s="14"/>
    </row>
    <row r="787" spans="5:5" s="10" customFormat="1" x14ac:dyDescent="0.3">
      <c r="E787" s="14"/>
    </row>
    <row r="788" spans="5:5" s="10" customFormat="1" x14ac:dyDescent="0.3">
      <c r="E788" s="14"/>
    </row>
    <row r="789" spans="5:5" s="10" customFormat="1" x14ac:dyDescent="0.3">
      <c r="E789" s="14"/>
    </row>
    <row r="790" spans="5:5" s="10" customFormat="1" x14ac:dyDescent="0.3">
      <c r="E790" s="14"/>
    </row>
    <row r="791" spans="5:5" s="10" customFormat="1" x14ac:dyDescent="0.3">
      <c r="E791" s="14"/>
    </row>
    <row r="792" spans="5:5" s="10" customFormat="1" x14ac:dyDescent="0.3">
      <c r="E792" s="14"/>
    </row>
    <row r="793" spans="5:5" s="10" customFormat="1" x14ac:dyDescent="0.3">
      <c r="E793" s="14"/>
    </row>
    <row r="794" spans="5:5" s="10" customFormat="1" x14ac:dyDescent="0.3">
      <c r="E794" s="14"/>
    </row>
    <row r="795" spans="5:5" s="10" customFormat="1" x14ac:dyDescent="0.3">
      <c r="E795" s="14"/>
    </row>
    <row r="796" spans="5:5" s="10" customFormat="1" x14ac:dyDescent="0.3">
      <c r="E796" s="14"/>
    </row>
    <row r="797" spans="5:5" s="10" customFormat="1" x14ac:dyDescent="0.3">
      <c r="E797" s="14"/>
    </row>
    <row r="798" spans="5:5" s="10" customFormat="1" x14ac:dyDescent="0.3">
      <c r="E798" s="14"/>
    </row>
    <row r="799" spans="5:5" s="10" customFormat="1" x14ac:dyDescent="0.3">
      <c r="E799" s="14"/>
    </row>
    <row r="800" spans="5:5" s="10" customFormat="1" x14ac:dyDescent="0.3">
      <c r="E800" s="14"/>
    </row>
    <row r="801" spans="5:5" s="10" customFormat="1" x14ac:dyDescent="0.3">
      <c r="E801" s="14"/>
    </row>
    <row r="802" spans="5:5" s="10" customFormat="1" x14ac:dyDescent="0.3">
      <c r="E802" s="14"/>
    </row>
    <row r="803" spans="5:5" s="10" customFormat="1" x14ac:dyDescent="0.3">
      <c r="E803" s="14"/>
    </row>
    <row r="804" spans="5:5" s="10" customFormat="1" x14ac:dyDescent="0.3">
      <c r="E804" s="14"/>
    </row>
    <row r="805" spans="5:5" s="10" customFormat="1" x14ac:dyDescent="0.3">
      <c r="E805" s="14"/>
    </row>
    <row r="806" spans="5:5" s="10" customFormat="1" x14ac:dyDescent="0.3">
      <c r="E806" s="14"/>
    </row>
    <row r="807" spans="5:5" s="10" customFormat="1" x14ac:dyDescent="0.3">
      <c r="E807" s="14"/>
    </row>
    <row r="808" spans="5:5" s="10" customFormat="1" x14ac:dyDescent="0.3">
      <c r="E808" s="14"/>
    </row>
    <row r="809" spans="5:5" s="10" customFormat="1" x14ac:dyDescent="0.3">
      <c r="E809" s="14"/>
    </row>
    <row r="810" spans="5:5" s="10" customFormat="1" x14ac:dyDescent="0.3">
      <c r="E810" s="14"/>
    </row>
    <row r="811" spans="5:5" s="10" customFormat="1" x14ac:dyDescent="0.3">
      <c r="E811" s="14"/>
    </row>
    <row r="812" spans="5:5" s="10" customFormat="1" x14ac:dyDescent="0.3">
      <c r="E812" s="14"/>
    </row>
    <row r="813" spans="5:5" s="10" customFormat="1" x14ac:dyDescent="0.3">
      <c r="E813" s="14"/>
    </row>
    <row r="814" spans="5:5" s="10" customFormat="1" x14ac:dyDescent="0.3">
      <c r="E814" s="14"/>
    </row>
    <row r="815" spans="5:5" s="10" customFormat="1" x14ac:dyDescent="0.3">
      <c r="E815" s="14"/>
    </row>
    <row r="816" spans="5:5" s="10" customFormat="1" x14ac:dyDescent="0.3">
      <c r="E816" s="14"/>
    </row>
    <row r="817" spans="5:5" s="10" customFormat="1" x14ac:dyDescent="0.3">
      <c r="E817" s="14"/>
    </row>
    <row r="818" spans="5:5" s="10" customFormat="1" x14ac:dyDescent="0.3">
      <c r="E818" s="14"/>
    </row>
    <row r="819" spans="5:5" s="10" customFormat="1" x14ac:dyDescent="0.3">
      <c r="E819" s="14"/>
    </row>
    <row r="820" spans="5:5" s="10" customFormat="1" x14ac:dyDescent="0.3">
      <c r="E820" s="14"/>
    </row>
    <row r="821" spans="5:5" s="10" customFormat="1" x14ac:dyDescent="0.3">
      <c r="E821" s="14"/>
    </row>
    <row r="822" spans="5:5" s="10" customFormat="1" x14ac:dyDescent="0.3">
      <c r="E822" s="14"/>
    </row>
    <row r="823" spans="5:5" s="10" customFormat="1" x14ac:dyDescent="0.3">
      <c r="E823" s="14"/>
    </row>
    <row r="824" spans="5:5" s="10" customFormat="1" x14ac:dyDescent="0.3">
      <c r="E824" s="14"/>
    </row>
    <row r="825" spans="5:5" s="10" customFormat="1" x14ac:dyDescent="0.3">
      <c r="E825" s="14"/>
    </row>
    <row r="826" spans="5:5" s="10" customFormat="1" x14ac:dyDescent="0.3">
      <c r="E826" s="14"/>
    </row>
    <row r="827" spans="5:5" s="10" customFormat="1" x14ac:dyDescent="0.3">
      <c r="E827" s="14"/>
    </row>
    <row r="828" spans="5:5" s="10" customFormat="1" x14ac:dyDescent="0.3">
      <c r="E828" s="14"/>
    </row>
    <row r="829" spans="5:5" s="10" customFormat="1" x14ac:dyDescent="0.3">
      <c r="E829" s="14"/>
    </row>
    <row r="830" spans="5:5" s="10" customFormat="1" x14ac:dyDescent="0.3">
      <c r="E830" s="14"/>
    </row>
    <row r="831" spans="5:5" s="10" customFormat="1" x14ac:dyDescent="0.3">
      <c r="E831" s="14"/>
    </row>
    <row r="832" spans="5:5" s="10" customFormat="1" x14ac:dyDescent="0.3">
      <c r="E832" s="14"/>
    </row>
    <row r="833" spans="5:5" s="10" customFormat="1" x14ac:dyDescent="0.3">
      <c r="E833" s="14"/>
    </row>
    <row r="834" spans="5:5" s="10" customFormat="1" x14ac:dyDescent="0.3">
      <c r="E834" s="14"/>
    </row>
    <row r="835" spans="5:5" s="10" customFormat="1" x14ac:dyDescent="0.3">
      <c r="E835" s="14"/>
    </row>
    <row r="836" spans="5:5" s="10" customFormat="1" x14ac:dyDescent="0.3">
      <c r="E836" s="14"/>
    </row>
    <row r="837" spans="5:5" s="10" customFormat="1" x14ac:dyDescent="0.3">
      <c r="E837" s="14"/>
    </row>
    <row r="838" spans="5:5" s="10" customFormat="1" x14ac:dyDescent="0.3">
      <c r="E838" s="14"/>
    </row>
    <row r="839" spans="5:5" s="10" customFormat="1" x14ac:dyDescent="0.3">
      <c r="E839" s="14"/>
    </row>
    <row r="840" spans="5:5" s="10" customFormat="1" x14ac:dyDescent="0.3">
      <c r="E840" s="14"/>
    </row>
    <row r="841" spans="5:5" s="10" customFormat="1" x14ac:dyDescent="0.3">
      <c r="E841" s="14"/>
    </row>
    <row r="842" spans="5:5" s="10" customFormat="1" x14ac:dyDescent="0.3">
      <c r="E842" s="14"/>
    </row>
    <row r="843" spans="5:5" s="10" customFormat="1" x14ac:dyDescent="0.3">
      <c r="E843" s="14"/>
    </row>
    <row r="844" spans="5:5" s="10" customFormat="1" x14ac:dyDescent="0.3">
      <c r="E844" s="14"/>
    </row>
    <row r="845" spans="5:5" s="10" customFormat="1" x14ac:dyDescent="0.3">
      <c r="E845" s="14"/>
    </row>
    <row r="846" spans="5:5" s="10" customFormat="1" x14ac:dyDescent="0.3">
      <c r="E846" s="14"/>
    </row>
    <row r="847" spans="5:5" s="10" customFormat="1" x14ac:dyDescent="0.3">
      <c r="E847" s="14"/>
    </row>
    <row r="848" spans="5:5" s="10" customFormat="1" x14ac:dyDescent="0.3">
      <c r="E848" s="14"/>
    </row>
    <row r="849" spans="5:5" s="10" customFormat="1" x14ac:dyDescent="0.3">
      <c r="E849" s="14"/>
    </row>
    <row r="850" spans="5:5" s="10" customFormat="1" x14ac:dyDescent="0.3">
      <c r="E850" s="14"/>
    </row>
    <row r="851" spans="5:5" s="10" customFormat="1" x14ac:dyDescent="0.3">
      <c r="E851" s="14"/>
    </row>
    <row r="852" spans="5:5" s="10" customFormat="1" x14ac:dyDescent="0.3">
      <c r="E852" s="14"/>
    </row>
    <row r="853" spans="5:5" s="10" customFormat="1" x14ac:dyDescent="0.3">
      <c r="E853" s="14"/>
    </row>
    <row r="854" spans="5:5" s="10" customFormat="1" x14ac:dyDescent="0.3">
      <c r="E854" s="14"/>
    </row>
    <row r="855" spans="5:5" s="10" customFormat="1" x14ac:dyDescent="0.3">
      <c r="E855" s="14"/>
    </row>
    <row r="856" spans="5:5" s="10" customFormat="1" x14ac:dyDescent="0.3">
      <c r="E856" s="14"/>
    </row>
    <row r="857" spans="5:5" s="10" customFormat="1" x14ac:dyDescent="0.3">
      <c r="E857" s="14"/>
    </row>
    <row r="858" spans="5:5" s="10" customFormat="1" x14ac:dyDescent="0.3">
      <c r="E858" s="14"/>
    </row>
    <row r="859" spans="5:5" s="10" customFormat="1" x14ac:dyDescent="0.3">
      <c r="E859" s="14"/>
    </row>
    <row r="860" spans="5:5" s="10" customFormat="1" x14ac:dyDescent="0.3">
      <c r="E860" s="14"/>
    </row>
    <row r="861" spans="5:5" s="10" customFormat="1" x14ac:dyDescent="0.3">
      <c r="E861" s="14"/>
    </row>
    <row r="862" spans="5:5" s="10" customFormat="1" x14ac:dyDescent="0.3">
      <c r="E862" s="14"/>
    </row>
    <row r="863" spans="5:5" s="10" customFormat="1" x14ac:dyDescent="0.3">
      <c r="E863" s="14"/>
    </row>
    <row r="864" spans="5:5" s="10" customFormat="1" x14ac:dyDescent="0.3">
      <c r="E864" s="14"/>
    </row>
    <row r="865" spans="5:5" s="10" customFormat="1" x14ac:dyDescent="0.3">
      <c r="E865" s="14"/>
    </row>
    <row r="866" spans="5:5" s="10" customFormat="1" x14ac:dyDescent="0.3">
      <c r="E866" s="14"/>
    </row>
    <row r="867" spans="5:5" s="10" customFormat="1" x14ac:dyDescent="0.3">
      <c r="E867" s="14"/>
    </row>
    <row r="868" spans="5:5" s="10" customFormat="1" x14ac:dyDescent="0.3">
      <c r="E868" s="14"/>
    </row>
    <row r="869" spans="5:5" s="10" customFormat="1" x14ac:dyDescent="0.3">
      <c r="E869" s="14"/>
    </row>
    <row r="870" spans="5:5" s="10" customFormat="1" x14ac:dyDescent="0.3">
      <c r="E870" s="14"/>
    </row>
    <row r="871" spans="5:5" s="10" customFormat="1" x14ac:dyDescent="0.3">
      <c r="E871" s="14"/>
    </row>
    <row r="872" spans="5:5" s="10" customFormat="1" x14ac:dyDescent="0.3">
      <c r="E872" s="14"/>
    </row>
    <row r="873" spans="5:5" s="10" customFormat="1" x14ac:dyDescent="0.3">
      <c r="E873" s="14"/>
    </row>
    <row r="874" spans="5:5" s="10" customFormat="1" x14ac:dyDescent="0.3">
      <c r="E874" s="14"/>
    </row>
    <row r="875" spans="5:5" s="10" customFormat="1" x14ac:dyDescent="0.3">
      <c r="E875" s="14"/>
    </row>
    <row r="876" spans="5:5" s="10" customFormat="1" x14ac:dyDescent="0.3">
      <c r="E876" s="14"/>
    </row>
    <row r="877" spans="5:5" s="10" customFormat="1" x14ac:dyDescent="0.3">
      <c r="E877" s="14"/>
    </row>
    <row r="878" spans="5:5" s="10" customFormat="1" x14ac:dyDescent="0.3">
      <c r="E878" s="14"/>
    </row>
    <row r="879" spans="5:5" s="10" customFormat="1" x14ac:dyDescent="0.3">
      <c r="E879" s="14"/>
    </row>
    <row r="880" spans="5:5" s="10" customFormat="1" x14ac:dyDescent="0.3">
      <c r="E880" s="14"/>
    </row>
    <row r="881" spans="5:5" s="10" customFormat="1" x14ac:dyDescent="0.3">
      <c r="E881" s="14"/>
    </row>
    <row r="882" spans="5:5" s="10" customFormat="1" x14ac:dyDescent="0.3">
      <c r="E882" s="14"/>
    </row>
    <row r="883" spans="5:5" s="10" customFormat="1" x14ac:dyDescent="0.3">
      <c r="E883" s="14"/>
    </row>
    <row r="884" spans="5:5" s="10" customFormat="1" x14ac:dyDescent="0.3">
      <c r="E884" s="14"/>
    </row>
    <row r="885" spans="5:5" s="10" customFormat="1" x14ac:dyDescent="0.3">
      <c r="E885" s="14"/>
    </row>
    <row r="886" spans="5:5" s="10" customFormat="1" x14ac:dyDescent="0.3">
      <c r="E886" s="14"/>
    </row>
    <row r="887" spans="5:5" s="10" customFormat="1" x14ac:dyDescent="0.3">
      <c r="E887" s="14"/>
    </row>
    <row r="888" spans="5:5" s="10" customFormat="1" x14ac:dyDescent="0.3">
      <c r="E888" s="14"/>
    </row>
    <row r="889" spans="5:5" s="10" customFormat="1" x14ac:dyDescent="0.3">
      <c r="E889" s="14"/>
    </row>
    <row r="890" spans="5:5" s="10" customFormat="1" x14ac:dyDescent="0.3">
      <c r="E890" s="14"/>
    </row>
    <row r="891" spans="5:5" s="10" customFormat="1" x14ac:dyDescent="0.3">
      <c r="E891" s="14"/>
    </row>
    <row r="892" spans="5:5" s="10" customFormat="1" x14ac:dyDescent="0.3">
      <c r="E892" s="14"/>
    </row>
    <row r="893" spans="5:5" s="10" customFormat="1" x14ac:dyDescent="0.3">
      <c r="E893" s="14"/>
    </row>
    <row r="894" spans="5:5" s="10" customFormat="1" x14ac:dyDescent="0.3">
      <c r="E894" s="14"/>
    </row>
    <row r="895" spans="5:5" s="10" customFormat="1" x14ac:dyDescent="0.3">
      <c r="E895" s="14"/>
    </row>
    <row r="896" spans="5:5" s="10" customFormat="1" x14ac:dyDescent="0.3">
      <c r="E896" s="14"/>
    </row>
    <row r="897" spans="5:5" s="10" customFormat="1" x14ac:dyDescent="0.3">
      <c r="E897" s="14"/>
    </row>
    <row r="898" spans="5:5" s="10" customFormat="1" x14ac:dyDescent="0.3">
      <c r="E898" s="14"/>
    </row>
    <row r="899" spans="5:5" s="10" customFormat="1" x14ac:dyDescent="0.3">
      <c r="E899" s="14"/>
    </row>
    <row r="900" spans="5:5" s="10" customFormat="1" x14ac:dyDescent="0.3">
      <c r="E900" s="14"/>
    </row>
  </sheetData>
  <autoFilter ref="A1:R337">
    <filterColumn colId="16">
      <colorFilter dxfId="0"/>
    </filterColumn>
    <filterColumn colId="17">
      <filters>
        <filter val="#N/A"/>
      </filters>
    </filterColumn>
  </autoFilter>
  <sortState ref="A2:R900">
    <sortCondition ref="I2:I90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IVA COMPRAS</vt:lpstr>
      <vt:lpstr>MIS COMPROBANTES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Giselle Tarasca</dc:creator>
  <cp:lastModifiedBy>Giselle Tarasca</cp:lastModifiedBy>
  <dcterms:created xsi:type="dcterms:W3CDTF">2024-06-14T13:51:06Z</dcterms:created>
  <dcterms:modified xsi:type="dcterms:W3CDTF">2024-06-14T14:12:55Z</dcterms:modified>
</cp:coreProperties>
</file>