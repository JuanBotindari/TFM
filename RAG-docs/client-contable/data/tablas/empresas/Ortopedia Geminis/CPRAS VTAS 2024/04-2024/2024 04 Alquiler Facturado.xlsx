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Abril 24" sheetId="25" r:id="rId1"/>
  </sheets>
  <calcPr calcId="125725"/>
</workbook>
</file>

<file path=xl/calcChain.xml><?xml version="1.0" encoding="utf-8"?>
<calcChain xmlns="http://schemas.openxmlformats.org/spreadsheetml/2006/main">
  <c r="F64" i="25"/>
  <c r="C64"/>
  <c r="F65"/>
  <c r="F66" l="1"/>
  <c r="C66"/>
  <c r="C65"/>
</calcChain>
</file>

<file path=xl/sharedStrings.xml><?xml version="1.0" encoding="utf-8"?>
<sst xmlns="http://schemas.openxmlformats.org/spreadsheetml/2006/main" count="197" uniqueCount="166">
  <si>
    <t>Factura A N°</t>
  </si>
  <si>
    <t>Cliente</t>
  </si>
  <si>
    <t>Importe Neto</t>
  </si>
  <si>
    <t>Factura B N°</t>
  </si>
  <si>
    <t>Subtotal</t>
  </si>
  <si>
    <t>IVA 21%</t>
  </si>
  <si>
    <t>Total</t>
  </si>
  <si>
    <t>Galeno Argentina Sociedad Anonima</t>
  </si>
  <si>
    <t>ALEJANDRA SIFFREDI TORRES SANMARCO</t>
  </si>
  <si>
    <t>ENRIQUETA MARIA DEL SOCORRO MAJO</t>
  </si>
  <si>
    <t>Hc Homecare Internacion Domiciliaria S.A.</t>
  </si>
  <si>
    <t xml:space="preserve">IZZO, ADRIANA </t>
  </si>
  <si>
    <t>Zc Diabetes Srl</t>
  </si>
  <si>
    <t>Herman Patricia</t>
  </si>
  <si>
    <t>VOLPI, ALBERTO JAVIER</t>
  </si>
  <si>
    <t>Obra Social Union Personal De La Union  Del Personal Civil De La Nacion</t>
  </si>
  <si>
    <t>Amparo Salud S.R.L.</t>
  </si>
  <si>
    <t>Medicus Sociedad Anonima De Asistencia Medica Y Cientifica</t>
  </si>
  <si>
    <t>Login Door S.A</t>
  </si>
  <si>
    <t>Fundacion Empresaria Maderera</t>
  </si>
  <si>
    <t>Asociacion Mutual Sancor Salud</t>
  </si>
  <si>
    <t>Obra Social Del Personal De La Industria Del Plastico</t>
  </si>
  <si>
    <t>Obra Social De Los Trabajadores De La Industria Del Gas</t>
  </si>
  <si>
    <t>MGR IMPLANTES SA</t>
  </si>
  <si>
    <t>Alexander Fleming S A</t>
  </si>
  <si>
    <t>EGESAC S.A.</t>
  </si>
  <si>
    <t>Centro Medico Amenabar Srl</t>
  </si>
  <si>
    <t>Medincare Argentina S.A.</t>
  </si>
  <si>
    <t>SAENZ, MAGDALENA.</t>
  </si>
  <si>
    <t>CARUSO LUCIA</t>
  </si>
  <si>
    <t>SCHELGEL, LUIS ALBERTO</t>
  </si>
  <si>
    <t>PEDROZO, PAULA GABRIELA</t>
  </si>
  <si>
    <t>AGOSTINO MIRIAM</t>
  </si>
  <si>
    <t>SANZIO, INMACULADA CONCEPCION</t>
  </si>
  <si>
    <t xml:space="preserve">ARANA, MARCELLA OFELIA </t>
  </si>
  <si>
    <t>BUNCHICOFF, MARIA</t>
  </si>
  <si>
    <t>MINERVINI, MARIA DEL CARMEN LILIANA</t>
  </si>
  <si>
    <t>KARIVALI DESPINA</t>
  </si>
  <si>
    <t>CORIGLIANO, LORENA ELISA</t>
  </si>
  <si>
    <t>REPETTO LYNCH, BENJAMIN MARIA</t>
  </si>
  <si>
    <t>ZANOTTI, ANA LAURA</t>
  </si>
  <si>
    <t>SALLES, ANA MARIA</t>
  </si>
  <si>
    <t>TRISTAN SARA ADELA</t>
  </si>
  <si>
    <t>RAQUEL DURAÑONA</t>
  </si>
  <si>
    <t>Sc Pilar S.A.</t>
  </si>
  <si>
    <t>FIORI FRAVOLINI, HELENA</t>
  </si>
  <si>
    <t>CAMPOBASSO, MARIANA LAURA</t>
  </si>
  <si>
    <t>MONTI, MARIA PAULA</t>
  </si>
  <si>
    <t>BIANCHI TERESA GERMANA</t>
  </si>
  <si>
    <t>MATSUO, MARGARITA NOEMI</t>
  </si>
  <si>
    <t>PINO, ANA PAULA</t>
  </si>
  <si>
    <t>Obra Social Del Personal De Las Telecomunicaciones De La Republica Argentina</t>
  </si>
  <si>
    <t>NOBILI, MATIAS</t>
  </si>
  <si>
    <t>LOCOCO, CARMEN</t>
  </si>
  <si>
    <t>Alquiler Facturado - Abril 24</t>
  </si>
  <si>
    <t>FA-A 0006-00000463</t>
  </si>
  <si>
    <t>FA-A 0006-00000464</t>
  </si>
  <si>
    <t>FA-A 0006-00000465</t>
  </si>
  <si>
    <t>FA-A 0007-00001897</t>
  </si>
  <si>
    <t>FA-A 0007-00001898</t>
  </si>
  <si>
    <t>FA-A 0007-00001899</t>
  </si>
  <si>
    <t>FA-A 0007-00001900</t>
  </si>
  <si>
    <t>FA-A 0007-00001901</t>
  </si>
  <si>
    <t>FA-A 0007-00001902</t>
  </si>
  <si>
    <t>FA-A 0007-00001903</t>
  </si>
  <si>
    <t>FA-A 0007-00001904</t>
  </si>
  <si>
    <t>FA-A 0007-00001905</t>
  </si>
  <si>
    <t>FA-A 0007-00001906</t>
  </si>
  <si>
    <t>FA-A 0007-00001907</t>
  </si>
  <si>
    <t>FA-A 0007-00001908</t>
  </si>
  <si>
    <t>FA-A 0007-00001912</t>
  </si>
  <si>
    <t>FA-A 0007-00001914</t>
  </si>
  <si>
    <t>Piaggio, Paula Andrea</t>
  </si>
  <si>
    <t>FA-A 0006-00000472</t>
  </si>
  <si>
    <t>FA-A 0007-00001915</t>
  </si>
  <si>
    <t>FA-A 0007-00001916</t>
  </si>
  <si>
    <t>FA-A 0007-00001917</t>
  </si>
  <si>
    <t>FA-A 0007-00001918</t>
  </si>
  <si>
    <t>FA-A 0007-00001920</t>
  </si>
  <si>
    <t>FA-A 0007-00001922</t>
  </si>
  <si>
    <t>FA-B 0007-00005048</t>
  </si>
  <si>
    <t>FA-B 0007-00005050</t>
  </si>
  <si>
    <t>FA-B 0005-00010273</t>
  </si>
  <si>
    <t>FLORES MARTINA</t>
  </si>
  <si>
    <t>FA-B 0007-00005053</t>
  </si>
  <si>
    <t>FA-B 0007-00005054</t>
  </si>
  <si>
    <t>FA-B 0007-00005055</t>
  </si>
  <si>
    <t>FA-B 0007-00005056</t>
  </si>
  <si>
    <t>FA-B 0007-00005057</t>
  </si>
  <si>
    <t>FA-B 0007-00005058</t>
  </si>
  <si>
    <t>FA-B 0007-00005059</t>
  </si>
  <si>
    <t>FA-B 0007-00005060</t>
  </si>
  <si>
    <t xml:space="preserve">GONZALEZ, LAURA BEATRIZ </t>
  </si>
  <si>
    <t>Desalvo Miguel Angel</t>
  </si>
  <si>
    <t>CRISTIAN GOLDENHORN</t>
  </si>
  <si>
    <t>CUDERO, SILVINA</t>
  </si>
  <si>
    <t>GABRIELA VANINA GALLO</t>
  </si>
  <si>
    <t>ROMEO, NELIDA ZULMA</t>
  </si>
  <si>
    <t>FA-B 0007-00005061</t>
  </si>
  <si>
    <t>FA-B 0007-00005062</t>
  </si>
  <si>
    <t>FA-B 0007-00005063</t>
  </si>
  <si>
    <t>FA-B 0007-00005064</t>
  </si>
  <si>
    <t>MALOMO, ENRIQUE DANIEL</t>
  </si>
  <si>
    <t>FA-B 0007-00005065</t>
  </si>
  <si>
    <t>FA-B 0007-00005066</t>
  </si>
  <si>
    <t>FA-B 0007-00005067</t>
  </si>
  <si>
    <t>FA-B 0007-00005068</t>
  </si>
  <si>
    <t>FA-B 0007-00005070</t>
  </si>
  <si>
    <t>FA-B 0007-00005071</t>
  </si>
  <si>
    <t>FA-B 0007-00005072</t>
  </si>
  <si>
    <t>FA-B 0007-00005073</t>
  </si>
  <si>
    <t>FA-B 0007-00005074</t>
  </si>
  <si>
    <t>FA-B 0007-00005075</t>
  </si>
  <si>
    <t>FA-B 0007-00005076</t>
  </si>
  <si>
    <t>FA-B 0007-00005077</t>
  </si>
  <si>
    <t>FA-B 0007-00005078</t>
  </si>
  <si>
    <t>FA-B 0007-00005079</t>
  </si>
  <si>
    <t>Najus Anibal Ruben</t>
  </si>
  <si>
    <t>FA-A 0007-00001924</t>
  </si>
  <si>
    <t>FA-A 0007-00001925</t>
  </si>
  <si>
    <t>FA-A 0007-00001926</t>
  </si>
  <si>
    <t>FA-A 0007-00001927</t>
  </si>
  <si>
    <t>FA-A 0007-00001928</t>
  </si>
  <si>
    <t>FA-A 0007-00001931</t>
  </si>
  <si>
    <t>FA-A 0007-00001932</t>
  </si>
  <si>
    <t>FA-A 0007-00001935</t>
  </si>
  <si>
    <t>FA-A 0007-00001936</t>
  </si>
  <si>
    <t>FA-A 0007-00001937</t>
  </si>
  <si>
    <t>Obra Social De La Actividad De Seguros, Reaseguros, Capitalizacion Y Ahorro Y Prestamo  Para La Vivienda</t>
  </si>
  <si>
    <t>FA-B 0007-00005080</t>
  </si>
  <si>
    <t>FA-B 0007-00005081</t>
  </si>
  <si>
    <t>FA-B 0007-00005082</t>
  </si>
  <si>
    <t>TISSONE, JOSE ERNESTO</t>
  </si>
  <si>
    <t>FA-B 0007-00005084</t>
  </si>
  <si>
    <t>FA-B 0007-00005085</t>
  </si>
  <si>
    <t>FA-B 0007-00005087</t>
  </si>
  <si>
    <t>FA-B 0007-00005088</t>
  </si>
  <si>
    <t>FA-B 0007-00005089</t>
  </si>
  <si>
    <t>FA-B 0007-00005090</t>
  </si>
  <si>
    <t>FA-B 0007-00005091</t>
  </si>
  <si>
    <t>FA-B 0007-00005092</t>
  </si>
  <si>
    <t>FA-B 0007-00005093</t>
  </si>
  <si>
    <t>SORIANO, EDGARDO TOMAS</t>
  </si>
  <si>
    <t>Romero Leonardo Gabriel</t>
  </si>
  <si>
    <t>FA-B 0007-00005094</t>
  </si>
  <si>
    <t>FA-B 0007-00005095</t>
  </si>
  <si>
    <t>FA-B 0007-00005096</t>
  </si>
  <si>
    <t>FA-B 0007-00005097</t>
  </si>
  <si>
    <t>INGRID LILIAN MOSCATELLI</t>
  </si>
  <si>
    <t>MARIA ISABEL CALDERER</t>
  </si>
  <si>
    <t>FA-B 0007-00005098</t>
  </si>
  <si>
    <t>FA-B 0007-00005099</t>
  </si>
  <si>
    <t>FA-B 0007-00005100</t>
  </si>
  <si>
    <t>HAYDEE PIZZONI</t>
  </si>
  <si>
    <t>FA-B 0007-00005102</t>
  </si>
  <si>
    <t>FA-B 0007-00005103</t>
  </si>
  <si>
    <t>FA-B 0007-00005104</t>
  </si>
  <si>
    <t>FA-B 0007-00005105</t>
  </si>
  <si>
    <t>FA-B 0007-00005106</t>
  </si>
  <si>
    <t>FA-B 0007-00005107</t>
  </si>
  <si>
    <t>FA-B 0007-00005108</t>
  </si>
  <si>
    <t>FA-B 0007-00005109</t>
  </si>
  <si>
    <t>FA-B 0007-00005110</t>
  </si>
  <si>
    <t>FA-B 0007-00005111</t>
  </si>
  <si>
    <t>ARGENTINA EDITH ZARRILLO</t>
  </si>
  <si>
    <t>MIZRAHI, DIEGO ALBERTO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</si>
</sst>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3" borderId="2" xfId="1" applyNumberFormat="1" applyFont="1" applyFill="1" applyBorder="1"/>
    <xf numFmtId="164" fontId="5" fillId="0" borderId="3" xfId="1" applyNumberFormat="1" applyFont="1" applyBorder="1"/>
    <xf numFmtId="2" fontId="3" fillId="0" borderId="1" xfId="0" applyNumberFormat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16" fontId="0" fillId="0" borderId="0" xfId="0" applyNumberFormat="1"/>
    <xf numFmtId="0" fontId="1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0" fontId="0" fillId="0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topLeftCell="A31" workbookViewId="0">
      <selection activeCell="F65" sqref="F65"/>
    </sheetView>
  </sheetViews>
  <sheetFormatPr baseColWidth="10" defaultRowHeight="15"/>
  <cols>
    <col min="1" max="1" width="22.140625" customWidth="1"/>
    <col min="2" max="2" width="31.5703125" customWidth="1"/>
    <col min="3" max="3" width="19.28515625" customWidth="1"/>
    <col min="4" max="4" width="21.140625" customWidth="1"/>
    <col min="5" max="5" width="26.140625" customWidth="1"/>
    <col min="6" max="6" width="19.7109375" customWidth="1"/>
  </cols>
  <sheetData>
    <row r="1" spans="1:6">
      <c r="A1" s="10" t="s">
        <v>54</v>
      </c>
      <c r="B1" s="10"/>
      <c r="C1" s="10"/>
      <c r="D1" s="10"/>
      <c r="E1" s="10"/>
      <c r="F1" s="10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11" t="s">
        <v>55</v>
      </c>
      <c r="B3" s="12" t="s">
        <v>7</v>
      </c>
      <c r="C3" s="6">
        <v>1398468.22</v>
      </c>
      <c r="D3" s="11" t="s">
        <v>80</v>
      </c>
      <c r="E3" s="12" t="s">
        <v>21</v>
      </c>
      <c r="F3" s="6">
        <v>110413.22</v>
      </c>
    </row>
    <row r="4" spans="1:6">
      <c r="A4" s="11" t="s">
        <v>56</v>
      </c>
      <c r="B4" s="12" t="s">
        <v>7</v>
      </c>
      <c r="C4" s="6">
        <v>1094359.21</v>
      </c>
      <c r="D4" s="11" t="s">
        <v>81</v>
      </c>
      <c r="E4" s="12" t="s">
        <v>22</v>
      </c>
      <c r="F4" s="6">
        <v>350239.67</v>
      </c>
    </row>
    <row r="5" spans="1:6">
      <c r="A5" s="11" t="s">
        <v>57</v>
      </c>
      <c r="B5" s="12" t="s">
        <v>7</v>
      </c>
      <c r="C5" s="6">
        <v>7354067.5600000005</v>
      </c>
      <c r="D5" s="11" t="s">
        <v>82</v>
      </c>
      <c r="E5" s="12" t="s">
        <v>83</v>
      </c>
      <c r="F5" s="6">
        <v>21487.599999999999</v>
      </c>
    </row>
    <row r="6" spans="1:6">
      <c r="A6" s="11" t="s">
        <v>58</v>
      </c>
      <c r="B6" s="12" t="s">
        <v>10</v>
      </c>
      <c r="C6" s="6">
        <v>287545.45</v>
      </c>
      <c r="D6" s="11" t="s">
        <v>84</v>
      </c>
      <c r="E6" s="12" t="s">
        <v>92</v>
      </c>
      <c r="F6" s="6">
        <v>9917.36</v>
      </c>
    </row>
    <row r="7" spans="1:6">
      <c r="A7" s="11" t="s">
        <v>59</v>
      </c>
      <c r="B7" s="12" t="s">
        <v>16</v>
      </c>
      <c r="C7" s="6">
        <v>372426.45</v>
      </c>
      <c r="D7" s="11" t="s">
        <v>85</v>
      </c>
      <c r="E7" s="12" t="s">
        <v>46</v>
      </c>
      <c r="F7" s="6">
        <v>10743.8</v>
      </c>
    </row>
    <row r="8" spans="1:6">
      <c r="A8" s="11" t="s">
        <v>60</v>
      </c>
      <c r="B8" s="12" t="s">
        <v>27</v>
      </c>
      <c r="C8" s="6">
        <v>70355.37</v>
      </c>
      <c r="D8" s="11" t="s">
        <v>86</v>
      </c>
      <c r="E8" s="12" t="s">
        <v>93</v>
      </c>
      <c r="F8" s="6">
        <v>10743.8</v>
      </c>
    </row>
    <row r="9" spans="1:6">
      <c r="A9" s="11" t="s">
        <v>61</v>
      </c>
      <c r="B9" s="12" t="s">
        <v>12</v>
      </c>
      <c r="C9" s="6">
        <v>184231.4</v>
      </c>
      <c r="D9" s="11" t="s">
        <v>87</v>
      </c>
      <c r="E9" s="12" t="s">
        <v>94</v>
      </c>
      <c r="F9" s="6">
        <v>12396.69</v>
      </c>
    </row>
    <row r="10" spans="1:6">
      <c r="A10" s="11" t="s">
        <v>62</v>
      </c>
      <c r="B10" s="12" t="s">
        <v>27</v>
      </c>
      <c r="C10" s="6">
        <v>16884.3</v>
      </c>
      <c r="D10" s="11" t="s">
        <v>88</v>
      </c>
      <c r="E10" s="12" t="s">
        <v>95</v>
      </c>
      <c r="F10" s="6">
        <v>12809.92</v>
      </c>
    </row>
    <row r="11" spans="1:6">
      <c r="A11" s="11" t="s">
        <v>63</v>
      </c>
      <c r="B11" s="12" t="s">
        <v>17</v>
      </c>
      <c r="C11" s="6">
        <v>16884.3</v>
      </c>
      <c r="D11" s="11" t="s">
        <v>89</v>
      </c>
      <c r="E11" s="12" t="s">
        <v>96</v>
      </c>
      <c r="F11" s="6">
        <v>24793.39</v>
      </c>
    </row>
    <row r="12" spans="1:6">
      <c r="A12" s="11" t="s">
        <v>64</v>
      </c>
      <c r="B12" s="12" t="s">
        <v>26</v>
      </c>
      <c r="C12" s="6">
        <v>70561.98</v>
      </c>
      <c r="D12" s="11" t="s">
        <v>90</v>
      </c>
      <c r="E12" s="12" t="s">
        <v>41</v>
      </c>
      <c r="F12" s="6">
        <v>13223.15</v>
      </c>
    </row>
    <row r="13" spans="1:6">
      <c r="A13" s="11" t="s">
        <v>65</v>
      </c>
      <c r="B13" s="12" t="s">
        <v>25</v>
      </c>
      <c r="C13" s="6">
        <v>197909.09</v>
      </c>
      <c r="D13" s="11" t="s">
        <v>91</v>
      </c>
      <c r="E13" s="12" t="s">
        <v>97</v>
      </c>
      <c r="F13" s="6">
        <v>99173.55</v>
      </c>
    </row>
    <row r="14" spans="1:6">
      <c r="A14" s="11" t="s">
        <v>66</v>
      </c>
      <c r="B14" s="12" t="s">
        <v>44</v>
      </c>
      <c r="C14" s="6">
        <v>37338.840000000004</v>
      </c>
      <c r="D14" s="11" t="s">
        <v>98</v>
      </c>
      <c r="E14" s="12" t="s">
        <v>20</v>
      </c>
      <c r="F14" s="6">
        <v>1102780.1200000001</v>
      </c>
    </row>
    <row r="15" spans="1:6">
      <c r="A15" s="11" t="s">
        <v>67</v>
      </c>
      <c r="B15" s="12" t="s">
        <v>24</v>
      </c>
      <c r="C15" s="6">
        <v>62800.66</v>
      </c>
      <c r="D15" s="11" t="s">
        <v>99</v>
      </c>
      <c r="E15" s="12" t="s">
        <v>53</v>
      </c>
      <c r="F15" s="6">
        <v>12809.92</v>
      </c>
    </row>
    <row r="16" spans="1:6">
      <c r="A16" s="11" t="s">
        <v>68</v>
      </c>
      <c r="B16" s="12" t="s">
        <v>18</v>
      </c>
      <c r="C16" s="6">
        <v>28296.21</v>
      </c>
      <c r="D16" s="11" t="s">
        <v>100</v>
      </c>
      <c r="E16" s="12" t="s">
        <v>102</v>
      </c>
      <c r="F16" s="6">
        <v>22314.05</v>
      </c>
    </row>
    <row r="17" spans="1:7">
      <c r="A17" s="11" t="s">
        <v>69</v>
      </c>
      <c r="B17" s="12" t="s">
        <v>23</v>
      </c>
      <c r="C17" s="6">
        <v>79931.73</v>
      </c>
      <c r="D17" s="11" t="s">
        <v>101</v>
      </c>
      <c r="E17" s="12" t="s">
        <v>102</v>
      </c>
      <c r="F17" s="6">
        <v>12396.69</v>
      </c>
    </row>
    <row r="18" spans="1:7">
      <c r="A18" s="11" t="s">
        <v>70</v>
      </c>
      <c r="B18" s="12" t="s">
        <v>52</v>
      </c>
      <c r="C18" s="6">
        <v>24628.09</v>
      </c>
      <c r="D18" s="11" t="s">
        <v>103</v>
      </c>
      <c r="E18" s="12" t="s">
        <v>11</v>
      </c>
      <c r="F18" s="6">
        <v>22314.05</v>
      </c>
    </row>
    <row r="19" spans="1:7">
      <c r="A19" s="11" t="s">
        <v>71</v>
      </c>
      <c r="B19" s="12" t="s">
        <v>72</v>
      </c>
      <c r="C19" s="6">
        <v>16528.97</v>
      </c>
      <c r="D19" s="11" t="s">
        <v>104</v>
      </c>
      <c r="E19" s="12" t="s">
        <v>43</v>
      </c>
      <c r="F19" s="6">
        <v>12396.69</v>
      </c>
    </row>
    <row r="20" spans="1:7">
      <c r="A20" s="11" t="s">
        <v>73</v>
      </c>
      <c r="B20" s="12" t="s">
        <v>15</v>
      </c>
      <c r="C20" s="6">
        <v>2117827.31</v>
      </c>
      <c r="D20" s="11" t="s">
        <v>105</v>
      </c>
      <c r="E20" s="12" t="s">
        <v>29</v>
      </c>
      <c r="F20" s="6">
        <v>12396.69</v>
      </c>
    </row>
    <row r="21" spans="1:7">
      <c r="A21" s="11" t="s">
        <v>74</v>
      </c>
      <c r="B21" s="12" t="s">
        <v>51</v>
      </c>
      <c r="C21" s="6">
        <v>1402.21</v>
      </c>
      <c r="D21" s="11" t="s">
        <v>106</v>
      </c>
      <c r="E21" s="12" t="s">
        <v>9</v>
      </c>
      <c r="F21" s="6">
        <v>9917.36</v>
      </c>
    </row>
    <row r="22" spans="1:7">
      <c r="A22" s="11" t="s">
        <v>75</v>
      </c>
      <c r="B22" s="12" t="s">
        <v>51</v>
      </c>
      <c r="C22" s="6">
        <v>11652.89</v>
      </c>
      <c r="D22" s="11" t="s">
        <v>107</v>
      </c>
      <c r="E22" s="12" t="s">
        <v>28</v>
      </c>
      <c r="F22" s="6">
        <v>5785.12</v>
      </c>
    </row>
    <row r="23" spans="1:7">
      <c r="A23" s="11" t="s">
        <v>76</v>
      </c>
      <c r="B23" s="12" t="s">
        <v>51</v>
      </c>
      <c r="C23" s="6">
        <v>4962.8100000000004</v>
      </c>
      <c r="D23" s="11" t="s">
        <v>108</v>
      </c>
      <c r="E23" s="12" t="s">
        <v>95</v>
      </c>
      <c r="F23" s="6">
        <v>12809.92</v>
      </c>
    </row>
    <row r="24" spans="1:7">
      <c r="A24" s="11" t="s">
        <v>77</v>
      </c>
      <c r="B24" s="12" t="s">
        <v>19</v>
      </c>
      <c r="C24" s="6">
        <v>20677.689999999999</v>
      </c>
      <c r="D24" s="11" t="s">
        <v>109</v>
      </c>
      <c r="E24" s="12" t="s">
        <v>13</v>
      </c>
      <c r="F24" s="6">
        <v>16528.93</v>
      </c>
    </row>
    <row r="25" spans="1:7">
      <c r="A25" s="11" t="s">
        <v>78</v>
      </c>
      <c r="B25" s="12" t="s">
        <v>51</v>
      </c>
      <c r="C25" s="6">
        <v>38404.959999999999</v>
      </c>
      <c r="D25" s="11" t="s">
        <v>110</v>
      </c>
      <c r="E25" s="12" t="s">
        <v>14</v>
      </c>
      <c r="F25" s="6">
        <v>12396.69</v>
      </c>
    </row>
    <row r="26" spans="1:7">
      <c r="A26" s="11" t="s">
        <v>79</v>
      </c>
      <c r="B26" s="12" t="s">
        <v>72</v>
      </c>
      <c r="C26" s="6">
        <v>16528.920000000002</v>
      </c>
      <c r="D26" s="11" t="s">
        <v>111</v>
      </c>
      <c r="E26" s="12" t="s">
        <v>117</v>
      </c>
      <c r="F26" s="6">
        <v>27272.73</v>
      </c>
    </row>
    <row r="27" spans="1:7">
      <c r="A27" s="11" t="s">
        <v>118</v>
      </c>
      <c r="B27" s="12" t="s">
        <v>52</v>
      </c>
      <c r="C27" s="6">
        <v>12809.92</v>
      </c>
      <c r="D27" s="11" t="s">
        <v>112</v>
      </c>
      <c r="E27" s="12" t="s">
        <v>36</v>
      </c>
      <c r="F27" s="6">
        <v>11570.25</v>
      </c>
    </row>
    <row r="28" spans="1:7">
      <c r="A28" s="11" t="s">
        <v>119</v>
      </c>
      <c r="B28" s="12" t="s">
        <v>51</v>
      </c>
      <c r="C28" s="6">
        <v>46611.56</v>
      </c>
      <c r="D28" s="11" t="s">
        <v>113</v>
      </c>
      <c r="E28" s="12" t="s">
        <v>35</v>
      </c>
      <c r="F28" s="6">
        <v>9090.91</v>
      </c>
    </row>
    <row r="29" spans="1:7">
      <c r="A29" s="11" t="s">
        <v>120</v>
      </c>
      <c r="B29" s="12" t="s">
        <v>51</v>
      </c>
      <c r="C29" s="6">
        <v>9925.6200000000008</v>
      </c>
      <c r="D29" s="11" t="s">
        <v>114</v>
      </c>
      <c r="E29" s="12" t="s">
        <v>34</v>
      </c>
      <c r="F29" s="6">
        <v>9090.91</v>
      </c>
    </row>
    <row r="30" spans="1:7">
      <c r="A30" s="11" t="s">
        <v>121</v>
      </c>
      <c r="B30" s="12" t="s">
        <v>51</v>
      </c>
      <c r="C30" s="6">
        <v>19512.400000000001</v>
      </c>
      <c r="D30" s="11" t="s">
        <v>115</v>
      </c>
      <c r="E30" s="12" t="s">
        <v>30</v>
      </c>
      <c r="F30" s="6">
        <v>24380.17</v>
      </c>
    </row>
    <row r="31" spans="1:7">
      <c r="A31" s="11" t="s">
        <v>122</v>
      </c>
      <c r="B31" s="12" t="s">
        <v>51</v>
      </c>
      <c r="C31" s="6">
        <v>5826.45</v>
      </c>
      <c r="D31" s="11" t="s">
        <v>116</v>
      </c>
      <c r="E31" s="12" t="s">
        <v>31</v>
      </c>
      <c r="F31" s="6">
        <v>16528.93</v>
      </c>
      <c r="G31" s="9"/>
    </row>
    <row r="32" spans="1:7">
      <c r="A32" s="11" t="s">
        <v>123</v>
      </c>
      <c r="B32" s="12" t="s">
        <v>51</v>
      </c>
      <c r="C32" s="6">
        <v>11652.89</v>
      </c>
      <c r="D32" s="11" t="s">
        <v>129</v>
      </c>
      <c r="E32" s="12" t="s">
        <v>132</v>
      </c>
      <c r="F32" s="6">
        <v>30165.279999999999</v>
      </c>
    </row>
    <row r="33" spans="1:6">
      <c r="A33" s="11" t="s">
        <v>124</v>
      </c>
      <c r="B33" s="12" t="s">
        <v>52</v>
      </c>
      <c r="C33" s="6">
        <v>16528.93</v>
      </c>
      <c r="D33" s="11" t="s">
        <v>130</v>
      </c>
      <c r="E33" s="12" t="s">
        <v>32</v>
      </c>
      <c r="F33" s="6">
        <v>19834.71</v>
      </c>
    </row>
    <row r="34" spans="1:6">
      <c r="A34" s="11" t="s">
        <v>125</v>
      </c>
      <c r="B34" s="12" t="s">
        <v>19</v>
      </c>
      <c r="C34" s="6">
        <v>20677.689999999999</v>
      </c>
      <c r="D34" s="11" t="s">
        <v>131</v>
      </c>
      <c r="E34" s="12" t="s">
        <v>40</v>
      </c>
      <c r="F34" s="6">
        <v>16528.93</v>
      </c>
    </row>
    <row r="35" spans="1:6">
      <c r="A35" s="11" t="s">
        <v>126</v>
      </c>
      <c r="B35" s="12" t="s">
        <v>128</v>
      </c>
      <c r="C35" s="6">
        <v>51239.68</v>
      </c>
      <c r="D35" s="11" t="s">
        <v>133</v>
      </c>
      <c r="E35" s="12" t="s">
        <v>42</v>
      </c>
      <c r="F35" s="6">
        <v>3421.49</v>
      </c>
    </row>
    <row r="36" spans="1:6">
      <c r="A36" s="11" t="s">
        <v>127</v>
      </c>
      <c r="B36" s="12" t="s">
        <v>128</v>
      </c>
      <c r="C36" s="6">
        <v>27272.73</v>
      </c>
      <c r="D36" s="11" t="s">
        <v>134</v>
      </c>
      <c r="E36" s="12" t="s">
        <v>45</v>
      </c>
      <c r="F36" s="6">
        <v>5826.45</v>
      </c>
    </row>
    <row r="37" spans="1:6">
      <c r="A37" s="13"/>
      <c r="B37" s="13"/>
      <c r="C37" s="13"/>
      <c r="D37" s="11" t="s">
        <v>135</v>
      </c>
      <c r="E37" s="12" t="s">
        <v>33</v>
      </c>
      <c r="F37" s="6">
        <v>13458.68</v>
      </c>
    </row>
    <row r="38" spans="1:6">
      <c r="A38" s="13"/>
      <c r="B38" s="13"/>
      <c r="C38" s="13"/>
      <c r="D38" s="11" t="s">
        <v>136</v>
      </c>
      <c r="E38" s="12" t="s">
        <v>37</v>
      </c>
      <c r="F38" s="6">
        <v>5826.45</v>
      </c>
    </row>
    <row r="39" spans="1:6">
      <c r="A39" s="13"/>
      <c r="B39" s="13"/>
      <c r="C39" s="13"/>
      <c r="D39" s="11" t="s">
        <v>137</v>
      </c>
      <c r="E39" s="12" t="s">
        <v>47</v>
      </c>
      <c r="F39" s="6">
        <v>11570.25</v>
      </c>
    </row>
    <row r="40" spans="1:6">
      <c r="A40" s="13"/>
      <c r="B40" s="13"/>
      <c r="C40" s="13"/>
      <c r="D40" s="11" t="s">
        <v>138</v>
      </c>
      <c r="E40" s="12" t="s">
        <v>50</v>
      </c>
      <c r="F40" s="6">
        <v>16528.93</v>
      </c>
    </row>
    <row r="41" spans="1:6">
      <c r="A41" s="13"/>
      <c r="B41" s="13"/>
      <c r="C41" s="13"/>
      <c r="D41" s="11" t="s">
        <v>139</v>
      </c>
      <c r="E41" s="12" t="s">
        <v>30</v>
      </c>
      <c r="F41" s="6">
        <v>13223.14</v>
      </c>
    </row>
    <row r="42" spans="1:6">
      <c r="A42" s="13"/>
      <c r="B42" s="13"/>
      <c r="C42" s="13"/>
      <c r="D42" s="11" t="s">
        <v>140</v>
      </c>
      <c r="E42" s="12" t="s">
        <v>142</v>
      </c>
      <c r="F42" s="6">
        <v>28925.62</v>
      </c>
    </row>
    <row r="43" spans="1:6">
      <c r="A43" s="13"/>
      <c r="B43" s="13"/>
      <c r="C43" s="13"/>
      <c r="D43" s="11" t="s">
        <v>141</v>
      </c>
      <c r="E43" s="12" t="s">
        <v>143</v>
      </c>
      <c r="F43" s="6">
        <v>49586.78</v>
      </c>
    </row>
    <row r="44" spans="1:6">
      <c r="A44" s="13"/>
      <c r="B44" s="13"/>
      <c r="C44" s="13"/>
      <c r="D44" s="11" t="s">
        <v>144</v>
      </c>
      <c r="E44" s="12" t="s">
        <v>132</v>
      </c>
      <c r="F44" s="6">
        <v>33305.79</v>
      </c>
    </row>
    <row r="45" spans="1:6">
      <c r="A45" s="13"/>
      <c r="B45" s="13"/>
      <c r="C45" s="13"/>
      <c r="D45" s="11" t="s">
        <v>145</v>
      </c>
      <c r="E45" s="12" t="s">
        <v>46</v>
      </c>
      <c r="F45" s="6">
        <v>10743.8</v>
      </c>
    </row>
    <row r="46" spans="1:6">
      <c r="A46" s="13"/>
      <c r="B46" s="13"/>
      <c r="C46" s="13"/>
      <c r="D46" s="11" t="s">
        <v>146</v>
      </c>
      <c r="E46" s="12" t="s">
        <v>148</v>
      </c>
      <c r="F46" s="6">
        <v>11487.6</v>
      </c>
    </row>
    <row r="47" spans="1:6">
      <c r="A47" s="13"/>
      <c r="B47" s="13"/>
      <c r="C47" s="13"/>
      <c r="D47" s="11" t="s">
        <v>147</v>
      </c>
      <c r="E47" s="12" t="s">
        <v>149</v>
      </c>
      <c r="F47" s="6">
        <v>29752.07</v>
      </c>
    </row>
    <row r="48" spans="1:6">
      <c r="A48" s="13"/>
      <c r="B48" s="13"/>
      <c r="C48" s="13"/>
      <c r="D48" s="11" t="s">
        <v>150</v>
      </c>
      <c r="E48" s="12" t="s">
        <v>38</v>
      </c>
      <c r="F48" s="6">
        <v>16528.93</v>
      </c>
    </row>
    <row r="49" spans="1:6">
      <c r="A49" s="13"/>
      <c r="B49" s="13"/>
      <c r="C49" s="13"/>
      <c r="D49" s="11" t="s">
        <v>151</v>
      </c>
      <c r="E49" s="12" t="s">
        <v>48</v>
      </c>
      <c r="F49" s="6">
        <v>5826.45</v>
      </c>
    </row>
    <row r="50" spans="1:6">
      <c r="A50" s="13"/>
      <c r="B50" s="13"/>
      <c r="C50" s="13"/>
      <c r="D50" s="11" t="s">
        <v>152</v>
      </c>
      <c r="E50" s="12" t="s">
        <v>153</v>
      </c>
      <c r="F50" s="6">
        <v>133884.29</v>
      </c>
    </row>
    <row r="51" spans="1:6">
      <c r="A51" s="13"/>
      <c r="B51" s="13"/>
      <c r="C51" s="13"/>
      <c r="D51" s="11" t="s">
        <v>154</v>
      </c>
      <c r="E51" s="12" t="s">
        <v>39</v>
      </c>
      <c r="F51" s="6">
        <v>16528.93</v>
      </c>
    </row>
    <row r="52" spans="1:6">
      <c r="A52" s="13"/>
      <c r="B52" s="13"/>
      <c r="C52" s="13"/>
      <c r="D52" s="11" t="s">
        <v>155</v>
      </c>
      <c r="E52" s="12" t="s">
        <v>49</v>
      </c>
      <c r="F52" s="6">
        <v>16528.93</v>
      </c>
    </row>
    <row r="53" spans="1:6">
      <c r="A53" s="13"/>
      <c r="B53" s="13"/>
      <c r="C53" s="13"/>
      <c r="D53" s="11" t="s">
        <v>156</v>
      </c>
      <c r="E53" s="12" t="s">
        <v>142</v>
      </c>
      <c r="F53" s="6">
        <v>16528.93</v>
      </c>
    </row>
    <row r="54" spans="1:6">
      <c r="A54" s="13"/>
      <c r="B54" s="13"/>
      <c r="C54" s="13"/>
      <c r="D54" s="11" t="s">
        <v>157</v>
      </c>
      <c r="E54" s="12" t="s">
        <v>8</v>
      </c>
      <c r="F54" s="6">
        <v>12396.69</v>
      </c>
    </row>
    <row r="55" spans="1:6">
      <c r="A55" s="13"/>
      <c r="B55" s="13"/>
      <c r="C55" s="13"/>
      <c r="D55" s="11" t="s">
        <v>158</v>
      </c>
      <c r="E55" s="12" t="s">
        <v>94</v>
      </c>
      <c r="F55" s="6">
        <v>12396.69</v>
      </c>
    </row>
    <row r="56" spans="1:6">
      <c r="A56" s="13"/>
      <c r="B56" s="13"/>
      <c r="C56" s="13"/>
      <c r="D56" s="11" t="s">
        <v>159</v>
      </c>
      <c r="E56" s="12" t="s">
        <v>164</v>
      </c>
      <c r="F56" s="6">
        <v>72644.63</v>
      </c>
    </row>
    <row r="57" spans="1:6">
      <c r="A57" s="13"/>
      <c r="B57" s="13"/>
      <c r="C57" s="13"/>
      <c r="D57" s="11" t="s">
        <v>160</v>
      </c>
      <c r="E57" s="12" t="s">
        <v>93</v>
      </c>
      <c r="F57" s="6">
        <v>10743.8</v>
      </c>
    </row>
    <row r="58" spans="1:6">
      <c r="A58" s="13"/>
      <c r="B58" s="13"/>
      <c r="C58" s="13"/>
      <c r="D58" s="11" t="s">
        <v>161</v>
      </c>
      <c r="E58" s="12" t="s">
        <v>94</v>
      </c>
      <c r="F58" s="6">
        <v>12396.69</v>
      </c>
    </row>
    <row r="59" spans="1:6">
      <c r="A59" s="13"/>
      <c r="B59" s="13"/>
      <c r="C59" s="13"/>
      <c r="D59" s="11" t="s">
        <v>162</v>
      </c>
      <c r="E59" s="12" t="s">
        <v>165</v>
      </c>
      <c r="F59" s="6">
        <v>9090.91</v>
      </c>
    </row>
    <row r="60" spans="1:6">
      <c r="A60" s="13"/>
      <c r="B60" s="13"/>
      <c r="C60" s="13"/>
      <c r="D60" s="11" t="s">
        <v>163</v>
      </c>
      <c r="E60" s="12" t="s">
        <v>165</v>
      </c>
      <c r="F60" s="6">
        <v>18181.82</v>
      </c>
    </row>
    <row r="61" spans="1:6">
      <c r="A61" s="13"/>
      <c r="B61" s="13"/>
      <c r="C61" s="13"/>
      <c r="D61" s="13"/>
      <c r="E61" s="13"/>
      <c r="F61" s="13"/>
    </row>
    <row r="62" spans="1:6">
      <c r="A62" s="13"/>
      <c r="B62" s="13"/>
      <c r="C62" s="13"/>
      <c r="D62" s="13"/>
      <c r="E62" s="13"/>
      <c r="F62" s="13"/>
    </row>
    <row r="63" spans="1:6">
      <c r="A63" s="13"/>
      <c r="B63" s="13"/>
      <c r="C63" s="13"/>
      <c r="D63" s="13"/>
      <c r="E63" s="13"/>
      <c r="F63" s="13"/>
    </row>
    <row r="64" spans="1:6" ht="15.75">
      <c r="A64" s="8" t="s">
        <v>4</v>
      </c>
      <c r="B64" s="8"/>
      <c r="C64" s="5">
        <f>SUM(C3:C63)</f>
        <v>13746732.490000004</v>
      </c>
      <c r="D64" s="8" t="s">
        <v>4</v>
      </c>
      <c r="E64" s="8"/>
      <c r="F64" s="5">
        <f>SUM(F3:F63)</f>
        <v>2682585.9400000004</v>
      </c>
    </row>
    <row r="65" spans="1:6" ht="15.75">
      <c r="A65" s="7" t="s">
        <v>5</v>
      </c>
      <c r="B65" s="7"/>
      <c r="C65" s="2">
        <f>(C64*0.21)</f>
        <v>2886813.8229000005</v>
      </c>
      <c r="D65" s="7" t="s">
        <v>5</v>
      </c>
      <c r="E65" s="7"/>
      <c r="F65" s="2">
        <f>(F64*0.21)</f>
        <v>563343.04740000004</v>
      </c>
    </row>
    <row r="66" spans="1:6" ht="15.75">
      <c r="A66" s="3" t="s">
        <v>6</v>
      </c>
      <c r="B66" s="3"/>
      <c r="C66" s="4">
        <f>SUM(C64:C65)</f>
        <v>16633546.312900005</v>
      </c>
      <c r="D66" s="3" t="s">
        <v>6</v>
      </c>
      <c r="E66" s="3"/>
      <c r="F66" s="4">
        <f>SUM(F64:F65)</f>
        <v>3245928.9874000004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2024-05-09T14:49:47Z</dcterms:modified>
</cp:coreProperties>
</file>